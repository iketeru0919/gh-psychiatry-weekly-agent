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omments3.xml" ContentType="application/vnd.openxmlformats-officedocument.spreadsheetml.comments+xml"/>
  <Override PartName="/xl/threadedComments/threadedComment3.xml" ContentType="application/vnd.ms-excel.threadedcomments+xml"/>
  <Override PartName="/xl/drawings/drawing4.xml" ContentType="application/vnd.openxmlformats-officedocument.drawing+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omments4.xml" ContentType="application/vnd.openxmlformats-officedocument.spreadsheetml.comments+xml"/>
  <Override PartName="/xl/threadedComments/threadedComment4.xml" ContentType="application/vnd.ms-excel.threadedcomments+xml"/>
  <Override PartName="/xl/drawings/drawing5.xml" ContentType="application/vnd.openxmlformats-officedocument.drawing+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omments5.xml" ContentType="application/vnd.openxmlformats-officedocument.spreadsheetml.comments+xml"/>
  <Override PartName="/xl/threadedComments/threadedComment5.xml" ContentType="application/vnd.ms-excel.threadedcomments+xml"/>
  <Override PartName="/xl/drawings/drawing6.xml" ContentType="application/vnd.openxmlformats-officedocument.drawing+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omments6.xml" ContentType="application/vnd.openxmlformats-officedocument.spreadsheetml.comments+xml"/>
  <Override PartName="/xl/threadedComments/threadedComment6.xml" ContentType="application/vnd.ms-excel.threadedcomments+xml"/>
  <Override PartName="/xl/drawings/drawing7.xml" ContentType="application/vnd.openxmlformats-officedocument.drawing+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omments7.xml" ContentType="application/vnd.openxmlformats-officedocument.spreadsheetml.comments+xml"/>
  <Override PartName="/xl/threadedComments/threadedComment7.xml" ContentType="application/vnd.ms-excel.threadedcomments+xml"/>
  <Override PartName="/xl/drawings/drawing8.xml" ContentType="application/vnd.openxmlformats-officedocument.drawing+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omments8.xml" ContentType="application/vnd.openxmlformats-officedocument.spreadsheetml.comments+xml"/>
  <Override PartName="/xl/threadedComments/threadedComment8.xml" ContentType="application/vnd.ms-excel.threadedcomments+xml"/>
  <Override PartName="/xl/drawings/drawing9.xml" ContentType="application/vnd.openxmlformats-officedocument.drawing+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omments9.xml" ContentType="application/vnd.openxmlformats-officedocument.spreadsheetml.comments+xml"/>
  <Override PartName="/xl/threadedComments/threadedComment9.xml" ContentType="application/vnd.ms-excel.threadedcomments+xml"/>
  <Override PartName="/xl/comments10.xml" ContentType="application/vnd.openxmlformats-officedocument.spreadsheetml.comments+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k-takayama\Documents\Codex\2026-06-29\excel-kpi-10-20-kgi-kpi\outputs\"/>
    </mc:Choice>
  </mc:AlternateContent>
  <xr:revisionPtr revIDLastSave="0" documentId="13_ncr:1_{95602900-5E3F-43FA-B2AF-951FDC700CE1}" xr6:coauthVersionLast="47" xr6:coauthVersionMax="47" xr10:uidLastSave="{00000000-0000-0000-0000-000000000000}"/>
  <bookViews>
    <workbookView xWindow="-110" yWindow="-110" windowWidth="19420" windowHeight="10300" activeTab="1" xr2:uid="{2E6C0F6A-4064-45AA-8DF7-544A32FEDA76}"/>
  </bookViews>
  <sheets>
    <sheet name="参照セル一覧" sheetId="88" r:id="rId1"/>
    <sheet name="全施設サマリー" sheetId="89" r:id="rId2"/>
    <sheet name="宇都宮" sheetId="51" r:id="rId3"/>
    <sheet name="南中丸" sheetId="52" r:id="rId4"/>
    <sheet name="春日部" sheetId="53" r:id="rId5"/>
    <sheet name="上西郷" sheetId="60" r:id="rId6"/>
    <sheet name="気賀" sheetId="63" r:id="rId7"/>
    <sheet name="高丘" sheetId="64" r:id="rId8"/>
    <sheet name="萩丘ⅰ" sheetId="85" r:id="rId9"/>
    <sheet name="萩丘ⅱ" sheetId="62" r:id="rId10"/>
    <sheet name="西浅田" sheetId="61" r:id="rId11"/>
    <sheet name="3月" sheetId="87" r:id="rId12"/>
  </sheets>
  <externalReferences>
    <externalReference r:id="rId13"/>
    <externalReference r:id="rId14"/>
    <externalReference r:id="rId15"/>
  </externalReferences>
  <definedNames>
    <definedName name="_xlnm._FilterDatabase" localSheetId="1" hidden="1">全施設サマリー!$A$5:$L$14</definedName>
    <definedName name="スライサー_支給市町村名" localSheetId="11">#REF!</definedName>
    <definedName name="スライサー_支給市町村名">#REF!</definedName>
    <definedName name="スライサー_支給市町村名1" localSheetId="11">#REF!</definedName>
    <definedName name="スライサー_支給市町村名1">#REF!</definedName>
    <definedName name="スライサー_支給市町村名10" localSheetId="11">#REF!</definedName>
    <definedName name="スライサー_支給市町村名10">#REF!</definedName>
    <definedName name="スライサー_支給市町村名11" localSheetId="11">#REF!</definedName>
    <definedName name="スライサー_支給市町村名11">#REF!</definedName>
    <definedName name="スライサー_支給市町村名12" localSheetId="11">#REF!</definedName>
    <definedName name="スライサー_支給市町村名12">#REF!</definedName>
    <definedName name="スライサー_支給市町村名13" localSheetId="11">#REF!</definedName>
    <definedName name="スライサー_支給市町村名13">#REF!</definedName>
    <definedName name="スライサー_支給市町村名14" localSheetId="11">#REF!</definedName>
    <definedName name="スライサー_支給市町村名14">#REF!</definedName>
    <definedName name="スライサー_支給市町村名15" localSheetId="11">#REF!</definedName>
    <definedName name="スライサー_支給市町村名15">#REF!</definedName>
    <definedName name="スライサー_支給市町村名16" localSheetId="11">#REF!</definedName>
    <definedName name="スライサー_支給市町村名16">#REF!</definedName>
    <definedName name="スライサー_支給市町村名17" localSheetId="11">#REF!</definedName>
    <definedName name="スライサー_支給市町村名17">#REF!</definedName>
    <definedName name="スライサー_支給市町村名18" localSheetId="11">#REF!</definedName>
    <definedName name="スライサー_支給市町村名18">#REF!</definedName>
    <definedName name="スライサー_支給市町村名19" localSheetId="11">#REF!</definedName>
    <definedName name="スライサー_支給市町村名19">#REF!</definedName>
    <definedName name="スライサー_支給市町村名2" localSheetId="11">#REF!</definedName>
    <definedName name="スライサー_支給市町村名2">#REF!</definedName>
    <definedName name="スライサー_支給市町村名20" localSheetId="11">#REF!</definedName>
    <definedName name="スライサー_支給市町村名20">#REF!</definedName>
    <definedName name="スライサー_支給市町村名21" localSheetId="11">#REF!</definedName>
    <definedName name="スライサー_支給市町村名21">#REF!</definedName>
    <definedName name="スライサー_支給市町村名22" localSheetId="11">#REF!</definedName>
    <definedName name="スライサー_支給市町村名22">#REF!</definedName>
    <definedName name="スライサー_支給市町村名23" localSheetId="11">#REF!</definedName>
    <definedName name="スライサー_支給市町村名23">#REF!</definedName>
    <definedName name="スライサー_支給市町村名24" localSheetId="11">#REF!</definedName>
    <definedName name="スライサー_支給市町村名24">#REF!</definedName>
    <definedName name="スライサー_支給市町村名25" localSheetId="11">#REF!</definedName>
    <definedName name="スライサー_支給市町村名25">#REF!</definedName>
    <definedName name="スライサー_支給市町村名26" localSheetId="11">#REF!</definedName>
    <definedName name="スライサー_支給市町村名26">#REF!</definedName>
    <definedName name="スライサー_支給市町村名27" localSheetId="11">#REF!</definedName>
    <definedName name="スライサー_支給市町村名27">#REF!</definedName>
    <definedName name="スライサー_支給市町村名28" localSheetId="11">#REF!</definedName>
    <definedName name="スライサー_支給市町村名28">#REF!</definedName>
    <definedName name="スライサー_支給市町村名29" localSheetId="11">#REF!</definedName>
    <definedName name="スライサー_支給市町村名29">#REF!</definedName>
    <definedName name="スライサー_支給市町村名3" localSheetId="11">#REF!</definedName>
    <definedName name="スライサー_支給市町村名3">#REF!</definedName>
    <definedName name="スライサー_支給市町村名30" localSheetId="11">#REF!</definedName>
    <definedName name="スライサー_支給市町村名30">#REF!</definedName>
    <definedName name="スライサー_支給市町村名31" localSheetId="11">#REF!</definedName>
    <definedName name="スライサー_支給市町村名31">#REF!</definedName>
    <definedName name="スライサー_支給市町村名32" localSheetId="11">#REF!</definedName>
    <definedName name="スライサー_支給市町村名32">#REF!</definedName>
    <definedName name="スライサー_支給市町村名33" localSheetId="11">#REF!</definedName>
    <definedName name="スライサー_支給市町村名33">#REF!</definedName>
    <definedName name="スライサー_支給市町村名4" localSheetId="11">#REF!</definedName>
    <definedName name="スライサー_支給市町村名4">#REF!</definedName>
    <definedName name="スライサー_支給市町村名5" localSheetId="11">#REF!</definedName>
    <definedName name="スライサー_支給市町村名5">#REF!</definedName>
    <definedName name="スライサー_支給市町村名6" localSheetId="11">#REF!</definedName>
    <definedName name="スライサー_支給市町村名6">#REF!</definedName>
    <definedName name="スライサー_支給市町村名7" localSheetId="11">#REF!</definedName>
    <definedName name="スライサー_支給市町村名7">#REF!</definedName>
    <definedName name="スライサー_支給市町村名8" localSheetId="11">#REF!</definedName>
    <definedName name="スライサー_支給市町村名8">#REF!</definedName>
    <definedName name="スライサー_支給市町村名9" localSheetId="11">#REF!</definedName>
    <definedName name="スライサー_支給市町村名9">#REF!</definedName>
    <definedName name="スライサー_事業者名" localSheetId="11">#REF!</definedName>
    <definedName name="スライサー_事業者名">#REF!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 i="89" l="1"/>
  <c r="H14" i="89"/>
  <c r="B14" i="89"/>
  <c r="A14" i="89"/>
  <c r="I13" i="89"/>
  <c r="H13" i="89"/>
  <c r="F13" i="89"/>
  <c r="C13" i="89"/>
  <c r="D13" i="89" s="1"/>
  <c r="B13" i="89"/>
  <c r="A13" i="89"/>
  <c r="I12" i="89"/>
  <c r="H12" i="89"/>
  <c r="C12" i="89"/>
  <c r="E12" i="89" s="1"/>
  <c r="B12" i="89"/>
  <c r="A12" i="89"/>
  <c r="I11" i="89"/>
  <c r="H11" i="89"/>
  <c r="B11" i="89"/>
  <c r="A11" i="89"/>
  <c r="I10" i="89"/>
  <c r="H10" i="89"/>
  <c r="B10" i="89"/>
  <c r="A10" i="89"/>
  <c r="I9" i="89"/>
  <c r="H9" i="89"/>
  <c r="B9" i="89"/>
  <c r="A9" i="89"/>
  <c r="I8" i="89"/>
  <c r="H8" i="89"/>
  <c r="B8" i="89"/>
  <c r="A8" i="89"/>
  <c r="I7" i="89"/>
  <c r="H7" i="89"/>
  <c r="B7" i="89"/>
  <c r="A7" i="89"/>
  <c r="I6" i="89"/>
  <c r="H6" i="89"/>
  <c r="B6" i="89"/>
  <c r="A6" i="89"/>
  <c r="P24" i="51"/>
  <c r="J12" i="89" l="1"/>
  <c r="E13" i="89"/>
  <c r="D12" i="89"/>
  <c r="J13" i="89"/>
  <c r="P24" i="85"/>
  <c r="M24" i="85"/>
  <c r="P24" i="52" l="1"/>
  <c r="P22" i="52"/>
  <c r="P20" i="52"/>
  <c r="P24" i="63" l="1"/>
  <c r="P20" i="63"/>
  <c r="P24" i="60"/>
  <c r="M20" i="63" l="1"/>
  <c r="S29" i="61" l="1"/>
  <c r="G24" i="51" l="1"/>
  <c r="F6" i="89" s="1"/>
  <c r="J24" i="51"/>
  <c r="M24" i="51"/>
  <c r="M24" i="60"/>
  <c r="B98" i="52" a="1"/>
  <c r="B98" i="52" s="1"/>
  <c r="B97" i="52" a="1"/>
  <c r="B97" i="52" s="1"/>
  <c r="B103" i="63" a="1"/>
  <c r="B103" i="63" s="1"/>
  <c r="B104" i="63" a="1"/>
  <c r="B104" i="63" s="1"/>
  <c r="B100" i="63"/>
  <c r="C100" i="63"/>
  <c r="D100" i="63"/>
  <c r="D99" i="63"/>
  <c r="E100" i="63"/>
  <c r="E99" i="63"/>
  <c r="B99" i="63"/>
  <c r="C99" i="63"/>
  <c r="O98" i="63" a="1"/>
  <c r="O98" i="63" s="1"/>
  <c r="P98" i="63" a="1"/>
  <c r="P98" i="63" s="1"/>
  <c r="Q98" i="63" a="1"/>
  <c r="Q98" i="63" s="1"/>
  <c r="T101" i="63" l="1"/>
  <c r="G100" i="63"/>
  <c r="T98" i="63"/>
  <c r="M24" i="63"/>
  <c r="BF1" i="53"/>
  <c r="M24" i="53"/>
  <c r="M20" i="53"/>
  <c r="M24" i="64" l="1"/>
  <c r="M22" i="64"/>
  <c r="M8" i="52" l="1"/>
  <c r="M22" i="52" l="1"/>
  <c r="J24" i="52"/>
  <c r="M24" i="52"/>
  <c r="G24" i="52"/>
  <c r="F7" i="89" s="1"/>
  <c r="M20" i="52"/>
  <c r="B17" i="51" l="1"/>
  <c r="S7" i="85"/>
  <c r="S5" i="61"/>
  <c r="S11" i="63"/>
  <c r="V4" i="62"/>
  <c r="P11" i="52"/>
  <c r="P4" i="63"/>
  <c r="V5" i="63"/>
  <c r="V4" i="64"/>
  <c r="S13" i="85"/>
  <c r="Y4" i="60"/>
  <c r="P9" i="85"/>
  <c r="P5" i="61"/>
  <c r="V4" i="63"/>
  <c r="V11" i="63"/>
  <c r="V13" i="60"/>
  <c r="S7" i="62"/>
  <c r="S9" i="63"/>
  <c r="S4" i="52"/>
  <c r="Y4" i="62"/>
  <c r="S11" i="60"/>
  <c r="V13" i="62"/>
  <c r="Y13" i="64"/>
  <c r="V5" i="62"/>
  <c r="Y7" i="60"/>
  <c r="P5" i="63"/>
  <c r="V7" i="64"/>
  <c r="P5" i="60"/>
  <c r="P4" i="53"/>
  <c r="S7" i="53"/>
  <c r="Y13" i="60"/>
  <c r="S7" i="52"/>
  <c r="S5" i="62"/>
  <c r="P7" i="63"/>
  <c r="P9" i="63"/>
  <c r="P13" i="52"/>
  <c r="S11" i="85"/>
  <c r="P7" i="62"/>
  <c r="S9" i="52"/>
  <c r="P11" i="53"/>
  <c r="V7" i="63"/>
  <c r="P9" i="62"/>
  <c r="Y13" i="52"/>
  <c r="S11" i="53"/>
  <c r="V4" i="85"/>
  <c r="Y4" i="53"/>
  <c r="P5" i="62"/>
  <c r="Y9" i="52"/>
  <c r="Y7" i="85"/>
  <c r="Y7" i="63"/>
  <c r="Y9" i="85"/>
  <c r="V13" i="64"/>
  <c r="P13" i="85"/>
  <c r="V9" i="61"/>
  <c r="S13" i="62"/>
  <c r="Y5" i="64"/>
  <c r="V11" i="62"/>
  <c r="V4" i="61"/>
  <c r="Y7" i="64"/>
  <c r="P9" i="61"/>
  <c r="S11" i="62"/>
  <c r="S4" i="60"/>
  <c r="Y7" i="52"/>
  <c r="S7" i="61"/>
  <c r="P13" i="53"/>
  <c r="V5" i="61"/>
  <c r="P11" i="60"/>
  <c r="V4" i="52"/>
  <c r="Y5" i="52"/>
  <c r="V9" i="60"/>
  <c r="Y4" i="63"/>
  <c r="P9" i="53"/>
  <c r="P7" i="53"/>
  <c r="P4" i="62"/>
  <c r="P9" i="60"/>
  <c r="Y9" i="53"/>
  <c r="V5" i="64"/>
  <c r="P11" i="61"/>
  <c r="V9" i="85"/>
  <c r="P9" i="52"/>
  <c r="V7" i="52"/>
  <c r="V13" i="85"/>
  <c r="V5" i="85"/>
  <c r="V11" i="64"/>
  <c r="P4" i="61"/>
  <c r="S13" i="61"/>
  <c r="S9" i="85"/>
  <c r="S9" i="60"/>
  <c r="S13" i="53"/>
  <c r="Y9" i="62"/>
  <c r="S11" i="52"/>
  <c r="S5" i="53"/>
  <c r="V9" i="62"/>
  <c r="Y4" i="52"/>
  <c r="P4" i="52"/>
  <c r="V11" i="53"/>
  <c r="V7" i="53"/>
  <c r="Y5" i="63"/>
  <c r="V7" i="61"/>
  <c r="Y5" i="61"/>
  <c r="V13" i="63"/>
  <c r="S7" i="63"/>
  <c r="S9" i="62"/>
  <c r="Y13" i="62"/>
  <c r="Y7" i="61"/>
  <c r="S4" i="61"/>
  <c r="V5" i="60"/>
  <c r="V11" i="60"/>
  <c r="S13" i="63"/>
  <c r="V13" i="52"/>
  <c r="V5" i="53"/>
  <c r="Y13" i="53"/>
  <c r="Y4" i="64"/>
  <c r="S5" i="60"/>
  <c r="V11" i="52"/>
  <c r="V13" i="53"/>
  <c r="Y9" i="61"/>
  <c r="Y13" i="61"/>
  <c r="S11" i="61"/>
  <c r="S9" i="53"/>
  <c r="Y9" i="63"/>
  <c r="S9" i="61"/>
  <c r="V9" i="53"/>
  <c r="Y11" i="61"/>
  <c r="Y4" i="61"/>
  <c r="P5" i="52"/>
  <c r="V9" i="64"/>
  <c r="P13" i="60"/>
  <c r="Y7" i="62"/>
  <c r="Y5" i="60"/>
  <c r="V11" i="61"/>
  <c r="P11" i="85"/>
  <c r="V9" i="63"/>
  <c r="Y4" i="85"/>
  <c r="V5" i="52"/>
  <c r="P5" i="53"/>
  <c r="Y7" i="53"/>
  <c r="V4" i="53"/>
  <c r="P13" i="62"/>
  <c r="P5" i="85"/>
  <c r="V7" i="85"/>
  <c r="P7" i="60"/>
  <c r="P4" i="60"/>
  <c r="P4" i="85"/>
  <c r="P11" i="62"/>
  <c r="Y5" i="62"/>
  <c r="Y13" i="63"/>
  <c r="V13" i="61"/>
  <c r="S5" i="52"/>
  <c r="Y13" i="85"/>
  <c r="Y5" i="85"/>
  <c r="S7" i="60"/>
  <c r="V7" i="62"/>
  <c r="V4" i="60"/>
  <c r="Y11" i="62"/>
  <c r="P7" i="85"/>
  <c r="S4" i="53"/>
  <c r="S13" i="60"/>
  <c r="Y11" i="52"/>
  <c r="S5" i="85"/>
  <c r="S4" i="63"/>
  <c r="Y11" i="64"/>
  <c r="V7" i="60"/>
  <c r="P7" i="61"/>
  <c r="Y11" i="85"/>
  <c r="Y5" i="53"/>
  <c r="Y11" i="53"/>
  <c r="P13" i="61"/>
  <c r="S13" i="52"/>
  <c r="Y11" i="60"/>
  <c r="Y9" i="60"/>
  <c r="S4" i="62"/>
  <c r="Y9" i="64"/>
  <c r="Y11" i="63"/>
  <c r="P11" i="63"/>
  <c r="S5" i="63"/>
  <c r="P13" i="63"/>
  <c r="P7" i="52"/>
  <c r="V11" i="85"/>
  <c r="V9" i="52"/>
  <c r="S4" i="85"/>
  <c r="P12" i="52" l="1"/>
  <c r="S12" i="52"/>
  <c r="Y12" i="52"/>
  <c r="S10" i="52"/>
  <c r="P8" i="52"/>
  <c r="P6" i="52"/>
  <c r="S6" i="52"/>
  <c r="V6" i="52"/>
  <c r="Y6" i="52"/>
  <c r="P10" i="52"/>
  <c r="Y10" i="52"/>
  <c r="S8" i="52"/>
  <c r="V8" i="52"/>
  <c r="V12" i="52"/>
  <c r="V10" i="52"/>
  <c r="Y8" i="52"/>
  <c r="V12" i="53"/>
  <c r="V10" i="53"/>
  <c r="Y12" i="53"/>
  <c r="Y10" i="53"/>
  <c r="S8" i="53"/>
  <c r="S12" i="53"/>
  <c r="P8" i="53"/>
  <c r="V8" i="53"/>
  <c r="Y8" i="53"/>
  <c r="P6" i="53"/>
  <c r="P12" i="53"/>
  <c r="S6" i="53"/>
  <c r="V6" i="53"/>
  <c r="Y6" i="53"/>
  <c r="P10" i="53"/>
  <c r="S10" i="53"/>
  <c r="V8" i="60"/>
  <c r="Y8" i="60"/>
  <c r="P6" i="60"/>
  <c r="S6" i="60"/>
  <c r="S12" i="60"/>
  <c r="V6" i="60"/>
  <c r="V12" i="60"/>
  <c r="Y6" i="60"/>
  <c r="Y12" i="60"/>
  <c r="P10" i="60"/>
  <c r="S10" i="60"/>
  <c r="V10" i="60"/>
  <c r="Y10" i="60"/>
  <c r="P12" i="60"/>
  <c r="P8" i="60"/>
  <c r="S8" i="60"/>
  <c r="P8" i="63"/>
  <c r="S8" i="63"/>
  <c r="Y8" i="63"/>
  <c r="P6" i="63"/>
  <c r="V6" i="63"/>
  <c r="Y12" i="63"/>
  <c r="P10" i="63"/>
  <c r="V8" i="63"/>
  <c r="P12" i="63"/>
  <c r="V12" i="63"/>
  <c r="S10" i="63"/>
  <c r="Y10" i="63"/>
  <c r="S6" i="63"/>
  <c r="S12" i="63"/>
  <c r="Y6" i="63"/>
  <c r="V10" i="63"/>
  <c r="P6" i="61"/>
  <c r="P12" i="61"/>
  <c r="S6" i="61"/>
  <c r="S12" i="61"/>
  <c r="V6" i="61"/>
  <c r="V12" i="61"/>
  <c r="Y6" i="61"/>
  <c r="Y12" i="61"/>
  <c r="P10" i="61"/>
  <c r="S10" i="61"/>
  <c r="V10" i="61"/>
  <c r="Y10" i="61"/>
  <c r="P8" i="61"/>
  <c r="S8" i="61"/>
  <c r="V8" i="61"/>
  <c r="Y8" i="61"/>
  <c r="Y8" i="62"/>
  <c r="V12" i="62"/>
  <c r="P12" i="62"/>
  <c r="Y12" i="62"/>
  <c r="S10" i="62"/>
  <c r="V10" i="62"/>
  <c r="Y10" i="62"/>
  <c r="P8" i="62"/>
  <c r="S8" i="62"/>
  <c r="V8" i="62"/>
  <c r="P6" i="62"/>
  <c r="S6" i="62"/>
  <c r="S12" i="62"/>
  <c r="V6" i="62"/>
  <c r="Y6" i="62"/>
  <c r="P10" i="62"/>
  <c r="S12" i="85"/>
  <c r="S10" i="85"/>
  <c r="Y12" i="85"/>
  <c r="P6" i="85"/>
  <c r="S6" i="85"/>
  <c r="V6" i="85"/>
  <c r="Y6" i="85"/>
  <c r="Y10" i="85"/>
  <c r="P8" i="85"/>
  <c r="V8" i="85"/>
  <c r="P12" i="85"/>
  <c r="V12" i="85"/>
  <c r="P10" i="85"/>
  <c r="V10" i="85"/>
  <c r="S8" i="85"/>
  <c r="Y8" i="85"/>
  <c r="Y10" i="64"/>
  <c r="V10" i="64"/>
  <c r="Y8" i="64"/>
  <c r="V8" i="64"/>
  <c r="Y6" i="64"/>
  <c r="Y12" i="64"/>
  <c r="V12" i="64"/>
  <c r="V6" i="64"/>
  <c r="P29" i="62"/>
  <c r="M29" i="62"/>
  <c r="J29" i="62"/>
  <c r="P29" i="53"/>
  <c r="M29" i="53"/>
  <c r="J29" i="53"/>
  <c r="M29" i="52"/>
  <c r="P29" i="52"/>
  <c r="J29" i="52"/>
  <c r="Y32" i="51" l="1"/>
  <c r="V32" i="51"/>
  <c r="S32" i="51"/>
  <c r="P32" i="51"/>
  <c r="M32" i="51"/>
  <c r="J32" i="51"/>
  <c r="J21" i="61"/>
  <c r="J22" i="61" s="1"/>
  <c r="G21" i="61"/>
  <c r="G22" i="61" s="1"/>
  <c r="G19" i="61" l="1"/>
  <c r="G20" i="61" s="1"/>
  <c r="C14" i="89" s="1"/>
  <c r="J19" i="61"/>
  <c r="J20" i="61" s="1"/>
  <c r="E14" i="89" l="1"/>
  <c r="D14" i="89"/>
  <c r="J14" i="89"/>
  <c r="G24" i="61"/>
  <c r="F14" i="89" s="1"/>
  <c r="J8" i="61" l="1"/>
  <c r="M8" i="61"/>
  <c r="M6" i="61" l="1"/>
  <c r="J6" i="61"/>
  <c r="J22" i="64" l="1"/>
  <c r="G22" i="64"/>
  <c r="J20" i="64"/>
  <c r="G20" i="64"/>
  <c r="C11" i="89" s="1"/>
  <c r="J24" i="64"/>
  <c r="G24" i="64"/>
  <c r="F11" i="89" s="1"/>
  <c r="D11" i="89" l="1"/>
  <c r="E11" i="89"/>
  <c r="J11" i="89"/>
  <c r="M8" i="64"/>
  <c r="J8" i="64"/>
  <c r="M6" i="64" l="1"/>
  <c r="J6" i="64"/>
  <c r="M6" i="85" l="1"/>
  <c r="J6" i="85"/>
  <c r="M8" i="85"/>
  <c r="J8" i="85"/>
  <c r="J24" i="85" l="1"/>
  <c r="G24" i="85"/>
  <c r="F12" i="89" s="1"/>
  <c r="J20" i="63" l="1"/>
  <c r="G20" i="63"/>
  <c r="C10" i="89" s="1"/>
  <c r="D10" i="89" l="1"/>
  <c r="E10" i="89"/>
  <c r="J10" i="89"/>
  <c r="J24" i="63"/>
  <c r="G24" i="63"/>
  <c r="F10" i="89" s="1"/>
  <c r="J8" i="63"/>
  <c r="M8" i="63"/>
  <c r="J6" i="63"/>
  <c r="M6" i="63"/>
  <c r="AN22" i="60" l="1"/>
  <c r="J24" i="60"/>
  <c r="G24" i="60"/>
  <c r="F9" i="89" s="1"/>
  <c r="M8" i="60"/>
  <c r="J8" i="60"/>
  <c r="J24" i="53"/>
  <c r="G24" i="53"/>
  <c r="F8" i="89" s="1"/>
  <c r="J20" i="53"/>
  <c r="G20" i="53"/>
  <c r="C8" i="89" s="1"/>
  <c r="M6" i="60"/>
  <c r="D8" i="89" l="1"/>
  <c r="E8" i="89"/>
  <c r="J8" i="89"/>
  <c r="J6" i="53"/>
  <c r="M8" i="53" l="1"/>
  <c r="J8" i="53"/>
  <c r="M12" i="53" l="1"/>
  <c r="M10" i="53"/>
  <c r="G20" i="52" l="1"/>
  <c r="C7" i="89" s="1"/>
  <c r="J20" i="52"/>
  <c r="J22" i="52"/>
  <c r="G22" i="52"/>
  <c r="D7" i="89" l="1"/>
  <c r="E7" i="89"/>
  <c r="J7" i="89"/>
  <c r="J10" i="52"/>
  <c r="V19" i="61" l="1"/>
  <c r="V20" i="61" s="1"/>
  <c r="V18" i="61"/>
  <c r="B17" i="61"/>
  <c r="B17" i="64"/>
  <c r="B17" i="62"/>
  <c r="B17" i="85"/>
  <c r="B17" i="63"/>
  <c r="J20" i="60"/>
  <c r="G20" i="60"/>
  <c r="C9" i="89" s="1"/>
  <c r="B17" i="60"/>
  <c r="B17" i="53"/>
  <c r="B17" i="52"/>
  <c r="S23" i="60"/>
  <c r="S23" i="52"/>
  <c r="V23" i="63"/>
  <c r="V23" i="62"/>
  <c r="V23" i="53"/>
  <c r="V23" i="52"/>
  <c r="S23" i="62"/>
  <c r="V23" i="64"/>
  <c r="V23" i="60"/>
  <c r="V23" i="85"/>
  <c r="S23" i="53"/>
  <c r="V23" i="61"/>
  <c r="D9" i="89" l="1"/>
  <c r="E9" i="89"/>
  <c r="J9" i="89"/>
  <c r="J6" i="51"/>
  <c r="M6" i="51"/>
  <c r="V18" i="51"/>
  <c r="V19" i="51"/>
  <c r="Y11" i="51"/>
  <c r="V23" i="51"/>
  <c r="V9" i="51"/>
  <c r="V4" i="51"/>
  <c r="V13" i="51"/>
  <c r="Y13" i="51"/>
  <c r="Y4" i="51"/>
  <c r="B16" i="51" l="1"/>
  <c r="Y9" i="51"/>
  <c r="V7" i="51"/>
  <c r="Y7" i="51"/>
  <c r="V11" i="51"/>
  <c r="V5" i="51"/>
  <c r="Y5" i="51"/>
  <c r="G20" i="51" l="1"/>
  <c r="C6" i="89" s="1"/>
  <c r="J6" i="89" s="1"/>
  <c r="J20" i="51"/>
  <c r="Y6" i="51"/>
  <c r="Y12" i="51"/>
  <c r="Y10" i="51"/>
  <c r="Y8" i="51"/>
  <c r="V12" i="51"/>
  <c r="V8" i="51"/>
  <c r="V10" i="51"/>
  <c r="V6" i="51"/>
  <c r="V20" i="51"/>
  <c r="AM30" i="51"/>
  <c r="AO30" i="51"/>
  <c r="D6" i="89" l="1"/>
  <c r="E6" i="89"/>
  <c r="AM31" i="51"/>
  <c r="AM33" i="51"/>
  <c r="M8" i="51"/>
  <c r="J8" i="51"/>
  <c r="G8" i="51"/>
  <c r="AN19" i="85" l="1"/>
  <c r="AN18" i="85"/>
  <c r="G8" i="61" l="1"/>
  <c r="O61" i="87"/>
  <c r="M61" i="87"/>
  <c r="L61" i="87"/>
  <c r="J61" i="87"/>
  <c r="X45" i="87"/>
  <c r="W45" i="87"/>
  <c r="X44" i="87"/>
  <c r="Y44" i="87" s="1"/>
  <c r="W44" i="87"/>
  <c r="X43" i="87"/>
  <c r="W43" i="87"/>
  <c r="X42" i="87"/>
  <c r="W42" i="87"/>
  <c r="X41" i="87"/>
  <c r="W41" i="87"/>
  <c r="X40" i="87"/>
  <c r="W40" i="87"/>
  <c r="X39" i="87"/>
  <c r="W39" i="87"/>
  <c r="X38" i="87"/>
  <c r="W38" i="87"/>
  <c r="X37" i="87"/>
  <c r="W37" i="87"/>
  <c r="X36" i="87"/>
  <c r="W36" i="87"/>
  <c r="X35" i="87"/>
  <c r="W35" i="87"/>
  <c r="X34" i="87"/>
  <c r="W34" i="87"/>
  <c r="X33" i="87"/>
  <c r="W33" i="87"/>
  <c r="X32" i="87"/>
  <c r="W32" i="87"/>
  <c r="X31" i="87"/>
  <c r="W31" i="87"/>
  <c r="X30" i="87"/>
  <c r="W30" i="87"/>
  <c r="X29" i="87"/>
  <c r="W29" i="87"/>
  <c r="X28" i="87"/>
  <c r="W28" i="87"/>
  <c r="X27" i="87"/>
  <c r="W27" i="87"/>
  <c r="X26" i="87"/>
  <c r="W26" i="87"/>
  <c r="X25" i="87"/>
  <c r="W25" i="87"/>
  <c r="X24" i="87"/>
  <c r="W24" i="87"/>
  <c r="X23" i="87"/>
  <c r="W23" i="87"/>
  <c r="X22" i="87"/>
  <c r="W22" i="87"/>
  <c r="X21" i="87"/>
  <c r="W21" i="87"/>
  <c r="AA20" i="87"/>
  <c r="AM20" i="87" s="1"/>
  <c r="X20" i="87"/>
  <c r="W20" i="87"/>
  <c r="AA19" i="87"/>
  <c r="AD19" i="87" s="1"/>
  <c r="X19" i="87"/>
  <c r="W19" i="87"/>
  <c r="AA18" i="87"/>
  <c r="AK18" i="87" s="1"/>
  <c r="X18" i="87"/>
  <c r="W18" i="87"/>
  <c r="AA17" i="87"/>
  <c r="AL17" i="87" s="1"/>
  <c r="X17" i="87"/>
  <c r="W17" i="87"/>
  <c r="AA16" i="87"/>
  <c r="AI16" i="87" s="1"/>
  <c r="X16" i="87"/>
  <c r="W16" i="87"/>
  <c r="AA15" i="87"/>
  <c r="AP15" i="87" s="1"/>
  <c r="X15" i="87"/>
  <c r="W15" i="87"/>
  <c r="AA14" i="87"/>
  <c r="AG14" i="87" s="1"/>
  <c r="X14" i="87"/>
  <c r="W14" i="87"/>
  <c r="X13" i="87"/>
  <c r="W13" i="87"/>
  <c r="X12" i="87"/>
  <c r="W12" i="87"/>
  <c r="X11" i="87"/>
  <c r="W11" i="87"/>
  <c r="X10" i="87"/>
  <c r="W10" i="87"/>
  <c r="AQ9" i="87"/>
  <c r="AR9" i="87" s="1"/>
  <c r="AP9" i="87"/>
  <c r="AO9" i="87"/>
  <c r="AN9" i="87"/>
  <c r="AM9" i="87"/>
  <c r="AL9" i="87"/>
  <c r="AK9" i="87"/>
  <c r="AJ9" i="87"/>
  <c r="AI9" i="87"/>
  <c r="AH9" i="87"/>
  <c r="AG9" i="87"/>
  <c r="AF9" i="87"/>
  <c r="AE9" i="87"/>
  <c r="AD9" i="87"/>
  <c r="AC9" i="87"/>
  <c r="X9" i="87"/>
  <c r="W9" i="87"/>
  <c r="AQ8" i="87"/>
  <c r="AR8" i="87" s="1"/>
  <c r="AP8" i="87"/>
  <c r="AO8" i="87"/>
  <c r="AN8" i="87"/>
  <c r="AM8" i="87"/>
  <c r="AL8" i="87"/>
  <c r="AK8" i="87"/>
  <c r="AJ8" i="87"/>
  <c r="AI8" i="87"/>
  <c r="AH8" i="87"/>
  <c r="AG8" i="87"/>
  <c r="AF8" i="87"/>
  <c r="AE8" i="87"/>
  <c r="AD8" i="87"/>
  <c r="AC8" i="87"/>
  <c r="X8" i="87"/>
  <c r="W8" i="87"/>
  <c r="AQ7" i="87"/>
  <c r="AR7" i="87" s="1"/>
  <c r="AP7" i="87"/>
  <c r="AO7" i="87"/>
  <c r="AN7" i="87"/>
  <c r="AM7" i="87"/>
  <c r="AL7" i="87"/>
  <c r="AK7" i="87"/>
  <c r="AJ7" i="87"/>
  <c r="AI7" i="87"/>
  <c r="AH7" i="87"/>
  <c r="AG7" i="87"/>
  <c r="AF7" i="87"/>
  <c r="AE7" i="87"/>
  <c r="AD7" i="87"/>
  <c r="AC7" i="87"/>
  <c r="X7" i="87"/>
  <c r="W7" i="87"/>
  <c r="AQ6" i="87"/>
  <c r="AR6" i="87" s="1"/>
  <c r="AP6" i="87"/>
  <c r="AO6" i="87"/>
  <c r="AN6" i="87"/>
  <c r="AM6" i="87"/>
  <c r="AL6" i="87"/>
  <c r="AK6" i="87"/>
  <c r="AJ6" i="87"/>
  <c r="AI6" i="87"/>
  <c r="AH6" i="87"/>
  <c r="AG6" i="87"/>
  <c r="AF6" i="87"/>
  <c r="AE6" i="87"/>
  <c r="AD6" i="87"/>
  <c r="AC6" i="87"/>
  <c r="X6" i="87"/>
  <c r="W6" i="87"/>
  <c r="AQ5" i="87"/>
  <c r="AR5" i="87" s="1"/>
  <c r="AP5" i="87"/>
  <c r="AO5" i="87"/>
  <c r="AN5" i="87"/>
  <c r="AM5" i="87"/>
  <c r="AL5" i="87"/>
  <c r="AK5" i="87"/>
  <c r="AJ5" i="87"/>
  <c r="AI5" i="87"/>
  <c r="AH5" i="87"/>
  <c r="AG5" i="87"/>
  <c r="AF5" i="87"/>
  <c r="AE5" i="87"/>
  <c r="AD5" i="87"/>
  <c r="AC5" i="87"/>
  <c r="X5" i="87"/>
  <c r="W5" i="87"/>
  <c r="AQ4" i="87"/>
  <c r="AR4" i="87" s="1"/>
  <c r="AP4" i="87"/>
  <c r="AO4" i="87"/>
  <c r="AN4" i="87"/>
  <c r="AM4" i="87"/>
  <c r="AL4" i="87"/>
  <c r="AK4" i="87"/>
  <c r="AJ4" i="87"/>
  <c r="AI4" i="87"/>
  <c r="AH4" i="87"/>
  <c r="AG4" i="87"/>
  <c r="AF4" i="87"/>
  <c r="AE4" i="87"/>
  <c r="AD4" i="87"/>
  <c r="AC4" i="87"/>
  <c r="X4" i="87"/>
  <c r="W4" i="87"/>
  <c r="AQ3" i="87"/>
  <c r="AR3" i="87" s="1"/>
  <c r="AP3" i="87"/>
  <c r="AO3" i="87"/>
  <c r="AN3" i="87"/>
  <c r="AM3" i="87"/>
  <c r="AL3" i="87"/>
  <c r="AK3" i="87"/>
  <c r="AJ3" i="87"/>
  <c r="AI3" i="87"/>
  <c r="AH3" i="87"/>
  <c r="AG3" i="87"/>
  <c r="AF3" i="87"/>
  <c r="AE3" i="87"/>
  <c r="AD3" i="87"/>
  <c r="AC3" i="87"/>
  <c r="X3" i="87"/>
  <c r="W3" i="87"/>
  <c r="AF17" i="87" l="1"/>
  <c r="AP17" i="87"/>
  <c r="AQ17" i="87"/>
  <c r="AR17" i="87" s="1"/>
  <c r="AM17" i="87"/>
  <c r="AG16" i="87"/>
  <c r="AJ16" i="87"/>
  <c r="AL16" i="87"/>
  <c r="AN16" i="87"/>
  <c r="AO18" i="87"/>
  <c r="AH16" i="87"/>
  <c r="AK16" i="87"/>
  <c r="AM16" i="87"/>
  <c r="AP18" i="87"/>
  <c r="AQ18" i="87"/>
  <c r="AR18" i="87" s="1"/>
  <c r="AL20" i="87"/>
  <c r="AD17" i="87"/>
  <c r="AN20" i="87"/>
  <c r="AQ14" i="87"/>
  <c r="AR14" i="87" s="1"/>
  <c r="AP20" i="87"/>
  <c r="AQ20" i="87"/>
  <c r="AR20" i="87" s="1"/>
  <c r="AJ15" i="87"/>
  <c r="AJ18" i="87"/>
  <c r="AN19" i="87"/>
  <c r="AL18" i="87"/>
  <c r="AQ19" i="87"/>
  <c r="AR19" i="87" s="1"/>
  <c r="AF19" i="87"/>
  <c r="AG19" i="87"/>
  <c r="AI18" i="87"/>
  <c r="AM18" i="87"/>
  <c r="AF16" i="87"/>
  <c r="AE17" i="87"/>
  <c r="AN18" i="87"/>
  <c r="AN17" i="87"/>
  <c r="AC17" i="87"/>
  <c r="AO17" i="87"/>
  <c r="AO20" i="87"/>
  <c r="AG17" i="87"/>
  <c r="AC20" i="87"/>
  <c r="AH14" i="87"/>
  <c r="AI14" i="87"/>
  <c r="AC16" i="87"/>
  <c r="AP16" i="87"/>
  <c r="AJ17" i="87"/>
  <c r="AE18" i="87"/>
  <c r="AH20" i="87"/>
  <c r="AQ15" i="87"/>
  <c r="AR15" i="87" s="1"/>
  <c r="AD14" i="87"/>
  <c r="AE14" i="87"/>
  <c r="AH17" i="87"/>
  <c r="AO16" i="87"/>
  <c r="AI17" i="87"/>
  <c r="AC18" i="87"/>
  <c r="AG20" i="87"/>
  <c r="AJ14" i="87"/>
  <c r="AD16" i="87"/>
  <c r="AQ16" i="87"/>
  <c r="AR16" i="87" s="1"/>
  <c r="AK17" i="87"/>
  <c r="AF18" i="87"/>
  <c r="AJ20" i="87"/>
  <c r="AK14" i="87"/>
  <c r="AE16" i="87"/>
  <c r="AH18" i="87"/>
  <c r="AE19" i="87"/>
  <c r="AK20" i="87"/>
  <c r="AH19" i="87"/>
  <c r="AD15" i="87"/>
  <c r="AL14" i="87"/>
  <c r="AE15" i="87"/>
  <c r="AI19" i="87"/>
  <c r="AM14" i="87"/>
  <c r="AF15" i="87"/>
  <c r="AJ19" i="87"/>
  <c r="AC15" i="87"/>
  <c r="AN14" i="87"/>
  <c r="AG15" i="87"/>
  <c r="AK19" i="87"/>
  <c r="AD20" i="87"/>
  <c r="AE20" i="87"/>
  <c r="AO14" i="87"/>
  <c r="AH15" i="87"/>
  <c r="AL19" i="87"/>
  <c r="AP14" i="87"/>
  <c r="AI15" i="87"/>
  <c r="AD18" i="87"/>
  <c r="AM19" i="87"/>
  <c r="AF20" i="87"/>
  <c r="AK15" i="87"/>
  <c r="AO19" i="87"/>
  <c r="AC14" i="87"/>
  <c r="AL15" i="87"/>
  <c r="AG18" i="87"/>
  <c r="AP19" i="87"/>
  <c r="AI20" i="87"/>
  <c r="AM15" i="87"/>
  <c r="AN15" i="87"/>
  <c r="AF14" i="87"/>
  <c r="AO15" i="87"/>
  <c r="AC19" i="87"/>
  <c r="AK18" i="61" l="1"/>
  <c r="AK19" i="61"/>
  <c r="AK21" i="61"/>
  <c r="AK20" i="61"/>
  <c r="AK19" i="85"/>
  <c r="AK18" i="85"/>
  <c r="AK19" i="63" l="1"/>
  <c r="AK18" i="63"/>
  <c r="AK20" i="63" l="1"/>
  <c r="AK21" i="64"/>
  <c r="R55" i="87"/>
  <c r="R60" i="87"/>
  <c r="H55" i="87"/>
  <c r="G46" i="87"/>
  <c r="S49" i="87"/>
  <c r="F50" i="87"/>
  <c r="E49" i="87"/>
  <c r="K55" i="87"/>
  <c r="U60" i="87"/>
  <c r="F60" i="87"/>
  <c r="D60" i="87"/>
  <c r="P52" i="87"/>
  <c r="P57" i="87"/>
  <c r="N55" i="87"/>
  <c r="I49" i="87"/>
  <c r="D55" i="87"/>
  <c r="U46" i="87"/>
  <c r="I56" i="87"/>
  <c r="I51" i="87"/>
  <c r="E51" i="87"/>
  <c r="R59" i="87"/>
  <c r="P58" i="87"/>
  <c r="E58" i="87"/>
  <c r="D57" i="87"/>
  <c r="N59" i="87"/>
  <c r="C51" i="87"/>
  <c r="U55" i="87"/>
  <c r="S56" i="87"/>
  <c r="D59" i="87"/>
  <c r="N49" i="87"/>
  <c r="D49" i="87"/>
  <c r="N51" i="87"/>
  <c r="D52" i="87"/>
  <c r="F58" i="87"/>
  <c r="U48" i="87"/>
  <c r="E46" i="87"/>
  <c r="U59" i="87"/>
  <c r="P49" i="87"/>
  <c r="C55" i="87"/>
  <c r="C59" i="87"/>
  <c r="H49" i="87"/>
  <c r="P51" i="87"/>
  <c r="K56" i="87"/>
  <c r="D50" i="87"/>
  <c r="H48" i="87"/>
  <c r="R56" i="87"/>
  <c r="N50" i="87"/>
  <c r="I48" i="87"/>
  <c r="N47" i="87"/>
  <c r="P50" i="87"/>
  <c r="F46" i="87"/>
  <c r="K47" i="87"/>
  <c r="R51" i="87"/>
  <c r="C50" i="87"/>
  <c r="D48" i="87"/>
  <c r="N48" i="87"/>
  <c r="K54" i="87"/>
  <c r="U56" i="87"/>
  <c r="S52" i="87"/>
  <c r="S50" i="87"/>
  <c r="S57" i="87"/>
  <c r="U53" i="87"/>
  <c r="I46" i="87"/>
  <c r="R52" i="87"/>
  <c r="K57" i="87"/>
  <c r="H51" i="87"/>
  <c r="G50" i="87"/>
  <c r="D51" i="87"/>
  <c r="H46" i="87"/>
  <c r="F59" i="87"/>
  <c r="U58" i="87"/>
  <c r="C53" i="87"/>
  <c r="R58" i="87"/>
  <c r="G57" i="87"/>
  <c r="K59" i="87"/>
  <c r="S59" i="87"/>
  <c r="G47" i="87"/>
  <c r="U47" i="87"/>
  <c r="G60" i="87"/>
  <c r="N46" i="87"/>
  <c r="H58" i="87"/>
  <c r="S60" i="87"/>
  <c r="E56" i="87"/>
  <c r="F47" i="87"/>
  <c r="E54" i="87"/>
  <c r="R54" i="87"/>
  <c r="G53" i="87"/>
  <c r="E60" i="87"/>
  <c r="F56" i="87"/>
  <c r="D56" i="87"/>
  <c r="I59" i="87"/>
  <c r="E50" i="87"/>
  <c r="C52" i="87"/>
  <c r="K50" i="87"/>
  <c r="F54" i="87"/>
  <c r="U51" i="87"/>
  <c r="K49" i="87"/>
  <c r="H53" i="87"/>
  <c r="P47" i="87"/>
  <c r="N58" i="87"/>
  <c r="I54" i="87"/>
  <c r="K46" i="87"/>
  <c r="P55" i="87"/>
  <c r="E57" i="87"/>
  <c r="N57" i="87"/>
  <c r="E52" i="87"/>
  <c r="K53" i="87"/>
  <c r="F52" i="87"/>
  <c r="S46" i="87"/>
  <c r="G54" i="87"/>
  <c r="P54" i="87"/>
  <c r="R57" i="87"/>
  <c r="H54" i="87"/>
  <c r="D58" i="87"/>
  <c r="H47" i="87"/>
  <c r="I60" i="87"/>
  <c r="S51" i="87"/>
  <c r="P53" i="87"/>
  <c r="F48" i="87"/>
  <c r="R50" i="87"/>
  <c r="S53" i="87"/>
  <c r="C58" i="87"/>
  <c r="E53" i="87"/>
  <c r="F53" i="87"/>
  <c r="C49" i="87"/>
  <c r="C60" i="87"/>
  <c r="H57" i="87"/>
  <c r="G48" i="87"/>
  <c r="F55" i="87"/>
  <c r="K48" i="87"/>
  <c r="F57" i="87"/>
  <c r="G56" i="87"/>
  <c r="C48" i="87"/>
  <c r="I52" i="87"/>
  <c r="C54" i="87"/>
  <c r="D46" i="87"/>
  <c r="H59" i="87"/>
  <c r="R53" i="87"/>
  <c r="I47" i="87"/>
  <c r="K58" i="87"/>
  <c r="R46" i="87"/>
  <c r="E55" i="87"/>
  <c r="P60" i="87"/>
  <c r="G55" i="87"/>
  <c r="S58" i="87"/>
  <c r="N52" i="87"/>
  <c r="C56" i="87"/>
  <c r="U52" i="87"/>
  <c r="D54" i="87"/>
  <c r="S54" i="87"/>
  <c r="G58" i="87"/>
  <c r="E48" i="87"/>
  <c r="S47" i="87"/>
  <c r="S55" i="87"/>
  <c r="R48" i="87"/>
  <c r="U49" i="87"/>
  <c r="K52" i="87"/>
  <c r="P48" i="87"/>
  <c r="D47" i="87"/>
  <c r="G49" i="87"/>
  <c r="G59" i="87"/>
  <c r="E59" i="87"/>
  <c r="G52" i="87"/>
  <c r="H52" i="87"/>
  <c r="S48" i="87"/>
  <c r="D53" i="87"/>
  <c r="K60" i="87"/>
  <c r="I50" i="87"/>
  <c r="R49" i="87"/>
  <c r="I58" i="87"/>
  <c r="N60" i="87"/>
  <c r="C46" i="87"/>
  <c r="P59" i="87"/>
  <c r="U54" i="87"/>
  <c r="F49" i="87"/>
  <c r="N53" i="87"/>
  <c r="P56" i="87"/>
  <c r="C57" i="87"/>
  <c r="H50" i="87"/>
  <c r="N56" i="87"/>
  <c r="U50" i="87"/>
  <c r="H60" i="87"/>
  <c r="K51" i="87"/>
  <c r="I55" i="87"/>
  <c r="F51" i="87"/>
  <c r="C47" i="87"/>
  <c r="I53" i="87"/>
  <c r="E47" i="87"/>
  <c r="P46" i="87"/>
  <c r="N54" i="87"/>
  <c r="R47" i="87"/>
  <c r="H56" i="87"/>
  <c r="I57" i="87"/>
  <c r="G51" i="87"/>
  <c r="U57" i="87"/>
  <c r="G61" i="87" l="1"/>
  <c r="U61" i="87"/>
  <c r="S61" i="87"/>
  <c r="P61" i="87"/>
  <c r="F61" i="87"/>
  <c r="K61" i="87"/>
  <c r="I61" i="87"/>
  <c r="N61" i="87"/>
  <c r="C61" i="87"/>
  <c r="E61" i="87"/>
  <c r="H61" i="87"/>
  <c r="D61" i="87"/>
  <c r="R61" i="87"/>
  <c r="AK18" i="64"/>
  <c r="AK19" i="64"/>
  <c r="T51" i="87"/>
  <c r="T56" i="87"/>
  <c r="T50" i="87"/>
  <c r="T58" i="87"/>
  <c r="T60" i="87"/>
  <c r="T46" i="87"/>
  <c r="T48" i="87"/>
  <c r="T53" i="87"/>
  <c r="T55" i="87"/>
  <c r="T54" i="87"/>
  <c r="T49" i="87"/>
  <c r="T59" i="87"/>
  <c r="T52" i="87"/>
  <c r="T57" i="87"/>
  <c r="T47" i="87"/>
  <c r="V61" i="87" l="1"/>
  <c r="W58" i="87"/>
  <c r="X58" i="87"/>
  <c r="Y58" i="87" s="1"/>
  <c r="X60" i="87"/>
  <c r="Y60" i="87" s="1"/>
  <c r="W60" i="87"/>
  <c r="W46" i="87"/>
  <c r="T61" i="87"/>
  <c r="X46" i="87"/>
  <c r="X47" i="87"/>
  <c r="Y47" i="87" s="1"/>
  <c r="W47" i="87"/>
  <c r="W51" i="87"/>
  <c r="X51" i="87"/>
  <c r="Y51" i="87" s="1"/>
  <c r="X55" i="87"/>
  <c r="Y55" i="87" s="1"/>
  <c r="W55" i="87"/>
  <c r="X59" i="87"/>
  <c r="Y59" i="87" s="1"/>
  <c r="W59" i="87"/>
  <c r="X49" i="87"/>
  <c r="Y49" i="87" s="1"/>
  <c r="W49" i="87"/>
  <c r="W48" i="87"/>
  <c r="X48" i="87"/>
  <c r="Y48" i="87" s="1"/>
  <c r="W52" i="87"/>
  <c r="X52" i="87"/>
  <c r="Y52" i="87" s="1"/>
  <c r="X54" i="87"/>
  <c r="Y54" i="87" s="1"/>
  <c r="W54" i="87"/>
  <c r="X50" i="87"/>
  <c r="Y50" i="87" s="1"/>
  <c r="W50" i="87"/>
  <c r="X57" i="87"/>
  <c r="Y57" i="87" s="1"/>
  <c r="W57" i="87"/>
  <c r="W53" i="87"/>
  <c r="X53" i="87"/>
  <c r="Y53" i="87" s="1"/>
  <c r="X56" i="87"/>
  <c r="Y56" i="87" s="1"/>
  <c r="W56" i="87"/>
  <c r="AK21" i="60"/>
  <c r="AK19" i="60"/>
  <c r="AK18" i="60"/>
  <c r="Y26" i="87" l="1"/>
  <c r="W61" i="87"/>
  <c r="Y42" i="87"/>
  <c r="Y39" i="87"/>
  <c r="Y19" i="87"/>
  <c r="Y14" i="87"/>
  <c r="Y25" i="87"/>
  <c r="Y11" i="87"/>
  <c r="Y13" i="87"/>
  <c r="Y32" i="87"/>
  <c r="Y7" i="87"/>
  <c r="Y10" i="87"/>
  <c r="Y12" i="87"/>
  <c r="Y45" i="87"/>
  <c r="Y29" i="87"/>
  <c r="Y28" i="87"/>
  <c r="Y40" i="87"/>
  <c r="Y16" i="87"/>
  <c r="Y30" i="87"/>
  <c r="Y41" i="87"/>
  <c r="Y5" i="87"/>
  <c r="Y43" i="87"/>
  <c r="Y4" i="87"/>
  <c r="Y22" i="87"/>
  <c r="Y34" i="87"/>
  <c r="Y3" i="87"/>
  <c r="Y20" i="87"/>
  <c r="Y15" i="87"/>
  <c r="Y18" i="87"/>
  <c r="Y24" i="87"/>
  <c r="Y8" i="87"/>
  <c r="Y33" i="87"/>
  <c r="Y27" i="87"/>
  <c r="Y35" i="87"/>
  <c r="Y6" i="87"/>
  <c r="Y21" i="87"/>
  <c r="Y37" i="87"/>
  <c r="Y46" i="87"/>
  <c r="Y23" i="87"/>
  <c r="Y31" i="87"/>
  <c r="Y17" i="87"/>
  <c r="Y9" i="87"/>
  <c r="Y38" i="87"/>
  <c r="Y36" i="87"/>
  <c r="AK21" i="53"/>
  <c r="AK20" i="53"/>
  <c r="AK19" i="53"/>
  <c r="AK18" i="53"/>
  <c r="AS3" i="87" l="1" a="1"/>
  <c r="AS3" i="87" s="1"/>
  <c r="AT3" i="87" s="1" a="1"/>
  <c r="AT3" i="87" s="1"/>
  <c r="AU3" i="87" s="1"/>
  <c r="AK21" i="51"/>
  <c r="AK22" i="51" s="1"/>
  <c r="AT43" i="87" l="1" a="1"/>
  <c r="AT43" i="87" s="1"/>
  <c r="AU43" i="87" s="1"/>
  <c r="AT4" i="87" a="1"/>
  <c r="AT4" i="87" s="1"/>
  <c r="AU4" i="87" s="1"/>
  <c r="AT16" i="87" a="1"/>
  <c r="AT16" i="87" s="1"/>
  <c r="AU16" i="87" s="1"/>
  <c r="AT45" i="87" a="1"/>
  <c r="AT45" i="87" s="1"/>
  <c r="AU45" i="87" s="1"/>
  <c r="AT27" i="87" a="1"/>
  <c r="AT27" i="87" s="1"/>
  <c r="AU27" i="87" s="1"/>
  <c r="AT40" i="87" a="1"/>
  <c r="AT40" i="87" s="1"/>
  <c r="AU40" i="87" s="1"/>
  <c r="AT18" i="87" a="1"/>
  <c r="AT18" i="87" s="1"/>
  <c r="AU18" i="87" s="1"/>
  <c r="AT11" i="87" a="1"/>
  <c r="AT11" i="87" s="1"/>
  <c r="AU11" i="87" s="1"/>
  <c r="AT41" i="87" a="1"/>
  <c r="AT41" i="87" s="1"/>
  <c r="AU41" i="87" s="1"/>
  <c r="AT30" i="87" a="1"/>
  <c r="AT30" i="87" s="1"/>
  <c r="AU30" i="87" s="1"/>
  <c r="AT12" i="87" a="1"/>
  <c r="AT12" i="87" s="1"/>
  <c r="AU12" i="87" s="1"/>
  <c r="AT5" i="87" a="1"/>
  <c r="AT5" i="87" s="1"/>
  <c r="AU5" i="87" s="1"/>
  <c r="AT29" i="87" a="1"/>
  <c r="AT29" i="87" s="1"/>
  <c r="AU29" i="87" s="1"/>
  <c r="AT21" i="87" a="1"/>
  <c r="AT21" i="87" s="1"/>
  <c r="AU21" i="87" s="1"/>
  <c r="AT22" i="87" a="1"/>
  <c r="AT22" i="87" s="1"/>
  <c r="AU22" i="87" s="1"/>
  <c r="AT38" i="87" a="1"/>
  <c r="AT38" i="87" s="1"/>
  <c r="AU38" i="87" s="1"/>
  <c r="AT14" i="87" a="1"/>
  <c r="AT14" i="87" s="1"/>
  <c r="AU14" i="87" s="1"/>
  <c r="AT17" i="87" a="1"/>
  <c r="AT17" i="87" s="1"/>
  <c r="AU17" i="87" s="1"/>
  <c r="AT42" i="87" a="1"/>
  <c r="AT42" i="87" s="1"/>
  <c r="AU42" i="87" s="1"/>
  <c r="AT28" i="87" a="1"/>
  <c r="AT28" i="87" s="1"/>
  <c r="AU28" i="87" s="1"/>
  <c r="AT9" i="87" a="1"/>
  <c r="AT9" i="87" s="1"/>
  <c r="AU9" i="87" s="1"/>
  <c r="AT15" i="87" a="1"/>
  <c r="AT15" i="87" s="1"/>
  <c r="AU15" i="87" s="1"/>
  <c r="AT39" i="87" a="1"/>
  <c r="AT39" i="87" s="1"/>
  <c r="AU39" i="87" s="1"/>
  <c r="AT31" i="87" a="1"/>
  <c r="AT31" i="87" s="1"/>
  <c r="AU31" i="87" s="1"/>
  <c r="AT35" i="87" a="1"/>
  <c r="AT35" i="87" s="1"/>
  <c r="AU35" i="87" s="1"/>
  <c r="AT34" i="87" a="1"/>
  <c r="AT34" i="87" s="1"/>
  <c r="AU34" i="87" s="1"/>
  <c r="AT6" i="87" a="1"/>
  <c r="AT6" i="87" s="1"/>
  <c r="AU6" i="87" s="1"/>
  <c r="AT24" i="87" a="1"/>
  <c r="AT24" i="87" s="1"/>
  <c r="AU24" i="87" s="1"/>
  <c r="AT13" i="87" a="1"/>
  <c r="AT13" i="87" s="1"/>
  <c r="AU13" i="87" s="1"/>
  <c r="AT33" i="87" a="1"/>
  <c r="AT33" i="87" s="1"/>
  <c r="AU33" i="87" s="1"/>
  <c r="AT25" i="87" a="1"/>
  <c r="AT25" i="87" s="1"/>
  <c r="AU25" i="87" s="1"/>
  <c r="AT32" i="87" a="1"/>
  <c r="AT32" i="87" s="1"/>
  <c r="AU32" i="87" s="1"/>
  <c r="AT44" i="87" a="1"/>
  <c r="AT44" i="87" s="1"/>
  <c r="AU44" i="87" s="1"/>
  <c r="AT20" i="87" a="1"/>
  <c r="AT20" i="87" s="1"/>
  <c r="AU20" i="87" s="1"/>
  <c r="AT8" i="87" a="1"/>
  <c r="AT8" i="87" s="1"/>
  <c r="AU8" i="87" s="1"/>
  <c r="AT37" i="87" a="1"/>
  <c r="AT37" i="87" s="1"/>
  <c r="AU37" i="87" s="1"/>
  <c r="AT36" i="87" a="1"/>
  <c r="AT36" i="87" s="1"/>
  <c r="AU36" i="87" s="1"/>
  <c r="AT26" i="87" a="1"/>
  <c r="AT26" i="87" s="1"/>
  <c r="AU26" i="87" s="1"/>
  <c r="AT10" i="87" a="1"/>
  <c r="AT10" i="87" s="1"/>
  <c r="AU10" i="87" s="1"/>
  <c r="AT19" i="87" a="1"/>
  <c r="AT19" i="87" s="1"/>
  <c r="AU19" i="87" s="1"/>
  <c r="AT23" i="87" a="1"/>
  <c r="AT23" i="87" s="1"/>
  <c r="AU23" i="87" s="1"/>
  <c r="AT7" i="87" a="1"/>
  <c r="AT7" i="87" s="1"/>
  <c r="AU7" i="87" s="1"/>
  <c r="AK21" i="52"/>
  <c r="AK20" i="52"/>
  <c r="AK19" i="52"/>
  <c r="AK18" i="52"/>
  <c r="AK19" i="51"/>
  <c r="AK18" i="51"/>
  <c r="BF1" i="60"/>
  <c r="BP66" i="85"/>
  <c r="BM65" i="85"/>
  <c r="BP62" i="85"/>
  <c r="BM61" i="85"/>
  <c r="BP58" i="85"/>
  <c r="BM57" i="85"/>
  <c r="BP54" i="85"/>
  <c r="BM53" i="85"/>
  <c r="BP50" i="85"/>
  <c r="BM49" i="85"/>
  <c r="BP46" i="85"/>
  <c r="BS45" i="85" s="1"/>
  <c r="BM45" i="85"/>
  <c r="V35" i="85"/>
  <c r="BS33" i="85"/>
  <c r="BO33" i="85"/>
  <c r="J83" i="85" a="1"/>
  <c r="J83" i="85" s="1"/>
  <c r="H83" i="85" a="1"/>
  <c r="H83" i="85" s="1"/>
  <c r="BA30" i="85"/>
  <c r="AY30" i="85"/>
  <c r="AW30" i="85"/>
  <c r="AU33" i="85" s="1"/>
  <c r="AU30" i="85"/>
  <c r="AS30" i="85"/>
  <c r="AQ33" i="85" s="1"/>
  <c r="AQ30" i="85"/>
  <c r="AO30" i="85"/>
  <c r="AM33" i="85" s="1"/>
  <c r="AM30" i="85"/>
  <c r="AK30" i="85"/>
  <c r="AI33" i="85" s="1"/>
  <c r="AI30" i="85"/>
  <c r="AG30" i="85"/>
  <c r="AE33" i="85" s="1"/>
  <c r="AE30" i="85"/>
  <c r="AZ22" i="85"/>
  <c r="AW22" i="85"/>
  <c r="AT22" i="85"/>
  <c r="AQ22" i="85"/>
  <c r="AN22" i="85"/>
  <c r="AK22" i="85"/>
  <c r="BF1" i="85"/>
  <c r="J15" i="85"/>
  <c r="P15" i="85"/>
  <c r="S15" i="85"/>
  <c r="G4" i="85"/>
  <c r="G11" i="85"/>
  <c r="G5" i="85"/>
  <c r="G9" i="85"/>
  <c r="G7" i="85"/>
  <c r="G15" i="85"/>
  <c r="G13" i="85"/>
  <c r="M15" i="85"/>
  <c r="G8" i="85" l="1"/>
  <c r="AY31" i="85"/>
  <c r="AE31" i="85"/>
  <c r="G10" i="85"/>
  <c r="X15" i="85"/>
  <c r="G12" i="85"/>
  <c r="G12" i="89" s="1"/>
  <c r="J12" i="85"/>
  <c r="J10" i="85"/>
  <c r="M10" i="85"/>
  <c r="G6" i="85"/>
  <c r="M12" i="85"/>
  <c r="AI31" i="85"/>
  <c r="AQ31" i="85"/>
  <c r="AM31" i="85"/>
  <c r="AU31" i="85"/>
  <c r="AY33" i="85"/>
  <c r="BP66" i="64"/>
  <c r="BM65" i="64"/>
  <c r="BP62" i="64"/>
  <c r="BM61" i="64"/>
  <c r="BP58" i="64"/>
  <c r="BM57" i="64"/>
  <c r="BP54" i="64"/>
  <c r="BM53" i="64"/>
  <c r="BP50" i="64"/>
  <c r="BM49" i="64"/>
  <c r="BP46" i="64"/>
  <c r="BS45" i="64" s="1"/>
  <c r="BM45" i="64"/>
  <c r="V35" i="64"/>
  <c r="BS33" i="64"/>
  <c r="BO33" i="64"/>
  <c r="J83" i="64" a="1"/>
  <c r="J83" i="64" s="1"/>
  <c r="H83" i="64" a="1"/>
  <c r="H83" i="64" s="1"/>
  <c r="BA30" i="64"/>
  <c r="AY33" i="64" s="1"/>
  <c r="AY30" i="64"/>
  <c r="AW30" i="64"/>
  <c r="AU30" i="64"/>
  <c r="AS30" i="64"/>
  <c r="AQ30" i="64"/>
  <c r="AO30" i="64"/>
  <c r="AM33" i="64" s="1"/>
  <c r="AM30" i="64"/>
  <c r="AK30" i="64"/>
  <c r="AI30" i="64"/>
  <c r="AG30" i="64"/>
  <c r="AE30" i="64"/>
  <c r="AZ22" i="64"/>
  <c r="AW22" i="64"/>
  <c r="AT22" i="64"/>
  <c r="AQ22" i="64"/>
  <c r="AN22" i="64"/>
  <c r="AK22" i="64"/>
  <c r="BF1" i="64"/>
  <c r="BP66" i="63"/>
  <c r="BM65" i="63"/>
  <c r="BP62" i="63"/>
  <c r="BM61" i="63"/>
  <c r="BP58" i="63"/>
  <c r="BM57" i="63"/>
  <c r="BP54" i="63"/>
  <c r="BM53" i="63"/>
  <c r="BP50" i="63"/>
  <c r="BM49" i="63"/>
  <c r="BP46" i="63"/>
  <c r="BS45" i="63" s="1"/>
  <c r="BM45" i="63"/>
  <c r="V37" i="63"/>
  <c r="BS33" i="63"/>
  <c r="BO33" i="63"/>
  <c r="J85" i="63" a="1"/>
  <c r="J85" i="63" s="1"/>
  <c r="H85" i="63" a="1"/>
  <c r="H85" i="63" s="1"/>
  <c r="BA30" i="63"/>
  <c r="AY33" i="63" s="1"/>
  <c r="AY30" i="63"/>
  <c r="AW30" i="63"/>
  <c r="AU33" i="63" s="1"/>
  <c r="AU30" i="63"/>
  <c r="AS30" i="63"/>
  <c r="AQ33" i="63" s="1"/>
  <c r="AQ30" i="63"/>
  <c r="AO30" i="63"/>
  <c r="AM33" i="63" s="1"/>
  <c r="AM30" i="63"/>
  <c r="AK30" i="63"/>
  <c r="AI33" i="63" s="1"/>
  <c r="AI30" i="63"/>
  <c r="AG30" i="63"/>
  <c r="AE33" i="63" s="1"/>
  <c r="AE30" i="63"/>
  <c r="AZ22" i="63"/>
  <c r="AW22" i="63"/>
  <c r="AT22" i="63"/>
  <c r="AQ22" i="63"/>
  <c r="AN22" i="63"/>
  <c r="AK22" i="63"/>
  <c r="BF1" i="63"/>
  <c r="BP66" i="62"/>
  <c r="BM65" i="62"/>
  <c r="BP62" i="62"/>
  <c r="BM61" i="62"/>
  <c r="BP58" i="62"/>
  <c r="BM57" i="62"/>
  <c r="BP54" i="62"/>
  <c r="BM53" i="62"/>
  <c r="BP50" i="62"/>
  <c r="BM49" i="62"/>
  <c r="BP46" i="62"/>
  <c r="BS45" i="62" s="1"/>
  <c r="BM45" i="62"/>
  <c r="V35" i="62"/>
  <c r="BS33" i="62"/>
  <c r="BO33" i="62"/>
  <c r="J83" i="62" a="1"/>
  <c r="J83" i="62" s="1"/>
  <c r="H83" i="62" a="1"/>
  <c r="H83" i="62" s="1"/>
  <c r="BA30" i="62"/>
  <c r="AY33" i="62" s="1"/>
  <c r="AY30" i="62"/>
  <c r="AW30" i="62"/>
  <c r="AU33" i="62" s="1"/>
  <c r="AU30" i="62"/>
  <c r="AS30" i="62"/>
  <c r="AQ30" i="62"/>
  <c r="AO30" i="62"/>
  <c r="AM33" i="62" s="1"/>
  <c r="AM30" i="62"/>
  <c r="AK30" i="62"/>
  <c r="AI33" i="62" s="1"/>
  <c r="AI30" i="62"/>
  <c r="AG30" i="62"/>
  <c r="AE33" i="62" s="1"/>
  <c r="AE30" i="62"/>
  <c r="AZ22" i="62"/>
  <c r="AW22" i="62"/>
  <c r="AT22" i="62"/>
  <c r="AQ22" i="62"/>
  <c r="AN22" i="62"/>
  <c r="AK22" i="62"/>
  <c r="BF1" i="62"/>
  <c r="BP66" i="61"/>
  <c r="BM65" i="61"/>
  <c r="BP62" i="61"/>
  <c r="BM61" i="61"/>
  <c r="BP58" i="61"/>
  <c r="BM57" i="61"/>
  <c r="BP54" i="61"/>
  <c r="BM53" i="61"/>
  <c r="BP50" i="61"/>
  <c r="BM49" i="61"/>
  <c r="BP46" i="61"/>
  <c r="BS45" i="61" s="1"/>
  <c r="BM45" i="61"/>
  <c r="V35" i="61"/>
  <c r="BS33" i="61"/>
  <c r="BO33" i="61"/>
  <c r="J83" i="61" a="1"/>
  <c r="J83" i="61" s="1"/>
  <c r="H83" i="61" a="1"/>
  <c r="H83" i="61" s="1"/>
  <c r="BA30" i="61"/>
  <c r="AY30" i="61"/>
  <c r="AW30" i="61"/>
  <c r="AU30" i="61"/>
  <c r="AS30" i="61"/>
  <c r="AQ33" i="61" s="1"/>
  <c r="AQ30" i="61"/>
  <c r="AO30" i="61"/>
  <c r="AM33" i="61" s="1"/>
  <c r="AM30" i="61"/>
  <c r="AK30" i="61"/>
  <c r="AI33" i="61" s="1"/>
  <c r="AI30" i="61"/>
  <c r="AG30" i="61"/>
  <c r="AE33" i="61" s="1"/>
  <c r="AE30" i="61"/>
  <c r="AZ22" i="61"/>
  <c r="AW22" i="61"/>
  <c r="AT22" i="61"/>
  <c r="AQ22" i="61"/>
  <c r="AN22" i="61"/>
  <c r="AK22" i="61"/>
  <c r="BF1" i="61"/>
  <c r="BP66" i="60"/>
  <c r="BM65" i="60"/>
  <c r="BP62" i="60"/>
  <c r="BM61" i="60"/>
  <c r="BP58" i="60"/>
  <c r="BM57" i="60"/>
  <c r="BP54" i="60"/>
  <c r="BM53" i="60"/>
  <c r="BP50" i="60"/>
  <c r="BM49" i="60"/>
  <c r="BP46" i="60"/>
  <c r="BS45" i="60" s="1"/>
  <c r="BM45" i="60"/>
  <c r="V35" i="60"/>
  <c r="BS33" i="60"/>
  <c r="BO33" i="60"/>
  <c r="J83" i="60" a="1"/>
  <c r="J83" i="60" s="1"/>
  <c r="H83" i="60" a="1"/>
  <c r="H83" i="60" s="1"/>
  <c r="BA30" i="60"/>
  <c r="AY33" i="60" s="1"/>
  <c r="AY30" i="60"/>
  <c r="AW30" i="60"/>
  <c r="AU33" i="60" s="1"/>
  <c r="AU30" i="60"/>
  <c r="AS30" i="60"/>
  <c r="AQ33" i="60" s="1"/>
  <c r="AQ30" i="60"/>
  <c r="AO30" i="60"/>
  <c r="AM33" i="60" s="1"/>
  <c r="AM30" i="60"/>
  <c r="AK30" i="60"/>
  <c r="AI33" i="60" s="1"/>
  <c r="AI30" i="60"/>
  <c r="AG30" i="60"/>
  <c r="AE33" i="60" s="1"/>
  <c r="AE30" i="60"/>
  <c r="AZ22" i="60"/>
  <c r="AW22" i="60"/>
  <c r="AT22" i="60"/>
  <c r="AQ22" i="60"/>
  <c r="AK22" i="60"/>
  <c r="BP66" i="53"/>
  <c r="BM65" i="53"/>
  <c r="BP62" i="53"/>
  <c r="BM61" i="53"/>
  <c r="BP58" i="53"/>
  <c r="BM57" i="53"/>
  <c r="BP54" i="53"/>
  <c r="BM53" i="53"/>
  <c r="BP50" i="53"/>
  <c r="BM49" i="53"/>
  <c r="BP46" i="53"/>
  <c r="BS45" i="53" s="1"/>
  <c r="BM45" i="53"/>
  <c r="V35" i="53"/>
  <c r="BS33" i="53"/>
  <c r="BO33" i="53"/>
  <c r="J83" i="53" a="1"/>
  <c r="J83" i="53" s="1"/>
  <c r="H83" i="53" a="1"/>
  <c r="H83" i="53" s="1"/>
  <c r="BA30" i="53"/>
  <c r="AY33" i="53" s="1"/>
  <c r="AY30" i="53"/>
  <c r="AW30" i="53"/>
  <c r="AU30" i="53"/>
  <c r="AS30" i="53"/>
  <c r="AQ30" i="53"/>
  <c r="AO30" i="53"/>
  <c r="AM33" i="53" s="1"/>
  <c r="AM30" i="53"/>
  <c r="AK30" i="53"/>
  <c r="AI30" i="53"/>
  <c r="AG30" i="53"/>
  <c r="AE33" i="53" s="1"/>
  <c r="AE30" i="53"/>
  <c r="AE31" i="53" s="1"/>
  <c r="AZ22" i="53"/>
  <c r="AW22" i="53"/>
  <c r="AT22" i="53"/>
  <c r="AQ22" i="53"/>
  <c r="AN22" i="53"/>
  <c r="AK22" i="53"/>
  <c r="BP66" i="52"/>
  <c r="BM65" i="52"/>
  <c r="BP62" i="52"/>
  <c r="BM61" i="52"/>
  <c r="BP58" i="52"/>
  <c r="BM57" i="52"/>
  <c r="BP54" i="52"/>
  <c r="BM53" i="52"/>
  <c r="BP50" i="52"/>
  <c r="BM49" i="52"/>
  <c r="BP46" i="52"/>
  <c r="BS45" i="52" s="1"/>
  <c r="BM45" i="52"/>
  <c r="V35" i="52"/>
  <c r="BS33" i="52"/>
  <c r="BO33" i="52"/>
  <c r="J70" i="52" a="1"/>
  <c r="J70" i="52" s="1"/>
  <c r="H70" i="52" a="1"/>
  <c r="H70" i="52" s="1"/>
  <c r="BA30" i="52"/>
  <c r="AY33" i="52" s="1"/>
  <c r="AY30" i="52"/>
  <c r="AW30" i="52"/>
  <c r="AU33" i="52" s="1"/>
  <c r="AU30" i="52"/>
  <c r="AS30" i="52"/>
  <c r="AQ33" i="52" s="1"/>
  <c r="AQ30" i="52"/>
  <c r="AO30" i="52"/>
  <c r="AM33" i="52" s="1"/>
  <c r="AM30" i="52"/>
  <c r="AK30" i="52"/>
  <c r="AI33" i="52" s="1"/>
  <c r="AI30" i="52"/>
  <c r="AG30" i="52"/>
  <c r="AE33" i="52" s="1"/>
  <c r="AE30" i="52"/>
  <c r="AZ22" i="52"/>
  <c r="AW22" i="52"/>
  <c r="AT22" i="52"/>
  <c r="AQ22" i="52"/>
  <c r="AN22" i="52"/>
  <c r="AK22" i="52"/>
  <c r="BF1" i="52"/>
  <c r="BP66" i="51"/>
  <c r="BM65" i="51"/>
  <c r="BP62" i="51"/>
  <c r="BM61" i="51"/>
  <c r="BP58" i="51"/>
  <c r="BM57" i="51"/>
  <c r="BP54" i="51"/>
  <c r="BM53" i="51"/>
  <c r="BP50" i="51"/>
  <c r="BM49" i="51"/>
  <c r="BP46" i="51"/>
  <c r="BS45" i="51" s="1"/>
  <c r="BM45" i="51"/>
  <c r="V35" i="51"/>
  <c r="BS33" i="51"/>
  <c r="BO33" i="51"/>
  <c r="J70" i="51" a="1"/>
  <c r="J70" i="51" s="1"/>
  <c r="H70" i="51" a="1"/>
  <c r="H70" i="51" s="1"/>
  <c r="BA30" i="51"/>
  <c r="AY33" i="51" s="1"/>
  <c r="AY30" i="51"/>
  <c r="AW30" i="51"/>
  <c r="AU33" i="51" s="1"/>
  <c r="AU30" i="51"/>
  <c r="AS30" i="51"/>
  <c r="AQ33" i="51" s="1"/>
  <c r="AQ30" i="51"/>
  <c r="AK30" i="51"/>
  <c r="AI33" i="51" s="1"/>
  <c r="AI30" i="51"/>
  <c r="AG30" i="51"/>
  <c r="AE33" i="51" s="1"/>
  <c r="AE30" i="51"/>
  <c r="AZ22" i="51"/>
  <c r="AW22" i="51"/>
  <c r="AT22" i="51"/>
  <c r="AQ22" i="51"/>
  <c r="AN22" i="51"/>
  <c r="BF1" i="51"/>
  <c r="AU31" i="64" l="1"/>
  <c r="AE31" i="51"/>
  <c r="AQ31" i="60"/>
  <c r="AM31" i="61"/>
  <c r="AM31" i="52"/>
  <c r="AQ31" i="61"/>
  <c r="AY31" i="62"/>
  <c r="AY31" i="61"/>
  <c r="AM31" i="62"/>
  <c r="AY31" i="64"/>
  <c r="AI31" i="52"/>
  <c r="AU31" i="61"/>
  <c r="AI31" i="60"/>
  <c r="AQ31" i="62"/>
  <c r="AI31" i="64"/>
  <c r="AU33" i="61"/>
  <c r="AE31" i="62"/>
  <c r="AU31" i="62"/>
  <c r="AU31" i="63"/>
  <c r="AM31" i="64"/>
  <c r="AU31" i="52"/>
  <c r="AI31" i="62"/>
  <c r="AI31" i="61"/>
  <c r="AU31" i="51"/>
  <c r="AY31" i="63"/>
  <c r="AQ31" i="53"/>
  <c r="AM31" i="53"/>
  <c r="AU31" i="53"/>
  <c r="AY31" i="53"/>
  <c r="AI31" i="53"/>
  <c r="AU33" i="53"/>
  <c r="AQ31" i="51"/>
  <c r="AI31" i="51"/>
  <c r="AE31" i="61"/>
  <c r="AE31" i="63"/>
  <c r="AE31" i="64"/>
  <c r="AE31" i="60"/>
  <c r="AE31" i="52"/>
  <c r="AE33" i="64"/>
  <c r="AI33" i="64"/>
  <c r="AQ31" i="64"/>
  <c r="AQ33" i="64"/>
  <c r="AU33" i="64"/>
  <c r="AM31" i="60"/>
  <c r="AI31" i="63"/>
  <c r="AQ33" i="62"/>
  <c r="AM31" i="63"/>
  <c r="AU31" i="60"/>
  <c r="AQ31" i="63"/>
  <c r="AY31" i="60"/>
  <c r="AY33" i="61"/>
  <c r="AQ31" i="52"/>
  <c r="AY31" i="52"/>
  <c r="AI33" i="53"/>
  <c r="AQ33" i="53"/>
  <c r="AY31" i="51"/>
  <c r="G13" i="63"/>
  <c r="M7" i="62"/>
  <c r="M11" i="62"/>
  <c r="M15" i="64"/>
  <c r="G5" i="51"/>
  <c r="G4" i="63"/>
  <c r="P15" i="61"/>
  <c r="M15" i="53"/>
  <c r="G13" i="53"/>
  <c r="S5" i="64"/>
  <c r="J7" i="62"/>
  <c r="S7" i="51"/>
  <c r="G9" i="63"/>
  <c r="G9" i="51"/>
  <c r="S5" i="51"/>
  <c r="S4" i="64"/>
  <c r="J13" i="52"/>
  <c r="G4" i="53"/>
  <c r="G5" i="61"/>
  <c r="G15" i="53"/>
  <c r="P15" i="64"/>
  <c r="S11" i="51"/>
  <c r="J13" i="53"/>
  <c r="J15" i="64"/>
  <c r="G11" i="63"/>
  <c r="G7" i="64"/>
  <c r="S7" i="64"/>
  <c r="S15" i="60"/>
  <c r="G9" i="64"/>
  <c r="P15" i="53"/>
  <c r="G4" i="61"/>
  <c r="S15" i="51"/>
  <c r="G5" i="52"/>
  <c r="G11" i="60"/>
  <c r="G15" i="63"/>
  <c r="G15" i="60"/>
  <c r="S15" i="64"/>
  <c r="S4" i="51"/>
  <c r="S13" i="64"/>
  <c r="G5" i="53"/>
  <c r="S15" i="53"/>
  <c r="G11" i="53"/>
  <c r="P9" i="64"/>
  <c r="G7" i="60"/>
  <c r="G15" i="52"/>
  <c r="P4" i="64"/>
  <c r="P15" i="60"/>
  <c r="J15" i="63"/>
  <c r="M15" i="62"/>
  <c r="G13" i="62"/>
  <c r="G9" i="53"/>
  <c r="J13" i="60"/>
  <c r="P11" i="64"/>
  <c r="P15" i="52"/>
  <c r="G11" i="64"/>
  <c r="M15" i="63"/>
  <c r="S15" i="52"/>
  <c r="S15" i="62"/>
  <c r="S11" i="64"/>
  <c r="G4" i="62"/>
  <c r="G13" i="61"/>
  <c r="S13" i="51"/>
  <c r="G4" i="52"/>
  <c r="P15" i="51"/>
  <c r="G15" i="64"/>
  <c r="G15" i="51"/>
  <c r="S15" i="63"/>
  <c r="J15" i="62"/>
  <c r="G13" i="51"/>
  <c r="P13" i="64"/>
  <c r="P7" i="64"/>
  <c r="G9" i="61"/>
  <c r="G15" i="62"/>
  <c r="M13" i="52"/>
  <c r="G11" i="51"/>
  <c r="S9" i="51"/>
  <c r="G11" i="61"/>
  <c r="G5" i="64"/>
  <c r="P15" i="63"/>
  <c r="G5" i="63"/>
  <c r="S9" i="64"/>
  <c r="P15" i="62"/>
  <c r="G7" i="61"/>
  <c r="J15" i="53"/>
  <c r="G7" i="63"/>
  <c r="P11" i="51"/>
  <c r="G9" i="52"/>
  <c r="G4" i="60"/>
  <c r="M13" i="53"/>
  <c r="G5" i="60"/>
  <c r="P4" i="51"/>
  <c r="P5" i="64"/>
  <c r="G13" i="52"/>
  <c r="G13" i="60"/>
  <c r="G7" i="52"/>
  <c r="P5" i="51"/>
  <c r="G4" i="64"/>
  <c r="J11" i="62"/>
  <c r="G13" i="64"/>
  <c r="S15" i="61"/>
  <c r="G11" i="52"/>
  <c r="M13" i="60"/>
  <c r="G11" i="62"/>
  <c r="G5" i="62"/>
  <c r="G9" i="60"/>
  <c r="G7" i="51"/>
  <c r="G8" i="64" l="1"/>
  <c r="G8" i="60"/>
  <c r="G10" i="53"/>
  <c r="X15" i="63"/>
  <c r="S6" i="51"/>
  <c r="M12" i="51"/>
  <c r="J12" i="64"/>
  <c r="M8" i="62"/>
  <c r="P12" i="64"/>
  <c r="S8" i="64"/>
  <c r="M10" i="63"/>
  <c r="J12" i="51"/>
  <c r="G10" i="52"/>
  <c r="J10" i="64"/>
  <c r="P6" i="51"/>
  <c r="P6" i="64"/>
  <c r="M10" i="61"/>
  <c r="X15" i="53"/>
  <c r="S12" i="64"/>
  <c r="G12" i="64"/>
  <c r="G11" i="89" s="1"/>
  <c r="J10" i="51"/>
  <c r="M12" i="62"/>
  <c r="G12" i="62"/>
  <c r="G13" i="89" s="1"/>
  <c r="M12" i="52"/>
  <c r="J8" i="62"/>
  <c r="S8" i="51"/>
  <c r="M12" i="61"/>
  <c r="X15" i="62"/>
  <c r="G6" i="60"/>
  <c r="X15" i="60"/>
  <c r="G10" i="62"/>
  <c r="P8" i="51"/>
  <c r="G10" i="63"/>
  <c r="M10" i="51"/>
  <c r="J12" i="61"/>
  <c r="M12" i="63"/>
  <c r="G8" i="53"/>
  <c r="P8" i="64"/>
  <c r="G10" i="60"/>
  <c r="J12" i="60"/>
  <c r="M10" i="62"/>
  <c r="J10" i="60"/>
  <c r="J12" i="62"/>
  <c r="G10" i="64"/>
  <c r="P12" i="51"/>
  <c r="G10" i="61"/>
  <c r="X15" i="61"/>
  <c r="J12" i="52"/>
  <c r="G8" i="63"/>
  <c r="G6" i="63"/>
  <c r="G6" i="53"/>
  <c r="J10" i="61"/>
  <c r="G6" i="64"/>
  <c r="G12" i="61"/>
  <c r="G14" i="89" s="1"/>
  <c r="G10" i="51"/>
  <c r="M10" i="60"/>
  <c r="X15" i="51"/>
  <c r="X15" i="52"/>
  <c r="S6" i="64"/>
  <c r="M10" i="64"/>
  <c r="P10" i="51"/>
  <c r="G6" i="62"/>
  <c r="X15" i="64"/>
  <c r="G6" i="51"/>
  <c r="G6" i="52"/>
  <c r="G6" i="61"/>
  <c r="J10" i="62"/>
  <c r="G12" i="53"/>
  <c r="G8" i="89" s="1"/>
  <c r="M10" i="52"/>
  <c r="G12" i="60"/>
  <c r="G9" i="89" s="1"/>
  <c r="J10" i="53"/>
  <c r="J12" i="63"/>
  <c r="S10" i="64"/>
  <c r="G12" i="52"/>
  <c r="G7" i="89" s="1"/>
  <c r="P10" i="64"/>
  <c r="J12" i="53"/>
  <c r="J10" i="63"/>
  <c r="G12" i="63"/>
  <c r="G10" i="89" s="1"/>
  <c r="S10" i="51"/>
  <c r="M12" i="60"/>
  <c r="S12" i="51"/>
  <c r="G12" i="51"/>
  <c r="G6" i="89" s="1"/>
  <c r="M12"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tc={AC3C1C78-2BE6-443E-9327-94BA8DCF3DCF}</author>
    <author>tc={B6E67329-42CA-4E39-A14D-AD4103EF18FB}</author>
    <author>tc={106BD0CC-E351-4FEE-8A87-0EEFE37AB872}</author>
    <author>tc={C2A01BC8-665E-458E-97AD-CC5C4DFD41E2}</author>
    <author>tc={0E0A1210-9F16-4A45-89C8-CF3022E1436C}</author>
    <author>tc={83AF17A0-C032-41B8-8604-FA0D628BFD0B}</author>
  </authors>
  <commentList>
    <comment ref="AV4" authorId="0" shapeId="0" xr:uid="{AC3C1C78-2BE6-443E-9327-94BA8DCF3DCF}">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2泊３日：１名、１泊：１名(新規：小学生)
</t>
      </text>
    </comment>
    <comment ref="AH5" authorId="1" shapeId="0" xr:uid="{B6E67329-42CA-4E39-A14D-AD4103EF18F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女性3件：
2名入院中（1名は退院先を探している）
もう1名は入居先検討中(見学について調整中)</t>
      </text>
    </comment>
    <comment ref="AF12" authorId="2" shapeId="0" xr:uid="{106BD0CC-E351-4FEE-8A87-0EEFE37AB87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男性１名：退去リスク　女性２名：退去予定</t>
      </text>
    </comment>
    <comment ref="BK13" authorId="3" shapeId="0" xr:uid="{C2A01BC8-665E-458E-97AD-CC5C4DFD41E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サビ管希望あり：</t>
      </text>
    </comment>
    <comment ref="AK19" authorId="4" shapeId="0" xr:uid="{0E0A1210-9F16-4A45-89C8-CF3022E1436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深夜勤：70h</t>
      </text>
    </comment>
    <comment ref="J29" authorId="5" shapeId="0" xr:uid="{83AF17A0-C032-41B8-8604-FA0D628BFD0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深夜勤：70h</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tc={62C53AC9-8939-420F-9529-F5E580B20468}</author>
    <author>tc={0E50FA7C-73E5-4E7C-AB03-A7502F2B618C}</author>
    <author>tc={D77225F1-0231-4BC5-B0C9-EEE29C211359}</author>
    <author>tc={52DFFAB9-A034-44BF-92D9-14AE1C935ED2}</author>
    <author>tc={FFD493CF-B853-48E8-AE1F-C046082DEA98}</author>
    <author>tc={38974944-00C6-42AE-8F6F-8DA62976E97D}</author>
    <author>tc={18399291-B080-4AFA-95D8-BE2A53695D80}</author>
    <author>tc={9751B862-ADD5-41F9-913A-E80E47A42A16}</author>
    <author>tc={42B9142E-9802-49F5-8A7F-731D365A3DE0}</author>
    <author>tc={897E711F-6C67-43D5-AE68-73DE4AB10508}</author>
    <author>tc={EC1826BC-3BA8-4A79-B6AB-4EA983677145}</author>
    <author>tc={8577F819-0AFA-4515-B871-CA8628864FAB}</author>
    <author>tc={0CEC21FA-A881-4EA0-85E3-D2C08C60E8A7}</author>
  </authors>
  <commentList>
    <comment ref="AC11" authorId="0" shapeId="0" xr:uid="{62C53AC9-8939-420F-9529-F5E580B2046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KGI：SS稼働95%</t>
      </text>
    </comment>
    <comment ref="AC12" authorId="1" shapeId="0" xr:uid="{0E50FA7C-73E5-4E7C-AB03-A7502F2B618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KGI：入居稼働(入院予防)</t>
      </text>
    </comment>
    <comment ref="AC13" authorId="2" shapeId="0" xr:uid="{D77225F1-0231-4BC5-B0C9-EEE29C21135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KGI：タイミー夜勤400h未満(200hの削減必要)</t>
      </text>
    </comment>
    <comment ref="AK18" authorId="3" shapeId="0" xr:uid="{52DFFAB9-A034-44BF-92D9-14AE1C935ED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89h</t>
      </text>
    </comment>
    <comment ref="M19" authorId="4" shapeId="0" xr:uid="{FFD493CF-B853-48E8-AE1F-C046082DEA9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入院中2名の退院予定が確定した為</t>
      </text>
    </comment>
    <comment ref="P19" authorId="5" shapeId="0" xr:uid="{38974944-00C6-42AE-8F6F-8DA62976E97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入院中2名の退院予定が確定した為</t>
      </text>
    </comment>
    <comment ref="AK19" authorId="6" shapeId="0" xr:uid="{18399291-B080-4AFA-95D8-BE2A53695D8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635h</t>
      </text>
    </comment>
    <comment ref="J29" authorId="7" shapeId="0" xr:uid="{9751B862-ADD5-41F9-913A-E80E47A42A1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深夜勤：70h</t>
      </text>
    </comment>
    <comment ref="AE32" authorId="8" shapeId="0" xr:uid="{42B9142E-9802-49F5-8A7F-731D365A3DE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4月面接予定</t>
      </text>
    </comment>
    <comment ref="D46" authorId="9" shapeId="0" xr:uid="{897E711F-6C67-43D5-AE68-73DE4AB1050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入院中：要因はとろみ
返信:
吸引は不要になった</t>
      </text>
    </comment>
    <comment ref="D52" authorId="10" shapeId="0" xr:uid="{EC1826BC-3BA8-4A79-B6AB-4EA98367714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退院未定</t>
      </text>
    </comment>
    <comment ref="AN54" authorId="11" shapeId="0" xr:uid="{8577F819-0AFA-4515-B871-CA8628864FA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5月入社予定：夜勤1名　144h
もう１名 面接⇒採用予定(タイミー)</t>
      </text>
    </comment>
    <comment ref="L55" authorId="12" shapeId="0" xr:uid="{0CEC21FA-A881-4EA0-85E3-D2C08C60E8A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3/24から入院中。退院未定。5月中旬にカンファレンスがある為、その時点で退去についても検討していく。</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tc={D23C6058-C6A4-4DBB-80DA-8E6F6D6F6D8F}</author>
    <author>tc={B88A07AA-DF89-4DA0-94B7-00E5C0C49A63}</author>
    <author>tc={0C353AB5-B7B3-49BA-A51B-46C379209596}</author>
    <author>tc={3D968E71-7B5F-4E5A-B825-8D74AFCC447C}</author>
    <author>tc={C4B9EC7F-3BA8-4A9E-B3E7-2C7FFB44726D}</author>
    <author>tc={7976D649-A2E9-49CD-902D-579843BD5DF7}</author>
    <author>tc={BA0167B9-47E0-4F01-945D-BF26724BAE53}</author>
  </authors>
  <commentList>
    <comment ref="AS5" authorId="0" shapeId="0" xr:uid="{D23C6058-C6A4-4DBB-80DA-8E6F6D6F6D8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イノベルより、SSの相談あり。（イノベルの部屋数が足りないので、と）</t>
      </text>
    </comment>
    <comment ref="AC11" authorId="1" shapeId="0" xr:uid="{B88A07AA-DF89-4DA0-94B7-00E5C0C49A6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KGI：入居稼働</t>
      </text>
    </comment>
    <comment ref="AC12" authorId="2" shapeId="0" xr:uid="{0C353AB5-B7B3-49BA-A51B-46C37920959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KGI：SS契約者数　2名</t>
      </text>
    </comment>
    <comment ref="AC13" authorId="3" shapeId="0" xr:uid="{3D968E71-7B5F-4E5A-B825-8D74AFCC447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KGI：夜勤2名採用</t>
      </text>
    </comment>
    <comment ref="J29" authorId="4" shapeId="0" xr:uid="{C4B9EC7F-3BA8-4A9E-B3E7-2C7FFB44726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深夜勤：70h</t>
      </text>
    </comment>
    <comment ref="BK37" authorId="5" shapeId="0" xr:uid="{7976D649-A2E9-49CD-902D-579843BD5DF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若林様</t>
      </text>
    </comment>
    <comment ref="AL41" authorId="6" shapeId="0" xr:uid="{BA0167B9-47E0-4F01-945D-BF26724BAE5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3月の事故報告が事務所に溜まっている為、確認後に記載</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tc={FD2A769A-8F7F-4DD3-A437-C5F1CBBB8110}</author>
    <author>tc={5709EAC5-1093-418D-8CCB-3A916E3C00E2}</author>
    <author>tc={A3D03AB5-E40E-48E5-9724-82E72103F3F2}</author>
    <author>tc={A0099054-63F6-4774-B274-1FED2DD048FB}</author>
    <author>tc={C243C86D-C1B0-420B-9F3C-C890462FFACD}</author>
    <author>tc={BB579E57-A2E6-4AA7-9BD3-98F694F2BD79}</author>
    <author>tc={7A2105EF-B39E-4E5D-A481-E09E09445E0E}</author>
    <author>tc={5B7FA7AE-97F6-41E4-9E89-96A41312E680}</author>
    <author>tc={0A90B207-72B3-4E15-9300-CF6BEAB1014D}</author>
    <author>tc={B1C0A921-54C3-4324-98B0-CFCD969FF530}</author>
  </authors>
  <commentList>
    <comment ref="AW4" authorId="0" shapeId="0" xr:uid="{FD2A769A-8F7F-4DD3-A437-C5F1CBBB8110}">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SS：13日予定（6/3時点）
返信:
小沢ミカさん：毎月1泊2日を予定
</t>
      </text>
    </comment>
    <comment ref="AE5" authorId="1" shapeId="0" xr:uid="{5709EAC5-1093-418D-8CCB-3A916E3C00E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女性の空き：確認(即入居希望）：1件
菊川市役所から1件</t>
      </text>
    </comment>
    <comment ref="AC11" authorId="2" shapeId="0" xr:uid="{A3D03AB5-E40E-48E5-9724-82E72103F3F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KGI：SS契約者数　2名</t>
      </text>
    </comment>
    <comment ref="AC12" authorId="3" shapeId="0" xr:uid="{A0099054-63F6-4774-B274-1FED2DD048F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KGI：入居稼働</t>
      </text>
    </comment>
    <comment ref="BK37" authorId="4" shapeId="0" xr:uid="{C243C86D-C1B0-420B-9F3C-C890462FFAC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EPAへの他害</t>
      </text>
    </comment>
    <comment ref="L39" authorId="5" shapeId="0" xr:uid="{BB579E57-A2E6-4AA7-9BD3-98F694F2BD7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30日</t>
      </text>
    </comment>
    <comment ref="D41" authorId="6" shapeId="0" xr:uid="{7A2105EF-B39E-4E5D-A481-E09E09445E0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就労先変更(6月～):</t>
      </text>
    </comment>
    <comment ref="AL42" authorId="7" shapeId="0" xr:uid="{5B7FA7AE-97F6-41E4-9E89-96A41312E68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女性利用者⇒EPA職員への他害事故（本人から謝罪済）</t>
      </text>
    </comment>
    <comment ref="D47" authorId="8" shapeId="0" xr:uid="{0A90B207-72B3-4E15-9300-CF6BEAB1014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6/3 サ担予定:
返信:
待機者①鈴木ミコさん：入院中　②木村トモミさん：SS　③深川さん：他も検討中</t>
      </text>
    </comment>
    <comment ref="J53" authorId="9" shapeId="0" xr:uid="{B1C0A921-54C3-4324-98B0-CFCD969FF5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R8.8.31が期日</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tc={C0DADCF1-AA5D-4F7C-85BC-16836D6210DA}</author>
    <author>tc={87338647-7FD7-47CB-9247-0E64A45C4D00}</author>
    <author>tc={E9F33463-A2BF-4209-9677-F497E4478E64}</author>
    <author>tc={F731F93F-21AD-4D87-93AD-CEEECA722174}</author>
    <author>tc={E7B227C1-A39E-40A9-98FF-67054362A2E7}</author>
    <author>tc={58A31C95-F9B8-4833-B1BF-00554F9EDABF}</author>
  </authors>
  <commentList>
    <comment ref="AU4" authorId="0" shapeId="0" xr:uid="{C0DADCF1-AA5D-4F7C-85BC-16836D6210D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26日稼働予定(新規2名：タマコシさん、タカヤマさん)</t>
      </text>
    </comment>
    <comment ref="AW4" authorId="1" shapeId="0" xr:uid="{87338647-7FD7-47CB-9247-0E64A45C4D0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21日稼働予定</t>
      </text>
    </comment>
    <comment ref="J29" authorId="2" shapeId="0" xr:uid="{E9F33463-A2BF-4209-9677-F497E4478E6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深夜勤：70h</t>
      </text>
    </comment>
    <comment ref="BW45" authorId="3" shapeId="0" xr:uid="{F731F93F-21AD-4D87-93AD-CEEECA722174}">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★一政様情報 浜松市中央区萩丘2丁目17　市営萩丘棟205号 イチマサ　ピンキー様 08065411749 </t>
      </text>
    </comment>
    <comment ref="L52" authorId="4" shapeId="0" xr:uid="{E7B227C1-A39E-40A9-98FF-67054362A2E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本日から包括型に体験中。</t>
      </text>
    </comment>
    <comment ref="N78" authorId="5" shapeId="0" xr:uid="{58A31C95-F9B8-4833-B1BF-00554F9EDAB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4/28</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tc={22A536D2-DE44-4370-817F-86199DCDB262}</author>
    <author>tc={2E4E45D7-9D15-438A-A42D-D29727985C00}</author>
    <author>tc={A8BE33E5-0450-47AE-B854-C7207AD8F54A}</author>
    <author>tc={5DDE1402-0535-4FB4-8A20-A2A0E2ED8925}</author>
  </authors>
  <commentList>
    <comment ref="AC11" authorId="0" shapeId="0" xr:uid="{22A536D2-DE44-4370-817F-86199DCDB26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KGI：入居稼働</t>
      </text>
    </comment>
    <comment ref="AC12" authorId="1" shapeId="0" xr:uid="{2E4E45D7-9D15-438A-A42D-D29727985C0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KGI：SS契約者数　2名</t>
      </text>
    </comment>
    <comment ref="J17" authorId="2" shapeId="0" xr:uid="{A8BE33E5-0450-47AE-B854-C7207AD8F54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大橋様入院中：特養へ転居か？？</t>
      </text>
    </comment>
    <comment ref="J29" authorId="3" shapeId="0" xr:uid="{5DDE1402-0535-4FB4-8A20-A2A0E2ED892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深夜勤：70h</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tc={5C00B810-BA80-4DC6-822A-630C60934A83}</author>
  </authors>
  <commentList>
    <comment ref="J29" authorId="0" shapeId="0" xr:uid="{5C00B810-BA80-4DC6-822A-630C60934A8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深夜勤：70h</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tc={BA949459-F0EC-4C1A-A9CF-F0DA645913C6}</author>
    <author>tc={45C068D7-F70C-435E-B09E-0F83E1ECF9DA}</author>
  </authors>
  <commentList>
    <comment ref="J29" authorId="0" shapeId="0" xr:uid="{BA949459-F0EC-4C1A-A9CF-F0DA645913C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深夜勤：70h</t>
      </text>
    </comment>
    <comment ref="D50" authorId="1" shapeId="0" xr:uid="{45C068D7-F70C-435E-B09E-0F83E1ECF9D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仕事を辞めていた。カード請求もきている。
返信:
返済計画の作成　滞納あり</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tc={9F33E9D8-CFC7-429B-B538-37B5D46E93A3}</author>
    <author>tc={BD7A9DC0-CADB-4A9C-AD1A-F16E08FA0112}</author>
    <author>tc={AA58F28E-B4A0-4C5A-AABA-F88815042AF5}</author>
    <author>tc={B30BAC88-DCB6-4D9B-8FFF-C77393A42AFF}</author>
    <author>tc={1514047C-D0CB-409C-BD79-0D29323C98EF}</author>
    <author>tc={6972BB0E-86A8-4EE6-A1F5-C037A151E706}</author>
  </authors>
  <commentList>
    <comment ref="AC11" authorId="0" shapeId="0" xr:uid="{9F33E9D8-CFC7-429B-B538-37B5D46E93A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KGI：入居稼働</t>
      </text>
    </comment>
    <comment ref="AC12" authorId="1" shapeId="0" xr:uid="{BD7A9DC0-CADB-4A9C-AD1A-F16E08FA011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KGI：SS契約者数　2名</t>
      </text>
    </comment>
    <comment ref="J29" authorId="2" shapeId="0" xr:uid="{AA58F28E-B4A0-4C5A-AABA-F88815042AF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深夜勤：70h</t>
      </text>
    </comment>
    <comment ref="AN54" authorId="3" shapeId="0" xr:uid="{B30BAC88-DCB6-4D9B-8FFF-C77393A42AFF}">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■臼井祐二さん：時給制（22:00～5:00実働6h）週２日：12ｈ　社保適応なし </t>
      </text>
    </comment>
    <comment ref="D64" authorId="4" shapeId="0" xr:uid="{1514047C-D0CB-409C-BD79-0D29323C98E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一人暮らしは断念
⇒マンション型の包括GHを見学予定</t>
      </text>
    </comment>
    <comment ref="N76" authorId="5" shapeId="0" xr:uid="{6972BB0E-86A8-4EE6-A1F5-C037A151E70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5月後半予定　
返信:
月給制職員を中心にほぼ全て行ってもらう</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ラシエル 佐伯</author>
  </authors>
  <commentList>
    <comment ref="X34" authorId="0" shapeId="0" xr:uid="{9D974C3A-D639-433E-9DEC-EE947092BAD0}">
      <text>
        <r>
          <rPr>
            <sz val="9"/>
            <color indexed="81"/>
            <rFont val="MS P ゴシック"/>
            <family val="3"/>
            <charset val="128"/>
          </rPr>
          <t>医療連携想定
利用日数×39単位込</t>
        </r>
      </text>
    </comment>
    <comment ref="X36" authorId="0" shapeId="0" xr:uid="{BD45A27D-0A9B-4A74-87E0-4AC0A8EBFE64}">
      <text>
        <r>
          <rPr>
            <sz val="9"/>
            <color indexed="81"/>
            <rFont val="MS P ゴシック"/>
            <family val="3"/>
            <charset val="128"/>
          </rPr>
          <t>医療連携想定
利用日数×39単位込</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<sst xmlns="http://schemas.openxmlformats.org/spreadsheetml/2006/main" count="5339" uniqueCount="1013">
  <si>
    <t>項目</t>
  </si>
  <si>
    <t>8月</t>
  </si>
  <si>
    <t>消防訓練の実施</t>
  </si>
  <si>
    <t>地域連携推進会議</t>
  </si>
  <si>
    <t>直近実地指導日</t>
  </si>
  <si>
    <t>法定研修</t>
    <rPh sb="0" eb="2">
      <t>ホウテイ</t>
    </rPh>
    <rPh sb="2" eb="4">
      <t>ケンシュウ</t>
    </rPh>
    <phoneticPr fontId="2"/>
  </si>
  <si>
    <t>BCP（業務継続計画）</t>
    <phoneticPr fontId="2"/>
  </si>
  <si>
    <t>身体拘束適正化</t>
    <rPh sb="0" eb="4">
      <t>シンタイコウソク</t>
    </rPh>
    <rPh sb="4" eb="7">
      <t>テキセイカ</t>
    </rPh>
    <phoneticPr fontId="2"/>
  </si>
  <si>
    <t>虐待防止</t>
    <phoneticPr fontId="2"/>
  </si>
  <si>
    <t>感染症対策</t>
    <phoneticPr fontId="2"/>
  </si>
  <si>
    <t>ラシエル年間研修</t>
    <phoneticPr fontId="2"/>
  </si>
  <si>
    <t>8月</t>
    <phoneticPr fontId="2"/>
  </si>
  <si>
    <t>研修</t>
    <rPh sb="0" eb="2">
      <t>ケンシュウ</t>
    </rPh>
    <phoneticPr fontId="2"/>
  </si>
  <si>
    <t>訓練</t>
    <rPh sb="0" eb="2">
      <t>クンレン</t>
    </rPh>
    <phoneticPr fontId="2"/>
  </si>
  <si>
    <t>6月</t>
  </si>
  <si>
    <t>6月</t>
    <rPh sb="1" eb="2">
      <t>ガツ</t>
    </rPh>
    <phoneticPr fontId="2"/>
  </si>
  <si>
    <t>12月</t>
  </si>
  <si>
    <t>12月</t>
    <rPh sb="2" eb="3">
      <t>ガツ</t>
    </rPh>
    <phoneticPr fontId="2"/>
  </si>
  <si>
    <t>9月</t>
  </si>
  <si>
    <t>9月</t>
    <rPh sb="1" eb="2">
      <t>ガツ</t>
    </rPh>
    <phoneticPr fontId="2"/>
  </si>
  <si>
    <t>2月</t>
  </si>
  <si>
    <t>2月</t>
    <rPh sb="1" eb="2">
      <t>ガツ</t>
    </rPh>
    <phoneticPr fontId="2"/>
  </si>
  <si>
    <t>7月</t>
  </si>
  <si>
    <t>7月</t>
    <rPh sb="1" eb="2">
      <t>ガツ</t>
    </rPh>
    <phoneticPr fontId="2"/>
  </si>
  <si>
    <t>11月</t>
  </si>
  <si>
    <t>11月</t>
    <rPh sb="2" eb="3">
      <t>ガツ</t>
    </rPh>
    <phoneticPr fontId="2"/>
  </si>
  <si>
    <t>実施月</t>
    <rPh sb="0" eb="2">
      <t>ジッシ</t>
    </rPh>
    <rPh sb="2" eb="3">
      <t>ツキ</t>
    </rPh>
    <phoneticPr fontId="2"/>
  </si>
  <si>
    <t>4月</t>
    <rPh sb="1" eb="2">
      <t>ガツ</t>
    </rPh>
    <phoneticPr fontId="2"/>
  </si>
  <si>
    <t>10月</t>
  </si>
  <si>
    <t>10月</t>
    <rPh sb="2" eb="3">
      <t>ガツ</t>
    </rPh>
    <phoneticPr fontId="2"/>
  </si>
  <si>
    <t>計画月と実施状況確認</t>
    <rPh sb="0" eb="2">
      <t>ケイカク</t>
    </rPh>
    <rPh sb="2" eb="3">
      <t>ツキ</t>
    </rPh>
    <rPh sb="4" eb="6">
      <t>ジッシ</t>
    </rPh>
    <rPh sb="6" eb="8">
      <t>ジョウキョウ</t>
    </rPh>
    <rPh sb="8" eb="10">
      <t>カクニン</t>
    </rPh>
    <phoneticPr fontId="2"/>
  </si>
  <si>
    <t>&lt;運営管理実施確認&gt;</t>
    <rPh sb="1" eb="3">
      <t>ウンエイ</t>
    </rPh>
    <rPh sb="3" eb="5">
      <t>カンリ</t>
    </rPh>
    <rPh sb="5" eb="7">
      <t>ジッシ</t>
    </rPh>
    <rPh sb="7" eb="9">
      <t>カクニン</t>
    </rPh>
    <phoneticPr fontId="2"/>
  </si>
  <si>
    <t>入居者数</t>
  </si>
  <si>
    <t>稼働率</t>
  </si>
  <si>
    <t>短期稼働率</t>
  </si>
  <si>
    <t>夜勤加配算定率</t>
  </si>
  <si>
    <t>管理者</t>
    <rPh sb="0" eb="3">
      <t>カンリシャ</t>
    </rPh>
    <phoneticPr fontId="2"/>
  </si>
  <si>
    <t>サビ管</t>
    <rPh sb="2" eb="3">
      <t>カン</t>
    </rPh>
    <phoneticPr fontId="2"/>
  </si>
  <si>
    <t>ご入居者平均区分</t>
    <rPh sb="4" eb="8">
      <t>ヘイキンクブン</t>
    </rPh>
    <phoneticPr fontId="2"/>
  </si>
  <si>
    <t>重度障害者支援加算</t>
  </si>
  <si>
    <t>福祉専門職員配置等加算</t>
  </si>
  <si>
    <t>名前</t>
    <rPh sb="0" eb="2">
      <t>ナマエ</t>
    </rPh>
    <phoneticPr fontId="2"/>
  </si>
  <si>
    <t>区分</t>
    <rPh sb="0" eb="2">
      <t>クブン</t>
    </rPh>
    <phoneticPr fontId="2"/>
  </si>
  <si>
    <t>概要</t>
    <rPh sb="0" eb="2">
      <t>ガイヨウ</t>
    </rPh>
    <phoneticPr fontId="2"/>
  </si>
  <si>
    <t>区分変更状況</t>
    <rPh sb="0" eb="2">
      <t>クブン</t>
    </rPh>
    <rPh sb="2" eb="4">
      <t>ヘンコウ</t>
    </rPh>
    <rPh sb="4" eb="6">
      <t>ジョウキョウ</t>
    </rPh>
    <phoneticPr fontId="2"/>
  </si>
  <si>
    <t>重度支援・受給者証</t>
    <rPh sb="2" eb="4">
      <t>シエン</t>
    </rPh>
    <rPh sb="5" eb="9">
      <t>ジュキュウシャショウ</t>
    </rPh>
    <phoneticPr fontId="2"/>
  </si>
  <si>
    <t>受給者証確認者</t>
    <rPh sb="0" eb="4">
      <t>ジュキュウシャショウ</t>
    </rPh>
    <rPh sb="4" eb="6">
      <t>カクニン</t>
    </rPh>
    <rPh sb="6" eb="7">
      <t>シャ</t>
    </rPh>
    <phoneticPr fontId="2"/>
  </si>
  <si>
    <t>退去者数</t>
    <rPh sb="0" eb="2">
      <t>タイキョ</t>
    </rPh>
    <rPh sb="2" eb="3">
      <t>シャ</t>
    </rPh>
    <rPh sb="3" eb="4">
      <t>スウ</t>
    </rPh>
    <phoneticPr fontId="2"/>
  </si>
  <si>
    <t>算定項目</t>
    <rPh sb="0" eb="2">
      <t>サンテイ</t>
    </rPh>
    <rPh sb="2" eb="4">
      <t>コウモク</t>
    </rPh>
    <phoneticPr fontId="2"/>
  </si>
  <si>
    <t>AM確認日</t>
    <rPh sb="2" eb="5">
      <t>カクニンヒ</t>
    </rPh>
    <phoneticPr fontId="2"/>
  </si>
  <si>
    <t>タイミー日勤</t>
    <rPh sb="4" eb="6">
      <t>ニッキン</t>
    </rPh>
    <phoneticPr fontId="2"/>
  </si>
  <si>
    <t>タイミー夜勤</t>
    <rPh sb="4" eb="6">
      <t>ヤキン</t>
    </rPh>
    <phoneticPr fontId="2"/>
  </si>
  <si>
    <t>S1</t>
    <phoneticPr fontId="2"/>
  </si>
  <si>
    <t>S2</t>
  </si>
  <si>
    <t>S3</t>
  </si>
  <si>
    <t>S4</t>
  </si>
  <si>
    <t>S5</t>
  </si>
  <si>
    <t>S6</t>
  </si>
  <si>
    <t>5月</t>
  </si>
  <si>
    <t>＜運営評価＞</t>
    <rPh sb="1" eb="3">
      <t>ウンエイ</t>
    </rPh>
    <rPh sb="3" eb="5">
      <t>ヒョウカ</t>
    </rPh>
    <phoneticPr fontId="2"/>
  </si>
  <si>
    <t>営業訪問件数</t>
    <rPh sb="0" eb="2">
      <t>エイギョウ</t>
    </rPh>
    <rPh sb="2" eb="4">
      <t>ホウモン</t>
    </rPh>
    <rPh sb="4" eb="6">
      <t>ケンスウ</t>
    </rPh>
    <phoneticPr fontId="2"/>
  </si>
  <si>
    <t>問い合わせ件数（グループホーム）</t>
    <rPh sb="0" eb="1">
      <t>ト</t>
    </rPh>
    <rPh sb="2" eb="3">
      <t>ア</t>
    </rPh>
    <rPh sb="5" eb="7">
      <t>ケンスウ</t>
    </rPh>
    <phoneticPr fontId="2"/>
  </si>
  <si>
    <t>問い合わせ件数（短期入所）</t>
    <rPh sb="0" eb="1">
      <t>ト</t>
    </rPh>
    <rPh sb="2" eb="3">
      <t>ア</t>
    </rPh>
    <rPh sb="5" eb="7">
      <t>ケンスウ</t>
    </rPh>
    <rPh sb="8" eb="12">
      <t>タンキニュウショ</t>
    </rPh>
    <phoneticPr fontId="2"/>
  </si>
  <si>
    <t>数値</t>
    <rPh sb="0" eb="2">
      <t>スウチ</t>
    </rPh>
    <phoneticPr fontId="2"/>
  </si>
  <si>
    <t>再発防止実施可否</t>
    <rPh sb="0" eb="2">
      <t>サイハツ</t>
    </rPh>
    <rPh sb="2" eb="4">
      <t>ボウシ</t>
    </rPh>
    <rPh sb="4" eb="6">
      <t>ジッシ</t>
    </rPh>
    <rPh sb="6" eb="8">
      <t>カヒ</t>
    </rPh>
    <phoneticPr fontId="2"/>
  </si>
  <si>
    <t>前月退職者　チャット削除（事業所・掲示板）</t>
  </si>
  <si>
    <t>RASIEL</t>
    <phoneticPr fontId="2"/>
  </si>
  <si>
    <t>1月</t>
  </si>
  <si>
    <t>3月</t>
  </si>
  <si>
    <t>「営業活動管理」の適切な送信</t>
    <rPh sb="1" eb="3">
      <t>エイギョウ</t>
    </rPh>
    <rPh sb="3" eb="7">
      <t>カツドウカンリ</t>
    </rPh>
    <rPh sb="9" eb="11">
      <t>テキセツ</t>
    </rPh>
    <rPh sb="12" eb="14">
      <t>ソウシン</t>
    </rPh>
    <phoneticPr fontId="2"/>
  </si>
  <si>
    <t>「サビ管業務日報報告」の適切な送信</t>
    <rPh sb="12" eb="14">
      <t>テキセツ</t>
    </rPh>
    <rPh sb="15" eb="17">
      <t>ソウシン</t>
    </rPh>
    <phoneticPr fontId="2"/>
  </si>
  <si>
    <t>gyousei@メールの確認と転送</t>
    <rPh sb="12" eb="14">
      <t>カクニン</t>
    </rPh>
    <rPh sb="15" eb="17">
      <t>テンソウ</t>
    </rPh>
    <phoneticPr fontId="2"/>
  </si>
  <si>
    <t>未収金回収確認</t>
    <rPh sb="0" eb="5">
      <t>ミシュウキンカイシュウ</t>
    </rPh>
    <rPh sb="5" eb="7">
      <t>カクニン</t>
    </rPh>
    <phoneticPr fontId="2"/>
  </si>
  <si>
    <t>迅速なWFの申請</t>
    <rPh sb="0" eb="2">
      <t>ジンソク</t>
    </rPh>
    <rPh sb="6" eb="8">
      <t>シンセイ</t>
    </rPh>
    <phoneticPr fontId="2"/>
  </si>
  <si>
    <t>金銭出納帳と預り金の突合</t>
    <rPh sb="0" eb="5">
      <t>キンセンスイトウチョウ</t>
    </rPh>
    <rPh sb="6" eb="7">
      <t>アズカ</t>
    </rPh>
    <rPh sb="8" eb="9">
      <t>カネ</t>
    </rPh>
    <rPh sb="10" eb="12">
      <t>トツゴウ</t>
    </rPh>
    <phoneticPr fontId="2"/>
  </si>
  <si>
    <t>未収金回収状況</t>
    <phoneticPr fontId="2"/>
  </si>
  <si>
    <t>経費（楽楽精算）処理申請</t>
    <rPh sb="0" eb="2">
      <t>ケイヒ</t>
    </rPh>
    <rPh sb="3" eb="5">
      <t>ラクラク</t>
    </rPh>
    <rPh sb="5" eb="7">
      <t>セイサン</t>
    </rPh>
    <rPh sb="8" eb="10">
      <t>ショリ</t>
    </rPh>
    <rPh sb="10" eb="12">
      <t>シンセイ</t>
    </rPh>
    <phoneticPr fontId="2"/>
  </si>
  <si>
    <t>タイミーの活用管理（深夜配置含む）</t>
    <rPh sb="5" eb="7">
      <t>カツヨウ</t>
    </rPh>
    <rPh sb="7" eb="9">
      <t>カンリ</t>
    </rPh>
    <rPh sb="10" eb="12">
      <t>シンヤ</t>
    </rPh>
    <rPh sb="12" eb="14">
      <t>ハイチ</t>
    </rPh>
    <rPh sb="14" eb="15">
      <t>フク</t>
    </rPh>
    <phoneticPr fontId="2"/>
  </si>
  <si>
    <t>RPM　未連絡者の確認</t>
    <rPh sb="4" eb="8">
      <t>ミレンラクシャ</t>
    </rPh>
    <rPh sb="9" eb="11">
      <t>カクニン</t>
    </rPh>
    <phoneticPr fontId="2"/>
  </si>
  <si>
    <t>職員労務関連の対応確認</t>
    <rPh sb="0" eb="2">
      <t>ショクイン</t>
    </rPh>
    <rPh sb="2" eb="4">
      <t>ロウム</t>
    </rPh>
    <rPh sb="4" eb="6">
      <t>カンレン</t>
    </rPh>
    <rPh sb="7" eb="9">
      <t>タイオウ</t>
    </rPh>
    <rPh sb="9" eb="11">
      <t>カクニン</t>
    </rPh>
    <phoneticPr fontId="2"/>
  </si>
  <si>
    <t>事故報告・苦情確認（再発防止含む）</t>
    <rPh sb="0" eb="2">
      <t>ジコ</t>
    </rPh>
    <rPh sb="2" eb="4">
      <t>ホウコク</t>
    </rPh>
    <rPh sb="5" eb="7">
      <t>クジョウ</t>
    </rPh>
    <rPh sb="7" eb="9">
      <t>カクニン</t>
    </rPh>
    <rPh sb="10" eb="12">
      <t>サイハツ</t>
    </rPh>
    <rPh sb="12" eb="14">
      <t>ボウシ</t>
    </rPh>
    <rPh sb="14" eb="15">
      <t>フク</t>
    </rPh>
    <phoneticPr fontId="2"/>
  </si>
  <si>
    <t>事業所　５S　遂行確認</t>
    <rPh sb="0" eb="3">
      <t>ジギョウショ</t>
    </rPh>
    <rPh sb="7" eb="9">
      <t>スイコウ</t>
    </rPh>
    <rPh sb="9" eb="11">
      <t>カクニン</t>
    </rPh>
    <phoneticPr fontId="2"/>
  </si>
  <si>
    <t>業務日誌提出確認</t>
    <rPh sb="0" eb="4">
      <t>ギョウムニッシ</t>
    </rPh>
    <rPh sb="4" eb="6">
      <t>テイシュツ</t>
    </rPh>
    <rPh sb="6" eb="8">
      <t>カクニン</t>
    </rPh>
    <phoneticPr fontId="2"/>
  </si>
  <si>
    <t>新入職員(日勤)RCレクチャー</t>
    <rPh sb="0" eb="3">
      <t>シンニュウショク</t>
    </rPh>
    <rPh sb="3" eb="4">
      <t>イン</t>
    </rPh>
    <rPh sb="5" eb="7">
      <t>ニッキン</t>
    </rPh>
    <phoneticPr fontId="2"/>
  </si>
  <si>
    <t>ご入居者利用状況一覧の確認と課題抽出</t>
    <rPh sb="1" eb="4">
      <t>ニュウキョシャ</t>
    </rPh>
    <rPh sb="4" eb="6">
      <t>リヨウ</t>
    </rPh>
    <rPh sb="6" eb="8">
      <t>ジョウキョウ</t>
    </rPh>
    <rPh sb="8" eb="10">
      <t>イチラン</t>
    </rPh>
    <rPh sb="11" eb="13">
      <t>カクニン</t>
    </rPh>
    <rPh sb="14" eb="16">
      <t>カダイ</t>
    </rPh>
    <rPh sb="16" eb="18">
      <t>チュウシュツ</t>
    </rPh>
    <phoneticPr fontId="2"/>
  </si>
  <si>
    <t>(前月)各種研修報告提出確認</t>
    <rPh sb="1" eb="3">
      <t>ゼンゲツ</t>
    </rPh>
    <rPh sb="4" eb="6">
      <t>カクシュ</t>
    </rPh>
    <rPh sb="6" eb="10">
      <t>ケンシュウホウコク</t>
    </rPh>
    <rPh sb="10" eb="12">
      <t>テイシュツ</t>
    </rPh>
    <rPh sb="12" eb="14">
      <t>カクニン</t>
    </rPh>
    <phoneticPr fontId="2"/>
  </si>
  <si>
    <t>シフト分析 基準値差異確認</t>
    <rPh sb="3" eb="5">
      <t>ブンセキ</t>
    </rPh>
    <rPh sb="6" eb="9">
      <t>キジュンチ</t>
    </rPh>
    <rPh sb="9" eb="11">
      <t>サイ</t>
    </rPh>
    <rPh sb="11" eb="13">
      <t>カクニン</t>
    </rPh>
    <phoneticPr fontId="2"/>
  </si>
  <si>
    <t>個別支援計画書の更新確認</t>
    <rPh sb="0" eb="2">
      <t>コベツ</t>
    </rPh>
    <rPh sb="2" eb="7">
      <t>シエンケイカクショ</t>
    </rPh>
    <rPh sb="8" eb="10">
      <t>コウシン</t>
    </rPh>
    <rPh sb="10" eb="12">
      <t>カクニン</t>
    </rPh>
    <phoneticPr fontId="2"/>
  </si>
  <si>
    <t>派遣職員更新確認</t>
    <rPh sb="0" eb="4">
      <t>ハケンショクイン</t>
    </rPh>
    <rPh sb="4" eb="6">
      <t>コウシン</t>
    </rPh>
    <rPh sb="6" eb="8">
      <t>カクニン</t>
    </rPh>
    <phoneticPr fontId="2"/>
  </si>
  <si>
    <t>有給消化確認</t>
    <rPh sb="0" eb="4">
      <t>ユウキュウショウカ</t>
    </rPh>
    <rPh sb="4" eb="6">
      <t>カクニン</t>
    </rPh>
    <phoneticPr fontId="2"/>
  </si>
  <si>
    <t>(前月)重度支援加算　記録確認</t>
    <phoneticPr fontId="2"/>
  </si>
  <si>
    <t>(前月)個別支援計画書　格納確認</t>
    <rPh sb="4" eb="6">
      <t>コベツ</t>
    </rPh>
    <rPh sb="6" eb="11">
      <t>シエンケイカクショ</t>
    </rPh>
    <rPh sb="12" eb="14">
      <t>カクノウ</t>
    </rPh>
    <rPh sb="14" eb="16">
      <t>カクニン</t>
    </rPh>
    <phoneticPr fontId="2"/>
  </si>
  <si>
    <t>(前月)契約書　格納確認</t>
    <rPh sb="4" eb="7">
      <t>ケイヤクショ</t>
    </rPh>
    <rPh sb="8" eb="10">
      <t>カクノウ</t>
    </rPh>
    <rPh sb="10" eb="12">
      <t>カクニン</t>
    </rPh>
    <phoneticPr fontId="2"/>
  </si>
  <si>
    <t>受給者証　更新者確認</t>
    <rPh sb="0" eb="4">
      <t>ジュキュウシャショウ</t>
    </rPh>
    <rPh sb="5" eb="8">
      <t>コウシンシャ</t>
    </rPh>
    <rPh sb="8" eb="10">
      <t>カクニン</t>
    </rPh>
    <phoneticPr fontId="2"/>
  </si>
  <si>
    <t>業務日誌　チャット提出確認</t>
    <rPh sb="0" eb="4">
      <t>ギョウムニッシ</t>
    </rPh>
    <rPh sb="9" eb="11">
      <t>テイシュツ</t>
    </rPh>
    <rPh sb="11" eb="13">
      <t>カクニン</t>
    </rPh>
    <phoneticPr fontId="2"/>
  </si>
  <si>
    <t>入社書類　回収確認</t>
    <rPh sb="0" eb="4">
      <t>ニュウシャショルイ</t>
    </rPh>
    <rPh sb="5" eb="7">
      <t>カイシュウ</t>
    </rPh>
    <rPh sb="7" eb="9">
      <t>カクニン</t>
    </rPh>
    <phoneticPr fontId="2"/>
  </si>
  <si>
    <t>運行管理　格納確認</t>
    <rPh sb="7" eb="9">
      <t>カクニン</t>
    </rPh>
    <phoneticPr fontId="2"/>
  </si>
  <si>
    <t>日次チェックシート　WF提出</t>
    <rPh sb="12" eb="14">
      <t>テイシュツ</t>
    </rPh>
    <phoneticPr fontId="2"/>
  </si>
  <si>
    <t>kintone　案件更新</t>
    <phoneticPr fontId="2"/>
  </si>
  <si>
    <t>kintone　ご入居者情報更新</t>
    <phoneticPr fontId="2"/>
  </si>
  <si>
    <t>トップフード　発注管理</t>
    <phoneticPr fontId="2"/>
  </si>
  <si>
    <t>(前月)人員配置基準の確認</t>
    <rPh sb="1" eb="3">
      <t>ゼンゲツ</t>
    </rPh>
    <rPh sb="4" eb="8">
      <t>ジンインハイチ</t>
    </rPh>
    <rPh sb="8" eb="10">
      <t>キジュン</t>
    </rPh>
    <rPh sb="11" eb="13">
      <t>カクニン</t>
    </rPh>
    <phoneticPr fontId="2"/>
  </si>
  <si>
    <t>請求書/領収書/訓練等給付発送確認</t>
    <rPh sb="0" eb="3">
      <t>セイキュウショ</t>
    </rPh>
    <rPh sb="4" eb="7">
      <t>リョウシュウショ</t>
    </rPh>
    <rPh sb="8" eb="11">
      <t>クンレントウ</t>
    </rPh>
    <rPh sb="11" eb="13">
      <t>キュウフ</t>
    </rPh>
    <rPh sb="13" eb="15">
      <t>ハッソウ</t>
    </rPh>
    <rPh sb="15" eb="17">
      <t>カクニン</t>
    </rPh>
    <phoneticPr fontId="2"/>
  </si>
  <si>
    <t>翌月シフト提出確認</t>
    <rPh sb="0" eb="2">
      <t>ヨクゲツ</t>
    </rPh>
    <rPh sb="5" eb="7">
      <t>テイシュツ</t>
    </rPh>
    <rPh sb="7" eb="9">
      <t>カクニン</t>
    </rPh>
    <phoneticPr fontId="2"/>
  </si>
  <si>
    <t>短期入所（男性）：</t>
    <rPh sb="5" eb="7">
      <t>ダンセイ</t>
    </rPh>
    <phoneticPr fontId="2"/>
  </si>
  <si>
    <t>管理者：</t>
    <phoneticPr fontId="2"/>
  </si>
  <si>
    <t>サビ管：</t>
    <phoneticPr fontId="2"/>
  </si>
  <si>
    <t>平均</t>
    <rPh sb="0" eb="2">
      <t>ヘイキン</t>
    </rPh>
    <phoneticPr fontId="2"/>
  </si>
  <si>
    <t>合計</t>
    <rPh sb="0" eb="2">
      <t>ゴウケイ</t>
    </rPh>
    <phoneticPr fontId="2"/>
  </si>
  <si>
    <t>見学・体験者数</t>
    <rPh sb="0" eb="2">
      <t>ケンガク</t>
    </rPh>
    <rPh sb="3" eb="5">
      <t>タイケン</t>
    </rPh>
    <rPh sb="5" eb="6">
      <t>シャ</t>
    </rPh>
    <rPh sb="6" eb="7">
      <t>スウ</t>
    </rPh>
    <phoneticPr fontId="2"/>
  </si>
  <si>
    <t>＜ブランディング指標＞　※6ヶ月推移</t>
    <rPh sb="8" eb="10">
      <t>シヒョウ</t>
    </rPh>
    <rPh sb="15" eb="16">
      <t>ゲツ</t>
    </rPh>
    <rPh sb="16" eb="18">
      <t>スイイ</t>
    </rPh>
    <phoneticPr fontId="2"/>
  </si>
  <si>
    <t>概要（進捗等）</t>
    <rPh sb="0" eb="2">
      <t>ガイヨウ</t>
    </rPh>
    <rPh sb="3" eb="6">
      <t>シンチョクトウ</t>
    </rPh>
    <phoneticPr fontId="2"/>
  </si>
  <si>
    <t>介/社</t>
    <rPh sb="0" eb="1">
      <t>スケ</t>
    </rPh>
    <rPh sb="2" eb="3">
      <t>シャ</t>
    </rPh>
    <phoneticPr fontId="2"/>
  </si>
  <si>
    <t>Ⅰ判定</t>
    <rPh sb="1" eb="3">
      <t>ハンテイ</t>
    </rPh>
    <phoneticPr fontId="2"/>
  </si>
  <si>
    <t>Ⅱ判定</t>
    <rPh sb="1" eb="3">
      <t>ハンテイ</t>
    </rPh>
    <phoneticPr fontId="2"/>
  </si>
  <si>
    <t>強行系</t>
    <rPh sb="0" eb="2">
      <t>キョウコウ</t>
    </rPh>
    <rPh sb="2" eb="3">
      <t>ケイ</t>
    </rPh>
    <phoneticPr fontId="2"/>
  </si>
  <si>
    <t>備考</t>
    <rPh sb="0" eb="2">
      <t>ビコウ</t>
    </rPh>
    <phoneticPr fontId="2"/>
  </si>
  <si>
    <t>日勤</t>
    <rPh sb="0" eb="2">
      <t>ニッキン</t>
    </rPh>
    <phoneticPr fontId="2"/>
  </si>
  <si>
    <t>夜勤</t>
    <rPh sb="0" eb="2">
      <t>ヤキン</t>
    </rPh>
    <phoneticPr fontId="2"/>
  </si>
  <si>
    <t>深夜</t>
    <rPh sb="0" eb="2">
      <t>シンヤ</t>
    </rPh>
    <phoneticPr fontId="2"/>
  </si>
  <si>
    <t>勤務者</t>
    <rPh sb="0" eb="3">
      <t>キンムシャ</t>
    </rPh>
    <phoneticPr fontId="2"/>
  </si>
  <si>
    <t>応募</t>
    <rPh sb="0" eb="2">
      <t>オウボ</t>
    </rPh>
    <phoneticPr fontId="2"/>
  </si>
  <si>
    <t>応募率</t>
    <rPh sb="0" eb="3">
      <t>オウボリツ</t>
    </rPh>
    <phoneticPr fontId="2"/>
  </si>
  <si>
    <t>採用率</t>
    <rPh sb="0" eb="2">
      <t>サイヨウ</t>
    </rPh>
    <rPh sb="2" eb="3">
      <t>リツ</t>
    </rPh>
    <phoneticPr fontId="2"/>
  </si>
  <si>
    <t>採用数</t>
    <rPh sb="0" eb="2">
      <t>サイヨウ</t>
    </rPh>
    <rPh sb="2" eb="3">
      <t>スウ</t>
    </rPh>
    <phoneticPr fontId="2"/>
  </si>
  <si>
    <t>RC評価</t>
    <rPh sb="2" eb="4">
      <t>ヒョウカ</t>
    </rPh>
    <phoneticPr fontId="2"/>
  </si>
  <si>
    <t>自己評価チェックシート</t>
    <phoneticPr fontId="2"/>
  </si>
  <si>
    <t>職員</t>
    <rPh sb="0" eb="2">
      <t>ショクイン</t>
    </rPh>
    <phoneticPr fontId="2"/>
  </si>
  <si>
    <t>西宮今津</t>
    <rPh sb="0" eb="2">
      <t>ニシノミヤ</t>
    </rPh>
    <rPh sb="2" eb="4">
      <t>イマヅ</t>
    </rPh>
    <phoneticPr fontId="2"/>
  </si>
  <si>
    <t>宇城</t>
  </si>
  <si>
    <t>南部町</t>
  </si>
  <si>
    <t>高知</t>
  </si>
  <si>
    <t>柳井</t>
  </si>
  <si>
    <t>和歌山</t>
  </si>
  <si>
    <t>御所</t>
  </si>
  <si>
    <t>下手野</t>
  </si>
  <si>
    <t>仁豊野</t>
  </si>
  <si>
    <t>白浜町</t>
  </si>
  <si>
    <t>加茂</t>
  </si>
  <si>
    <t>舞多聞</t>
  </si>
  <si>
    <t>南志賀</t>
  </si>
  <si>
    <t>南彦根</t>
  </si>
  <si>
    <t>西浅田</t>
    <rPh sb="0" eb="3">
      <t>ニシアサダ</t>
    </rPh>
    <phoneticPr fontId="2"/>
  </si>
  <si>
    <t>高丘</t>
  </si>
  <si>
    <t>上西郷</t>
  </si>
  <si>
    <t>沼津</t>
  </si>
  <si>
    <t>春日部</t>
  </si>
  <si>
    <t>南中丸</t>
  </si>
  <si>
    <t>宮下</t>
    <rPh sb="0" eb="2">
      <t>ミヤシモ</t>
    </rPh>
    <phoneticPr fontId="2"/>
  </si>
  <si>
    <t>南館</t>
    <rPh sb="0" eb="2">
      <t>ミナミダテ</t>
    </rPh>
    <phoneticPr fontId="2"/>
  </si>
  <si>
    <t>名取</t>
  </si>
  <si>
    <t>石巻</t>
  </si>
  <si>
    <t>取得1</t>
    <rPh sb="0" eb="2">
      <t>シュトク</t>
    </rPh>
    <phoneticPr fontId="2"/>
  </si>
  <si>
    <t>取得2</t>
    <rPh sb="0" eb="2">
      <t>シュトク</t>
    </rPh>
    <phoneticPr fontId="2"/>
  </si>
  <si>
    <t>取得3</t>
    <rPh sb="0" eb="2">
      <t>シュトク</t>
    </rPh>
    <phoneticPr fontId="2"/>
  </si>
  <si>
    <t>取得4</t>
    <rPh sb="0" eb="2">
      <t>シュトク</t>
    </rPh>
    <phoneticPr fontId="2"/>
  </si>
  <si>
    <t>利用日数</t>
    <phoneticPr fontId="2"/>
  </si>
  <si>
    <t>利用率</t>
    <phoneticPr fontId="2"/>
  </si>
  <si>
    <t>訪看</t>
    <phoneticPr fontId="2"/>
  </si>
  <si>
    <t>夜勤日数</t>
    <rPh sb="0" eb="2">
      <t>ヤキン</t>
    </rPh>
    <rPh sb="2" eb="4">
      <t>ニッスウ</t>
    </rPh>
    <phoneticPr fontId="2"/>
  </si>
  <si>
    <t>G内利用数</t>
    <phoneticPr fontId="2"/>
  </si>
  <si>
    <t>他外利用数</t>
    <phoneticPr fontId="2"/>
  </si>
  <si>
    <t>区分単位</t>
    <rPh sb="0" eb="2">
      <t>クブン</t>
    </rPh>
    <rPh sb="2" eb="4">
      <t>タンイ</t>
    </rPh>
    <phoneticPr fontId="2"/>
  </si>
  <si>
    <t>単位小計1</t>
    <phoneticPr fontId="2"/>
  </si>
  <si>
    <t>単位小計2</t>
  </si>
  <si>
    <t>◀方針</t>
    <rPh sb="1" eb="3">
      <t>ホウシン</t>
    </rPh>
    <phoneticPr fontId="2"/>
  </si>
  <si>
    <t>平均年齢</t>
    <phoneticPr fontId="2"/>
  </si>
  <si>
    <t>平均区分</t>
    <rPh sb="0" eb="2">
      <t>ヘイキン</t>
    </rPh>
    <rPh sb="2" eb="4">
      <t>クブン</t>
    </rPh>
    <phoneticPr fontId="2"/>
  </si>
  <si>
    <t>精神移行
算定人数</t>
    <rPh sb="0" eb="2">
      <t>セイシン</t>
    </rPh>
    <rPh sb="2" eb="4">
      <t>イコウ</t>
    </rPh>
    <rPh sb="5" eb="7">
      <t>サンテイ</t>
    </rPh>
    <rPh sb="7" eb="9">
      <t>ニンズウ</t>
    </rPh>
    <phoneticPr fontId="2"/>
  </si>
  <si>
    <t>地域移行
算定人数</t>
    <rPh sb="0" eb="2">
      <t>チイキ</t>
    </rPh>
    <rPh sb="2" eb="4">
      <t>イコウ</t>
    </rPh>
    <rPh sb="5" eb="7">
      <t>サンテイ</t>
    </rPh>
    <rPh sb="7" eb="9">
      <t>ニンズウ</t>
    </rPh>
    <phoneticPr fontId="2"/>
  </si>
  <si>
    <t>強行移行
算定人数</t>
    <rPh sb="0" eb="2">
      <t>キョウコウ</t>
    </rPh>
    <rPh sb="2" eb="4">
      <t>イコウ</t>
    </rPh>
    <rPh sb="5" eb="7">
      <t>サンテイ</t>
    </rPh>
    <rPh sb="7" eb="9">
      <t>ニンズウ</t>
    </rPh>
    <phoneticPr fontId="2"/>
  </si>
  <si>
    <t>重度加算
算定人数</t>
    <rPh sb="0" eb="2">
      <t>ジュウド</t>
    </rPh>
    <rPh sb="2" eb="4">
      <t>カサン</t>
    </rPh>
    <rPh sb="5" eb="7">
      <t>サンテイ</t>
    </rPh>
    <rPh sb="7" eb="9">
      <t>ニンズウ</t>
    </rPh>
    <phoneticPr fontId="2"/>
  </si>
  <si>
    <t>当月
利用日数</t>
    <rPh sb="0" eb="2">
      <t>トウゲツ</t>
    </rPh>
    <rPh sb="3" eb="5">
      <t>リヨウ</t>
    </rPh>
    <rPh sb="5" eb="7">
      <t>ニッスウ</t>
    </rPh>
    <phoneticPr fontId="2"/>
  </si>
  <si>
    <t>利用率</t>
    <rPh sb="0" eb="3">
      <t>リヨウリツ</t>
    </rPh>
    <phoneticPr fontId="2"/>
  </si>
  <si>
    <t>訪看
契約者数</t>
    <rPh sb="0" eb="2">
      <t>ホウカン</t>
    </rPh>
    <rPh sb="3" eb="6">
      <t>ケイヤクシャ</t>
    </rPh>
    <rPh sb="6" eb="7">
      <t>スウ</t>
    </rPh>
    <phoneticPr fontId="2"/>
  </si>
  <si>
    <t>夜勤加配
算定日数</t>
    <rPh sb="0" eb="4">
      <t>ヤキンカハイ</t>
    </rPh>
    <rPh sb="5" eb="7">
      <t>サンテイ</t>
    </rPh>
    <rPh sb="7" eb="9">
      <t>ニッスウ</t>
    </rPh>
    <phoneticPr fontId="8"/>
  </si>
  <si>
    <t>夜勤加配
算定日数</t>
    <rPh sb="0" eb="4">
      <t>ヤキンカハイ</t>
    </rPh>
    <rPh sb="5" eb="7">
      <t>サンテイ</t>
    </rPh>
    <rPh sb="7" eb="9">
      <t>ニッスウ</t>
    </rPh>
    <phoneticPr fontId="2"/>
  </si>
  <si>
    <t>SGP/SJ
利用日数</t>
    <rPh sb="7" eb="9">
      <t>リヨウ</t>
    </rPh>
    <rPh sb="9" eb="11">
      <t>ニッスウ</t>
    </rPh>
    <phoneticPr fontId="2"/>
  </si>
  <si>
    <t>SGP連携
考慮</t>
    <rPh sb="3" eb="5">
      <t>レンケイ</t>
    </rPh>
    <rPh sb="6" eb="8">
      <t>コウリョ</t>
    </rPh>
    <phoneticPr fontId="2"/>
  </si>
  <si>
    <t>外部SV
利用日数</t>
    <rPh sb="0" eb="2">
      <t>ガイブ</t>
    </rPh>
    <rPh sb="5" eb="7">
      <t>リヨウ</t>
    </rPh>
    <rPh sb="7" eb="9">
      <t>ニッスウ</t>
    </rPh>
    <phoneticPr fontId="8"/>
  </si>
  <si>
    <t>外部SV
利用日数</t>
    <rPh sb="0" eb="2">
      <t>ガイブ</t>
    </rPh>
    <rPh sb="5" eb="7">
      <t>リヨウ</t>
    </rPh>
    <rPh sb="7" eb="9">
      <t>ニッスウ</t>
    </rPh>
    <phoneticPr fontId="2"/>
  </si>
  <si>
    <t>区分
基本単位</t>
    <rPh sb="0" eb="2">
      <t>クブン</t>
    </rPh>
    <rPh sb="3" eb="7">
      <t>キホンタンイ</t>
    </rPh>
    <phoneticPr fontId="2"/>
  </si>
  <si>
    <t>重度系
基本単位</t>
    <rPh sb="0" eb="3">
      <t>ジュウドケイ</t>
    </rPh>
    <rPh sb="4" eb="6">
      <t>キホン</t>
    </rPh>
    <rPh sb="6" eb="8">
      <t>タンイ</t>
    </rPh>
    <phoneticPr fontId="2"/>
  </si>
  <si>
    <t>加算単位</t>
    <rPh sb="0" eb="4">
      <t>カサンタンイ</t>
    </rPh>
    <phoneticPr fontId="2"/>
  </si>
  <si>
    <t>加算割合</t>
    <rPh sb="0" eb="2">
      <t>カサン</t>
    </rPh>
    <rPh sb="2" eb="4">
      <t>ワリアイ</t>
    </rPh>
    <phoneticPr fontId="2"/>
  </si>
  <si>
    <t>合計
算定単位</t>
    <rPh sb="0" eb="2">
      <t>ゴウケイ</t>
    </rPh>
    <rPh sb="3" eb="5">
      <t>サンテイ</t>
    </rPh>
    <rPh sb="5" eb="7">
      <t>タンイ</t>
    </rPh>
    <phoneticPr fontId="2"/>
  </si>
  <si>
    <r>
      <t xml:space="preserve">合計算定単位
</t>
    </r>
    <r>
      <rPr>
        <sz val="7.5"/>
        <rFont val="Meiryo UI"/>
        <family val="3"/>
        <charset val="128"/>
      </rPr>
      <t>（通所・部屋考慮）</t>
    </r>
    <rPh sb="8" eb="10">
      <t>ツウショ</t>
    </rPh>
    <rPh sb="11" eb="13">
      <t>ヘヤ</t>
    </rPh>
    <rPh sb="13" eb="15">
      <t>コウリョ</t>
    </rPh>
    <phoneticPr fontId="2"/>
  </si>
  <si>
    <t>合計単位
順位</t>
    <rPh sb="0" eb="2">
      <t>ゴウケイ</t>
    </rPh>
    <rPh sb="2" eb="4">
      <t>タンイ</t>
    </rPh>
    <rPh sb="5" eb="7">
      <t>ジュンイ</t>
    </rPh>
    <phoneticPr fontId="2"/>
  </si>
  <si>
    <t>集計</t>
    <rPh sb="0" eb="2">
      <t>シュウケイ</t>
    </rPh>
    <phoneticPr fontId="2"/>
  </si>
  <si>
    <t>合計算定単位（通所・部屋考慮）
T列：順位</t>
    <rPh sb="0" eb="2">
      <t>ゴウケイ</t>
    </rPh>
    <rPh sb="2" eb="4">
      <t>サンテイ</t>
    </rPh>
    <rPh sb="4" eb="6">
      <t>タンイ</t>
    </rPh>
    <rPh sb="7" eb="9">
      <t>ツウショ</t>
    </rPh>
    <rPh sb="10" eb="12">
      <t>ヘヤ</t>
    </rPh>
    <rPh sb="12" eb="14">
      <t>コウリョ</t>
    </rPh>
    <rPh sb="17" eb="18">
      <t>レツ</t>
    </rPh>
    <rPh sb="19" eb="21">
      <t>ジュンイ</t>
    </rPh>
    <phoneticPr fontId="2"/>
  </si>
  <si>
    <t>白鳥健成</t>
    <rPh sb="0" eb="2">
      <t>シラトリ</t>
    </rPh>
    <rPh sb="2" eb="3">
      <t>ケン</t>
    </rPh>
    <rPh sb="3" eb="4">
      <t>シゲル</t>
    </rPh>
    <phoneticPr fontId="2"/>
  </si>
  <si>
    <t>岩沼</t>
    <phoneticPr fontId="2"/>
  </si>
  <si>
    <t>綱島康裕</t>
    <rPh sb="0" eb="2">
      <t>ツナシマ</t>
    </rPh>
    <phoneticPr fontId="2"/>
  </si>
  <si>
    <t>高山慶太</t>
    <phoneticPr fontId="2"/>
  </si>
  <si>
    <t>川越悠史</t>
    <phoneticPr fontId="2"/>
  </si>
  <si>
    <t>上溝</t>
    <phoneticPr fontId="2"/>
  </si>
  <si>
    <t>三澤佑貴</t>
    <phoneticPr fontId="2"/>
  </si>
  <si>
    <t>吉田誠宏</t>
  </si>
  <si>
    <t>福田</t>
    <phoneticPr fontId="2"/>
  </si>
  <si>
    <t>鈴木豊大</t>
  </si>
  <si>
    <t>担当数</t>
    <rPh sb="0" eb="2">
      <t>タントウ</t>
    </rPh>
    <rPh sb="2" eb="3">
      <t>スウ</t>
    </rPh>
    <phoneticPr fontId="2"/>
  </si>
  <si>
    <t>谷田</t>
    <phoneticPr fontId="2"/>
  </si>
  <si>
    <t>おきつ</t>
    <phoneticPr fontId="2"/>
  </si>
  <si>
    <t>萩丘ⅱ</t>
    <phoneticPr fontId="2"/>
  </si>
  <si>
    <t>萩丘ⅰ</t>
    <phoneticPr fontId="2"/>
  </si>
  <si>
    <t>八幡</t>
    <phoneticPr fontId="2"/>
  </si>
  <si>
    <t>石清水</t>
    <phoneticPr fontId="2"/>
  </si>
  <si>
    <t>※合計と平均には介護包括事業所も加味している。</t>
    <rPh sb="1" eb="3">
      <t>ゴウケイ</t>
    </rPh>
    <rPh sb="4" eb="6">
      <t>ヘイキン</t>
    </rPh>
    <rPh sb="8" eb="10">
      <t>カイゴ</t>
    </rPh>
    <rPh sb="10" eb="12">
      <t>ホウカツ</t>
    </rPh>
    <rPh sb="12" eb="15">
      <t>ジギョウショ</t>
    </rPh>
    <rPh sb="16" eb="18">
      <t>カミ</t>
    </rPh>
    <phoneticPr fontId="2"/>
  </si>
  <si>
    <t>阪南</t>
    <phoneticPr fontId="2"/>
  </si>
  <si>
    <t>阪南sea</t>
    <phoneticPr fontId="2"/>
  </si>
  <si>
    <t>平井</t>
    <phoneticPr fontId="2"/>
  </si>
  <si>
    <t>昇町</t>
    <phoneticPr fontId="2"/>
  </si>
  <si>
    <t>美田園</t>
    <rPh sb="0" eb="3">
      <t>ミタゾノ</t>
    </rPh>
    <phoneticPr fontId="14"/>
  </si>
  <si>
    <t>三蔵子</t>
    <rPh sb="0" eb="3">
      <t>サンゾウコ</t>
    </rPh>
    <phoneticPr fontId="14"/>
  </si>
  <si>
    <t>宇都宮</t>
    <rPh sb="0" eb="3">
      <t>ウツノミヤ</t>
    </rPh>
    <phoneticPr fontId="14"/>
  </si>
  <si>
    <t>清新</t>
    <rPh sb="0" eb="2">
      <t>セイシン</t>
    </rPh>
    <phoneticPr fontId="14"/>
  </si>
  <si>
    <t>川花</t>
    <rPh sb="0" eb="2">
      <t>カワハナ</t>
    </rPh>
    <phoneticPr fontId="14"/>
  </si>
  <si>
    <t>気賀</t>
    <rPh sb="0" eb="2">
      <t>キガ</t>
    </rPh>
    <phoneticPr fontId="14"/>
  </si>
  <si>
    <t>外部SV利用率</t>
    <phoneticPr fontId="2"/>
  </si>
  <si>
    <t>手入力</t>
    <rPh sb="0" eb="3">
      <t>テニュウリョク</t>
    </rPh>
    <phoneticPr fontId="2"/>
  </si>
  <si>
    <t>入居者数</t>
    <rPh sb="0" eb="4">
      <t>ニュウキョシャスウ</t>
    </rPh>
    <phoneticPr fontId="2"/>
  </si>
  <si>
    <t>稼働率</t>
    <rPh sb="0" eb="3">
      <t>カドウリツ</t>
    </rPh>
    <phoneticPr fontId="2"/>
  </si>
  <si>
    <t>短期
稼働日数</t>
    <rPh sb="0" eb="2">
      <t>タンキ</t>
    </rPh>
    <rPh sb="3" eb="5">
      <t>カドウ</t>
    </rPh>
    <rPh sb="5" eb="7">
      <t>ニッスウ</t>
    </rPh>
    <phoneticPr fontId="2"/>
  </si>
  <si>
    <t>退去者数</t>
    <rPh sb="0" eb="3">
      <t>タイキョシャ</t>
    </rPh>
    <rPh sb="3" eb="4">
      <t>スウ</t>
    </rPh>
    <phoneticPr fontId="2"/>
  </si>
  <si>
    <t>短期稼働日数</t>
    <phoneticPr fontId="2"/>
  </si>
  <si>
    <t>利用日数</t>
    <rPh sb="0" eb="2">
      <t>リヨウ</t>
    </rPh>
    <rPh sb="2" eb="4">
      <t>ニッスウ</t>
    </rPh>
    <phoneticPr fontId="2"/>
  </si>
  <si>
    <t>5月</t>
    <rPh sb="1" eb="2">
      <t>ガツ</t>
    </rPh>
    <phoneticPr fontId="2"/>
  </si>
  <si>
    <t>年間退去者予測</t>
    <rPh sb="0" eb="2">
      <t>ネンカン</t>
    </rPh>
    <rPh sb="2" eb="5">
      <t>タイキョシャ</t>
    </rPh>
    <rPh sb="5" eb="7">
      <t>ヨソク</t>
    </rPh>
    <phoneticPr fontId="2"/>
  </si>
  <si>
    <t>●</t>
    <phoneticPr fontId="2"/>
  </si>
  <si>
    <t>&lt;重要指標　推移&gt;</t>
    <rPh sb="1" eb="3">
      <t>ジュウヨウ</t>
    </rPh>
    <rPh sb="3" eb="5">
      <t>シヒョウ</t>
    </rPh>
    <rPh sb="6" eb="8">
      <t>スイイ</t>
    </rPh>
    <phoneticPr fontId="2"/>
  </si>
  <si>
    <t>有休消化時間　※月初のシフト実績参照</t>
    <rPh sb="0" eb="4">
      <t>ユウキュウショウカ</t>
    </rPh>
    <rPh sb="4" eb="6">
      <t>ジカン</t>
    </rPh>
    <rPh sb="8" eb="10">
      <t>ゲッショ</t>
    </rPh>
    <rPh sb="14" eb="16">
      <t>ジッセキ</t>
    </rPh>
    <rPh sb="16" eb="18">
      <t>サンショウ</t>
    </rPh>
    <phoneticPr fontId="2"/>
  </si>
  <si>
    <t>時間外労働時間数　※時間外申請書参照</t>
    <rPh sb="0" eb="3">
      <t>ジカンガイ</t>
    </rPh>
    <rPh sb="3" eb="5">
      <t>ロウドウ</t>
    </rPh>
    <rPh sb="5" eb="8">
      <t>ジカンスウ</t>
    </rPh>
    <rPh sb="10" eb="13">
      <t>ジカンガイ</t>
    </rPh>
    <rPh sb="13" eb="16">
      <t>シンセイショ</t>
    </rPh>
    <rPh sb="16" eb="18">
      <t>サンショウ</t>
    </rPh>
    <phoneticPr fontId="2"/>
  </si>
  <si>
    <t>派遣日勤</t>
    <rPh sb="0" eb="2">
      <t>ハケン</t>
    </rPh>
    <rPh sb="2" eb="4">
      <t>ニッキン</t>
    </rPh>
    <phoneticPr fontId="2"/>
  </si>
  <si>
    <t>派遣夜勤</t>
    <rPh sb="0" eb="2">
      <t>ハケン</t>
    </rPh>
    <rPh sb="2" eb="4">
      <t>ヤキン</t>
    </rPh>
    <phoneticPr fontId="2"/>
  </si>
  <si>
    <t>法令基準</t>
    <phoneticPr fontId="2"/>
  </si>
  <si>
    <t>派遣利用率</t>
    <rPh sb="0" eb="2">
      <t>ハケン</t>
    </rPh>
    <rPh sb="2" eb="4">
      <t>リヨウ</t>
    </rPh>
    <rPh sb="4" eb="5">
      <t>リツ</t>
    </rPh>
    <phoneticPr fontId="2"/>
  </si>
  <si>
    <t>常勤換算法・夜勤含む（/所定労働）</t>
    <rPh sb="0" eb="4">
      <t>ジョウキンカンサン</t>
    </rPh>
    <rPh sb="4" eb="5">
      <t>ホウ</t>
    </rPh>
    <rPh sb="6" eb="8">
      <t>ヤキン</t>
    </rPh>
    <rPh sb="8" eb="9">
      <t>フク</t>
    </rPh>
    <rPh sb="12" eb="14">
      <t>ショテイ</t>
    </rPh>
    <rPh sb="14" eb="16">
      <t>ロウドウ</t>
    </rPh>
    <phoneticPr fontId="2"/>
  </si>
  <si>
    <t>管候補：</t>
    <rPh sb="0" eb="1">
      <t>カン</t>
    </rPh>
    <rPh sb="1" eb="3">
      <t>コウホ</t>
    </rPh>
    <phoneticPr fontId="2"/>
  </si>
  <si>
    <t>2026年度　KPIダッシュボード</t>
    <rPh sb="4" eb="6">
      <t>ネンド</t>
    </rPh>
    <phoneticPr fontId="2"/>
  </si>
  <si>
    <t>シフト実績の反映（前月利用者数反映）</t>
    <rPh sb="2" eb="4">
      <t>ジッ_x0000__x0002_</t>
    </rPh>
    <rPh sb="6" eb="8">
      <t/>
    </rPh>
    <rPh sb="9" eb="11">
      <t>ゼンゲツ</t>
    </rPh>
    <rPh sb="11" eb="14">
      <t>リヨウシャ</t>
    </rPh>
    <rPh sb="14" eb="15">
      <t>カズ</t>
    </rPh>
    <rPh sb="15" eb="17">
      <t>ハンエイ</t>
    </rPh>
    <phoneticPr fontId="2"/>
  </si>
  <si>
    <t>タイミーリクルーティング活用指標（※人数・一人が複数回勤務しても「1」）</t>
    <rPh sb="12" eb="14">
      <t>カツヨウ</t>
    </rPh>
    <rPh sb="14" eb="16">
      <t>シヒョウ</t>
    </rPh>
    <rPh sb="18" eb="20">
      <t>ニンズウ</t>
    </rPh>
    <rPh sb="21" eb="23">
      <t>ヒトリ</t>
    </rPh>
    <rPh sb="24" eb="27">
      <t>フクスウカイ</t>
    </rPh>
    <rPh sb="27" eb="29">
      <t>キンム</t>
    </rPh>
    <phoneticPr fontId="2"/>
  </si>
  <si>
    <t>応募者数（サビ管及び一般職員）　※RPM参照</t>
    <rPh sb="0" eb="4">
      <t>オウボシャスウ</t>
    </rPh>
    <rPh sb="7" eb="8">
      <t>カン</t>
    </rPh>
    <rPh sb="8" eb="9">
      <t>オヨ</t>
    </rPh>
    <rPh sb="10" eb="12">
      <t>イッパン</t>
    </rPh>
    <rPh sb="12" eb="14">
      <t>ショクイン</t>
    </rPh>
    <rPh sb="20" eb="22">
      <t>サンショウ</t>
    </rPh>
    <phoneticPr fontId="2"/>
  </si>
  <si>
    <t>入職者数（サビ管及び一般職員）</t>
    <rPh sb="0" eb="3">
      <t>ニュウショクシャ</t>
    </rPh>
    <rPh sb="3" eb="4">
      <t>スウ</t>
    </rPh>
    <phoneticPr fontId="2"/>
  </si>
  <si>
    <t>退職者数（サビ管及び一般職員）</t>
    <rPh sb="0" eb="2">
      <t>タイショク</t>
    </rPh>
    <rPh sb="2" eb="3">
      <t>シャ</t>
    </rPh>
    <rPh sb="3" eb="4">
      <t>スウ</t>
    </rPh>
    <phoneticPr fontId="2"/>
  </si>
  <si>
    <t>重大事故内容</t>
    <rPh sb="0" eb="2">
      <t>ジュウダイ</t>
    </rPh>
    <rPh sb="2" eb="6">
      <t>ジコナイヨウ</t>
    </rPh>
    <phoneticPr fontId="2"/>
  </si>
  <si>
    <t>５月</t>
    <rPh sb="1" eb="2">
      <t>ガツ</t>
    </rPh>
    <phoneticPr fontId="2"/>
  </si>
  <si>
    <t>YELL!会議 【議事録(開催)】又はヒヤリハット 件数</t>
    <rPh sb="5" eb="7">
      <t>カイギ</t>
    </rPh>
    <rPh sb="9" eb="12">
      <t>ギジロク</t>
    </rPh>
    <rPh sb="13" eb="15">
      <t>カイサイ</t>
    </rPh>
    <rPh sb="17" eb="18">
      <t>マタ</t>
    </rPh>
    <rPh sb="26" eb="28">
      <t>ケンスウ</t>
    </rPh>
    <phoneticPr fontId="2"/>
  </si>
  <si>
    <t>苦情 件数</t>
    <rPh sb="0" eb="2">
      <t>クジョウ</t>
    </rPh>
    <rPh sb="3" eb="5">
      <t>ケンスウ</t>
    </rPh>
    <phoneticPr fontId="2"/>
  </si>
  <si>
    <t>重大事故 件数</t>
    <rPh sb="0" eb="2">
      <t>ジュウダイ</t>
    </rPh>
    <rPh sb="2" eb="4">
      <t>ジコ</t>
    </rPh>
    <rPh sb="5" eb="7">
      <t>ケンスウ</t>
    </rPh>
    <phoneticPr fontId="2"/>
  </si>
  <si>
    <t>指標</t>
    <rPh sb="0" eb="2">
      <t>シヒョウ</t>
    </rPh>
    <phoneticPr fontId="2"/>
  </si>
  <si>
    <t>その他KPI（※自由表記）</t>
    <rPh sb="2" eb="3">
      <t>ホカ</t>
    </rPh>
    <phoneticPr fontId="2"/>
  </si>
  <si>
    <t>▶</t>
    <phoneticPr fontId="2"/>
  </si>
  <si>
    <t>●月</t>
    <rPh sb="1" eb="2">
      <t>ガツ</t>
    </rPh>
    <phoneticPr fontId="2"/>
  </si>
  <si>
    <t>◀ 事業所で開催日を決定する</t>
    <rPh sb="2" eb="5">
      <t>ジギョウショ</t>
    </rPh>
    <rPh sb="6" eb="9">
      <t>カイサイビ</t>
    </rPh>
    <rPh sb="10" eb="12">
      <t>ケッテイ</t>
    </rPh>
    <phoneticPr fontId="2"/>
  </si>
  <si>
    <t>3月</t>
    <rPh sb="1" eb="2">
      <t>ガツ</t>
    </rPh>
    <phoneticPr fontId="2"/>
  </si>
  <si>
    <t>4月</t>
  </si>
  <si>
    <t>8月</t>
    <rPh sb="1" eb="2">
      <t>ガツ</t>
    </rPh>
    <phoneticPr fontId="2"/>
  </si>
  <si>
    <t>C3～V45数式貼付</t>
    <rPh sb="6" eb="8">
      <t>スウシキ</t>
    </rPh>
    <rPh sb="8" eb="10">
      <t>ハリツ</t>
    </rPh>
    <phoneticPr fontId="2"/>
  </si>
  <si>
    <r>
      <t>2026年
3</t>
    </r>
    <r>
      <rPr>
        <b/>
        <sz val="11"/>
        <color theme="0"/>
        <rFont val="Meiryo UI"/>
        <family val="3"/>
        <charset val="128"/>
      </rPr>
      <t>月</t>
    </r>
    <rPh sb="4" eb="5">
      <t>ネン</t>
    </rPh>
    <rPh sb="7" eb="8">
      <t>ガツ</t>
    </rPh>
    <phoneticPr fontId="2"/>
  </si>
  <si>
    <t>memo</t>
    <phoneticPr fontId="2"/>
  </si>
  <si>
    <t>算定済</t>
    <rPh sb="0" eb="2">
      <t>サンテイ</t>
    </rPh>
    <rPh sb="2" eb="3">
      <t>スミ</t>
    </rPh>
    <phoneticPr fontId="2"/>
  </si>
  <si>
    <t>更新日</t>
    <rPh sb="0" eb="3">
      <t>コウシンビ</t>
    </rPh>
    <phoneticPr fontId="2"/>
  </si>
  <si>
    <t>実配置(TC)</t>
    <rPh sb="0" eb="3">
      <t>ジツハイチ</t>
    </rPh>
    <phoneticPr fontId="2"/>
  </si>
  <si>
    <t>※毎月10日自動更新</t>
    <rPh sb="1" eb="3">
      <t>マイツキ</t>
    </rPh>
    <rPh sb="5" eb="6">
      <t>ニチ</t>
    </rPh>
    <rPh sb="6" eb="8">
      <t>ジドウ</t>
    </rPh>
    <rPh sb="8" eb="10">
      <t>コウシン</t>
    </rPh>
    <phoneticPr fontId="2"/>
  </si>
  <si>
    <t>合計算定単位数</t>
    <rPh sb="0" eb="2">
      <t>ゴウケイ</t>
    </rPh>
    <rPh sb="2" eb="4">
      <t>サンテイ</t>
    </rPh>
    <rPh sb="4" eb="6">
      <t>タンイ</t>
    </rPh>
    <rPh sb="6" eb="7">
      <t>スウ</t>
    </rPh>
    <phoneticPr fontId="2"/>
  </si>
  <si>
    <t>-</t>
  </si>
  <si>
    <t>平均</t>
    <rPh sb="0" eb="2">
      <t>ヘイキン</t>
    </rPh>
    <phoneticPr fontId="2"/>
  </si>
  <si>
    <t>●</t>
  </si>
  <si>
    <t>月給</t>
  </si>
  <si>
    <t>時給</t>
  </si>
  <si>
    <t>常時給</t>
  </si>
  <si>
    <t>重度支援Ⅰ</t>
  </si>
  <si>
    <t>重度支援Ⅱ</t>
  </si>
  <si>
    <t>福田　美貴</t>
  </si>
  <si>
    <t>小筆　有美</t>
  </si>
  <si>
    <t>國府田　宏巳</t>
  </si>
  <si>
    <t>岩崎　美紀</t>
  </si>
  <si>
    <t>小池　かおり</t>
  </si>
  <si>
    <t>高橋　明子</t>
  </si>
  <si>
    <t>五十嵐　汐里</t>
  </si>
  <si>
    <t>渡辺　芳恵</t>
  </si>
  <si>
    <t>川上　恵美</t>
  </si>
  <si>
    <t>池澤　明美</t>
  </si>
  <si>
    <t>稲　栄子</t>
  </si>
  <si>
    <t>小柳　幸男</t>
  </si>
  <si>
    <t>品川　修一</t>
  </si>
  <si>
    <t>大貫　勝</t>
  </si>
  <si>
    <t>保坂　正晴</t>
  </si>
  <si>
    <t>小山　政光</t>
  </si>
  <si>
    <t>小野田　誠</t>
  </si>
  <si>
    <t>伊藤　智也</t>
  </si>
  <si>
    <t>下山　智史</t>
  </si>
  <si>
    <t>上野　和路</t>
  </si>
  <si>
    <t>佐藤　碧海</t>
  </si>
  <si>
    <t>左雲　光伸</t>
  </si>
  <si>
    <t>高松　美幸</t>
  </si>
  <si>
    <t>細矢　美香</t>
  </si>
  <si>
    <t>小泉　江里子</t>
  </si>
  <si>
    <t>釜井　友理</t>
  </si>
  <si>
    <t>内田　彩夏</t>
  </si>
  <si>
    <t>篠崎　文子</t>
  </si>
  <si>
    <t>岩崎　由紀子</t>
  </si>
  <si>
    <t>福田　恭子</t>
  </si>
  <si>
    <t>大貫　勝</t>
    <phoneticPr fontId="2"/>
  </si>
  <si>
    <t>品川　修一</t>
    <phoneticPr fontId="2"/>
  </si>
  <si>
    <t>南中丸</t>
    <phoneticPr fontId="2"/>
  </si>
  <si>
    <t>瀬戸井　晋</t>
  </si>
  <si>
    <t>藤本　悦子</t>
  </si>
  <si>
    <t>KYAW MIN NAING（チョー　ミン　ナイン）</t>
  </si>
  <si>
    <t>須藤　絵梨奈</t>
  </si>
  <si>
    <t>山田　孝広</t>
  </si>
  <si>
    <t>大島　雄二</t>
  </si>
  <si>
    <t>福田　紀子</t>
  </si>
  <si>
    <t>岩野　友哉</t>
  </si>
  <si>
    <t>松本　豊</t>
  </si>
  <si>
    <t>THANDAR AYE（タンダ　エ－）</t>
  </si>
  <si>
    <t>MYOT HTAY（ミョッ　テ－）</t>
  </si>
  <si>
    <t>榊原　爽斗</t>
  </si>
  <si>
    <t>佐藤　舞</t>
  </si>
  <si>
    <t>平野　奈緒美</t>
  </si>
  <si>
    <t>大熊　隆史</t>
  </si>
  <si>
    <t>吉川　長代</t>
  </si>
  <si>
    <t>辻田　隆</t>
  </si>
  <si>
    <t>寺尾　恭</t>
  </si>
  <si>
    <t>渡邊　和美</t>
  </si>
  <si>
    <t>近藤　正貴</t>
  </si>
  <si>
    <t>林　学</t>
  </si>
  <si>
    <t>服部　康成</t>
  </si>
  <si>
    <t>木村　嘉一</t>
  </si>
  <si>
    <t>相川　隆志</t>
  </si>
  <si>
    <t>星野　敏昭</t>
  </si>
  <si>
    <t>菊地　栄輔</t>
  </si>
  <si>
    <t>柳澤　邦明</t>
  </si>
  <si>
    <t>依田　賢一</t>
  </si>
  <si>
    <t>榎本　紀雄</t>
  </si>
  <si>
    <t>堀里　勇一</t>
  </si>
  <si>
    <t>橋本　芳浩</t>
  </si>
  <si>
    <t>三俣　隆</t>
  </si>
  <si>
    <t>塩澤　幸太</t>
  </si>
  <si>
    <t>豊田　史剛</t>
  </si>
  <si>
    <t>鏑木　龍哉</t>
  </si>
  <si>
    <t>尾曽  武彦</t>
  </si>
  <si>
    <t>春日部</t>
    <phoneticPr fontId="2"/>
  </si>
  <si>
    <t>鈴木　ひとみ</t>
  </si>
  <si>
    <t>出雲　一男</t>
  </si>
  <si>
    <t>深野　夏子</t>
  </si>
  <si>
    <t>相良　栄莉菜</t>
  </si>
  <si>
    <t>相原　里奈</t>
  </si>
  <si>
    <t>桑原　詩奈</t>
  </si>
  <si>
    <t>HNIN YU WAI（ニン　ユ　ウェイ）</t>
  </si>
  <si>
    <t>THET MON LIN（テッ　モン　リン）</t>
  </si>
  <si>
    <t>菊地　貴子</t>
  </si>
  <si>
    <t>松本　鈴樺</t>
  </si>
  <si>
    <t>斉藤　眞理</t>
  </si>
  <si>
    <t>根本　美穂</t>
  </si>
  <si>
    <t>上吉原　恵美</t>
  </si>
  <si>
    <t>外崎　まどか</t>
  </si>
  <si>
    <t>小沼　光枝</t>
  </si>
  <si>
    <t>染谷　裕己</t>
  </si>
  <si>
    <t>福田　明美</t>
  </si>
  <si>
    <t>冨内　香美</t>
  </si>
  <si>
    <t>小峰　直子</t>
  </si>
  <si>
    <t>大倉　優子</t>
  </si>
  <si>
    <t>植松　容子</t>
  </si>
  <si>
    <t>髙橋　直美</t>
  </si>
  <si>
    <t>村中　由美子</t>
  </si>
  <si>
    <t>塩田　清美</t>
  </si>
  <si>
    <t>林　絹子</t>
  </si>
  <si>
    <t>中村　久美子</t>
  </si>
  <si>
    <t>金田　ひとみ</t>
  </si>
  <si>
    <t>逆井　美佐子</t>
  </si>
  <si>
    <t>若林　香代子</t>
  </si>
  <si>
    <t>篠　多美恵</t>
  </si>
  <si>
    <t>中根　景子</t>
  </si>
  <si>
    <t>島﨑　百合子</t>
  </si>
  <si>
    <t>坂口　美保子</t>
  </si>
  <si>
    <t>中村　裕美</t>
  </si>
  <si>
    <t>宇都宮</t>
    <phoneticPr fontId="2"/>
  </si>
  <si>
    <t>西浅田</t>
  </si>
  <si>
    <t>萩丘ⅱ</t>
  </si>
  <si>
    <t>気賀</t>
  </si>
  <si>
    <t>月給</t>
    <phoneticPr fontId="2"/>
  </si>
  <si>
    <t>時給</t>
    <phoneticPr fontId="2"/>
  </si>
  <si>
    <t>常時給</t>
    <phoneticPr fontId="2"/>
  </si>
  <si>
    <t>福田　美貴</t>
    <phoneticPr fontId="2"/>
  </si>
  <si>
    <t>小筆　有美</t>
    <phoneticPr fontId="2"/>
  </si>
  <si>
    <t>國府田　宏巳</t>
    <phoneticPr fontId="2"/>
  </si>
  <si>
    <t>岩崎　美紀</t>
    <phoneticPr fontId="2"/>
  </si>
  <si>
    <t>小池　かおり</t>
    <phoneticPr fontId="2"/>
  </si>
  <si>
    <t>高橋　明子</t>
    <phoneticPr fontId="2"/>
  </si>
  <si>
    <t>五十嵐　汐里</t>
    <phoneticPr fontId="2"/>
  </si>
  <si>
    <t>渡辺　芳恵</t>
    <phoneticPr fontId="2"/>
  </si>
  <si>
    <t>川上　恵美</t>
    <phoneticPr fontId="2"/>
  </si>
  <si>
    <t>池澤　明美</t>
    <phoneticPr fontId="2"/>
  </si>
  <si>
    <t>稲　栄子</t>
    <phoneticPr fontId="2"/>
  </si>
  <si>
    <t>小柳　幸男</t>
    <phoneticPr fontId="2"/>
  </si>
  <si>
    <t>小塚　幸代</t>
    <phoneticPr fontId="2"/>
  </si>
  <si>
    <t>瀬戸井　晋</t>
    <phoneticPr fontId="2"/>
  </si>
  <si>
    <t>藤本　悦子</t>
    <phoneticPr fontId="2"/>
  </si>
  <si>
    <t>須藤　絵梨奈</t>
    <phoneticPr fontId="2"/>
  </si>
  <si>
    <t>山田　孝広</t>
    <phoneticPr fontId="2"/>
  </si>
  <si>
    <t>大島　雄二</t>
    <phoneticPr fontId="2"/>
  </si>
  <si>
    <t>福田　紀子</t>
    <phoneticPr fontId="2"/>
  </si>
  <si>
    <t>岩野　友哉</t>
    <phoneticPr fontId="2"/>
  </si>
  <si>
    <t>松本　豊</t>
    <phoneticPr fontId="2"/>
  </si>
  <si>
    <t>榊原　爽斗</t>
    <phoneticPr fontId="2"/>
  </si>
  <si>
    <t>佐藤　舞</t>
    <phoneticPr fontId="2"/>
  </si>
  <si>
    <t>平野　奈緒美</t>
    <phoneticPr fontId="2"/>
  </si>
  <si>
    <t>大熊　隆史</t>
    <phoneticPr fontId="2"/>
  </si>
  <si>
    <t>吉川　長代</t>
    <phoneticPr fontId="2"/>
  </si>
  <si>
    <t>鈴木　ひとみ</t>
    <phoneticPr fontId="2"/>
  </si>
  <si>
    <t>出雲　一男</t>
    <phoneticPr fontId="2"/>
  </si>
  <si>
    <t>深野　夏子</t>
    <phoneticPr fontId="2"/>
  </si>
  <si>
    <t>相良　栄莉菜</t>
    <phoneticPr fontId="2"/>
  </si>
  <si>
    <t>相原　里奈</t>
    <phoneticPr fontId="2"/>
  </si>
  <si>
    <t>桑原　詩奈</t>
    <phoneticPr fontId="2"/>
  </si>
  <si>
    <t>菊地　貴子</t>
    <phoneticPr fontId="2"/>
  </si>
  <si>
    <t>松本　鈴樺</t>
    <phoneticPr fontId="2"/>
  </si>
  <si>
    <t>斉藤　眞理</t>
    <phoneticPr fontId="2"/>
  </si>
  <si>
    <t>根本　美穂</t>
    <phoneticPr fontId="2"/>
  </si>
  <si>
    <t>上吉原　恵美</t>
    <phoneticPr fontId="2"/>
  </si>
  <si>
    <t>外崎　まどか</t>
    <phoneticPr fontId="2"/>
  </si>
  <si>
    <t>保坂　正晴</t>
    <phoneticPr fontId="2"/>
  </si>
  <si>
    <t>小山　政光</t>
    <phoneticPr fontId="2"/>
  </si>
  <si>
    <t>小野田　誠</t>
    <phoneticPr fontId="2"/>
  </si>
  <si>
    <t>伊藤　智也</t>
    <phoneticPr fontId="2"/>
  </si>
  <si>
    <t>下山　智史</t>
    <phoneticPr fontId="2"/>
  </si>
  <si>
    <t>上野　和路</t>
    <phoneticPr fontId="2"/>
  </si>
  <si>
    <t>佐藤　碧海</t>
    <phoneticPr fontId="2"/>
  </si>
  <si>
    <t>左雲　光伸</t>
    <phoneticPr fontId="2"/>
  </si>
  <si>
    <t>高松　美幸</t>
    <phoneticPr fontId="2"/>
  </si>
  <si>
    <t>細矢　美香</t>
    <phoneticPr fontId="2"/>
  </si>
  <si>
    <t>小泉　江里子</t>
    <phoneticPr fontId="2"/>
  </si>
  <si>
    <t>釜井　友理</t>
    <phoneticPr fontId="2"/>
  </si>
  <si>
    <t>内田　彩夏</t>
    <phoneticPr fontId="2"/>
  </si>
  <si>
    <t>篠崎　文子</t>
    <phoneticPr fontId="2"/>
  </si>
  <si>
    <t>岩崎　由紀子</t>
    <phoneticPr fontId="2"/>
  </si>
  <si>
    <t>福田　恭子</t>
    <phoneticPr fontId="2"/>
  </si>
  <si>
    <t>辻田　隆</t>
    <phoneticPr fontId="2"/>
  </si>
  <si>
    <t>寺尾　恭</t>
    <phoneticPr fontId="2"/>
  </si>
  <si>
    <t>渡邊　和美</t>
    <phoneticPr fontId="2"/>
  </si>
  <si>
    <t>近藤　正貴</t>
    <phoneticPr fontId="2"/>
  </si>
  <si>
    <t>林　学</t>
    <phoneticPr fontId="2"/>
  </si>
  <si>
    <t>服部　康成</t>
    <phoneticPr fontId="2"/>
  </si>
  <si>
    <t>木村　嘉一</t>
    <phoneticPr fontId="2"/>
  </si>
  <si>
    <t>相川　隆志</t>
    <phoneticPr fontId="2"/>
  </si>
  <si>
    <t>星野　敏昭</t>
    <phoneticPr fontId="2"/>
  </si>
  <si>
    <t>菊地　栄輔</t>
    <phoneticPr fontId="2"/>
  </si>
  <si>
    <t>柳澤　邦明</t>
    <phoneticPr fontId="2"/>
  </si>
  <si>
    <t>依田　賢一</t>
    <phoneticPr fontId="2"/>
  </si>
  <si>
    <t>榎本　紀雄</t>
    <phoneticPr fontId="2"/>
  </si>
  <si>
    <t>堀里　勇一</t>
    <phoneticPr fontId="2"/>
  </si>
  <si>
    <t>橋本　芳浩</t>
    <phoneticPr fontId="2"/>
  </si>
  <si>
    <t>三俣　隆</t>
    <phoneticPr fontId="2"/>
  </si>
  <si>
    <t>塩澤　幸太</t>
    <phoneticPr fontId="2"/>
  </si>
  <si>
    <t>豊田　史剛</t>
    <phoneticPr fontId="2"/>
  </si>
  <si>
    <t>鏑木　龍哉</t>
    <phoneticPr fontId="2"/>
  </si>
  <si>
    <t>尾曽  武彦</t>
    <phoneticPr fontId="2"/>
  </si>
  <si>
    <t>小沼　光枝</t>
    <phoneticPr fontId="2"/>
  </si>
  <si>
    <t>染谷　裕己</t>
    <phoneticPr fontId="2"/>
  </si>
  <si>
    <t>福田　明美</t>
    <phoneticPr fontId="2"/>
  </si>
  <si>
    <t>冨内　香美</t>
    <phoneticPr fontId="2"/>
  </si>
  <si>
    <t>小峰　直子</t>
    <phoneticPr fontId="2"/>
  </si>
  <si>
    <t>大倉　優子</t>
    <phoneticPr fontId="2"/>
  </si>
  <si>
    <t>植松　容子</t>
    <phoneticPr fontId="2"/>
  </si>
  <si>
    <t>髙橋　直美</t>
    <phoneticPr fontId="2"/>
  </si>
  <si>
    <t>村中　由美子</t>
    <phoneticPr fontId="2"/>
  </si>
  <si>
    <t>塩田　清美</t>
    <phoneticPr fontId="2"/>
  </si>
  <si>
    <t>林　絹子</t>
    <phoneticPr fontId="2"/>
  </si>
  <si>
    <t>中村　久美子</t>
    <phoneticPr fontId="2"/>
  </si>
  <si>
    <t>金田　ひとみ</t>
    <phoneticPr fontId="2"/>
  </si>
  <si>
    <t>逆井　美佐子</t>
    <phoneticPr fontId="2"/>
  </si>
  <si>
    <t>若林　香代子</t>
    <phoneticPr fontId="2"/>
  </si>
  <si>
    <t>篠　多美恵</t>
    <phoneticPr fontId="2"/>
  </si>
  <si>
    <t>中根　景子</t>
    <phoneticPr fontId="2"/>
  </si>
  <si>
    <t>島﨑　百合子</t>
    <phoneticPr fontId="2"/>
  </si>
  <si>
    <t>坂口　美保子</t>
    <phoneticPr fontId="2"/>
  </si>
  <si>
    <t>中村　裕美</t>
    <phoneticPr fontId="2"/>
  </si>
  <si>
    <t>鍋島　一生</t>
  </si>
  <si>
    <t>鈴木　勝弘</t>
  </si>
  <si>
    <t>富原　正弘</t>
  </si>
  <si>
    <t>笠原　輝昭</t>
  </si>
  <si>
    <t>堀内　正紀</t>
  </si>
  <si>
    <t>山本　博嗣</t>
  </si>
  <si>
    <t>赤堀　寿通</t>
  </si>
  <si>
    <t>横田　智弘</t>
  </si>
  <si>
    <t>渡邊　武文</t>
  </si>
  <si>
    <t>山本　達也</t>
  </si>
  <si>
    <t>久保田　美咲</t>
  </si>
  <si>
    <t>萩田　敏子</t>
  </si>
  <si>
    <t>岡本　千春</t>
  </si>
  <si>
    <t>高木　八重子</t>
  </si>
  <si>
    <t>梅田　文</t>
  </si>
  <si>
    <t>西尾　泰江子</t>
  </si>
  <si>
    <t>平野　真理子</t>
  </si>
  <si>
    <t>井村　千鶴子</t>
  </si>
  <si>
    <t>赤堀　啓子</t>
  </si>
  <si>
    <t>望月　ひろみ</t>
  </si>
  <si>
    <t>大橋　千枝</t>
  </si>
  <si>
    <t>菅原　良子</t>
  </si>
  <si>
    <t>松井　もとみ</t>
  </si>
  <si>
    <t>大岡　万須美</t>
  </si>
  <si>
    <t>吉原　祐理</t>
  </si>
  <si>
    <t>長山　真実</t>
  </si>
  <si>
    <t>佐野　久美子</t>
  </si>
  <si>
    <t>土井　ゆり子</t>
  </si>
  <si>
    <t>平川　泰正</t>
  </si>
  <si>
    <t>鈴井　浩明</t>
  </si>
  <si>
    <t>小栗　大幸</t>
  </si>
  <si>
    <t>今田　寿夫</t>
  </si>
  <si>
    <t>鈴木　隆太</t>
  </si>
  <si>
    <t>鈴木　智之</t>
  </si>
  <si>
    <t>白澤　徹</t>
  </si>
  <si>
    <t>川合　貴久</t>
  </si>
  <si>
    <t>村松　義司</t>
  </si>
  <si>
    <t>佐野　滝夫</t>
  </si>
  <si>
    <t>刑部　直也</t>
  </si>
  <si>
    <t>澤井　秀幸</t>
  </si>
  <si>
    <t>髙塚　大輔</t>
  </si>
  <si>
    <t>花田　龍鳳</t>
  </si>
  <si>
    <t>佐々木　誠</t>
  </si>
  <si>
    <t>藤田　康太朗</t>
  </si>
  <si>
    <t>梶原　佑悟</t>
  </si>
  <si>
    <t>藤田　ひろ江</t>
  </si>
  <si>
    <t>高橋　由起子</t>
  </si>
  <si>
    <t>浅風　佳子</t>
  </si>
  <si>
    <t>鈴木　良枝</t>
  </si>
  <si>
    <t>小松　千昭</t>
  </si>
  <si>
    <t>髙林　宏枝</t>
  </si>
  <si>
    <t>福井　理枝子</t>
  </si>
  <si>
    <t>寺田　香生里</t>
  </si>
  <si>
    <t>杉本　浩子</t>
  </si>
  <si>
    <t>松浦　映子</t>
  </si>
  <si>
    <t>山口　孝正</t>
  </si>
  <si>
    <t>大石　雅礼</t>
  </si>
  <si>
    <t>大友　雅博</t>
  </si>
  <si>
    <t>大野　正和</t>
  </si>
  <si>
    <t>田中　敏晴</t>
  </si>
  <si>
    <t>徳田　政司</t>
  </si>
  <si>
    <t>豊田　光弘</t>
  </si>
  <si>
    <t>永野　信宏</t>
  </si>
  <si>
    <t>渡邉　忠夫</t>
  </si>
  <si>
    <t>森下　綾香</t>
  </si>
  <si>
    <t>大坪　偉久子</t>
  </si>
  <si>
    <t>河合　夢生</t>
  </si>
  <si>
    <t>名倉　宏美</t>
  </si>
  <si>
    <t>平山　千栄</t>
  </si>
  <si>
    <t>中澤　育子</t>
  </si>
  <si>
    <t>岩本　麻里</t>
  </si>
  <si>
    <t>後藤　早香</t>
  </si>
  <si>
    <t>髙﨑　かおり</t>
  </si>
  <si>
    <t>波多野　元子</t>
  </si>
  <si>
    <t>笹ケ瀨　満広</t>
  </si>
  <si>
    <t>井村　正幸</t>
  </si>
  <si>
    <t>渡邊　雅英</t>
  </si>
  <si>
    <t>藤原　裕二</t>
  </si>
  <si>
    <t>高井　宗樹</t>
  </si>
  <si>
    <t>栗田　燎伍</t>
  </si>
  <si>
    <t>鈴木　健吾</t>
  </si>
  <si>
    <t>北村　元保</t>
  </si>
  <si>
    <t>池谷　孝夫</t>
  </si>
  <si>
    <t>萩間　裕二</t>
  </si>
  <si>
    <t>北村　圭二</t>
  </si>
  <si>
    <t>外山　正孝</t>
  </si>
  <si>
    <t>溝口　琢也</t>
  </si>
  <si>
    <t>浅井　健</t>
  </si>
  <si>
    <t>髙木　章雄</t>
  </si>
  <si>
    <t>近藤　勝司</t>
  </si>
  <si>
    <t>坂本　宙星</t>
  </si>
  <si>
    <t>大橋　圭子</t>
  </si>
  <si>
    <t>佐野　由美子</t>
  </si>
  <si>
    <t>守屋　圭子</t>
  </si>
  <si>
    <t>佐々木　仁美</t>
  </si>
  <si>
    <t>竹内　京子</t>
  </si>
  <si>
    <t>杉浦　香世</t>
  </si>
  <si>
    <t>平野　由起子</t>
  </si>
  <si>
    <t>菊地　牧子</t>
  </si>
  <si>
    <t>小粥　麻実</t>
  </si>
  <si>
    <t>渡瀬　知美</t>
  </si>
  <si>
    <t>重度支援Ⅰ</t>
    <phoneticPr fontId="2"/>
  </si>
  <si>
    <t>重度支援Ⅱ</t>
    <phoneticPr fontId="2"/>
  </si>
  <si>
    <t>福田美貴</t>
    <phoneticPr fontId="2"/>
  </si>
  <si>
    <t>山田孝広</t>
    <phoneticPr fontId="2"/>
  </si>
  <si>
    <t>鈴木ひとみ</t>
    <phoneticPr fontId="2"/>
  </si>
  <si>
    <t>伊部透</t>
    <phoneticPr fontId="2"/>
  </si>
  <si>
    <t>飯田秋寿</t>
    <phoneticPr fontId="2"/>
  </si>
  <si>
    <t>鈴木匠</t>
    <phoneticPr fontId="2"/>
  </si>
  <si>
    <t>稲葉健斗</t>
    <phoneticPr fontId="2"/>
  </si>
  <si>
    <t>名倉泰憲</t>
    <phoneticPr fontId="2"/>
  </si>
  <si>
    <t>大島雄二</t>
    <phoneticPr fontId="2"/>
  </si>
  <si>
    <t>外崎まどか</t>
    <phoneticPr fontId="2"/>
  </si>
  <si>
    <t>浅岡明美</t>
    <phoneticPr fontId="2"/>
  </si>
  <si>
    <t>二橋美代</t>
    <phoneticPr fontId="2"/>
  </si>
  <si>
    <t>古橋友里子</t>
    <phoneticPr fontId="2"/>
  </si>
  <si>
    <t>月給</t>
    <phoneticPr fontId="2"/>
  </si>
  <si>
    <t>●</t>
    <phoneticPr fontId="2"/>
  </si>
  <si>
    <t>時給</t>
    <phoneticPr fontId="2"/>
  </si>
  <si>
    <t>常時給</t>
    <phoneticPr fontId="2"/>
  </si>
  <si>
    <t>伊部　透</t>
    <phoneticPr fontId="2"/>
  </si>
  <si>
    <t>佐藤　香緒里</t>
    <phoneticPr fontId="2"/>
  </si>
  <si>
    <t>市野　彩</t>
    <phoneticPr fontId="2"/>
  </si>
  <si>
    <t>山崎　佳代</t>
    <phoneticPr fontId="2"/>
  </si>
  <si>
    <t>赤尾　なぎ</t>
    <phoneticPr fontId="2"/>
  </si>
  <si>
    <t>杉山　則彰</t>
    <phoneticPr fontId="2"/>
  </si>
  <si>
    <t>松井　綾耶</t>
    <phoneticPr fontId="2"/>
  </si>
  <si>
    <t>山下　雄基</t>
    <phoneticPr fontId="2"/>
  </si>
  <si>
    <t>小松　孝規</t>
    <phoneticPr fontId="2"/>
  </si>
  <si>
    <t>吉岡　栄治</t>
    <phoneticPr fontId="2"/>
  </si>
  <si>
    <t>大石　健人</t>
    <phoneticPr fontId="2"/>
  </si>
  <si>
    <t>籾山　万理</t>
    <phoneticPr fontId="2"/>
  </si>
  <si>
    <t>増田　奈緒美</t>
    <phoneticPr fontId="2"/>
  </si>
  <si>
    <t>昆布谷　真彩</t>
    <phoneticPr fontId="2"/>
  </si>
  <si>
    <t>松村　美穂</t>
    <phoneticPr fontId="2"/>
  </si>
  <si>
    <t>大石　江里</t>
    <phoneticPr fontId="2"/>
  </si>
  <si>
    <t>紅林　佐知子</t>
    <phoneticPr fontId="2"/>
  </si>
  <si>
    <t>落合　澄江</t>
  </si>
  <si>
    <t>松山　開花</t>
  </si>
  <si>
    <t>五藤　淳史</t>
  </si>
  <si>
    <t>飯田　秋寿</t>
    <phoneticPr fontId="2"/>
  </si>
  <si>
    <t>瀧澤　久美子</t>
    <phoneticPr fontId="2"/>
  </si>
  <si>
    <t>林　計司</t>
    <phoneticPr fontId="2"/>
  </si>
  <si>
    <t>河野　裕貴</t>
    <phoneticPr fontId="2"/>
  </si>
  <si>
    <t>鎌田　益生</t>
    <phoneticPr fontId="2"/>
  </si>
  <si>
    <t>円子　久美子</t>
    <phoneticPr fontId="2"/>
  </si>
  <si>
    <t>旭　里香</t>
    <phoneticPr fontId="2"/>
  </si>
  <si>
    <t>伊藤　剛</t>
    <phoneticPr fontId="2"/>
  </si>
  <si>
    <t>松永　奈美恵</t>
    <phoneticPr fontId="2"/>
  </si>
  <si>
    <t>朝倉　大晃</t>
    <phoneticPr fontId="2"/>
  </si>
  <si>
    <t>畑井　拓哉</t>
    <phoneticPr fontId="2"/>
  </si>
  <si>
    <t>石原　弥生</t>
    <phoneticPr fontId="2"/>
  </si>
  <si>
    <t>野島　千愛</t>
    <phoneticPr fontId="2"/>
  </si>
  <si>
    <t>鈴木　康裕</t>
    <phoneticPr fontId="2"/>
  </si>
  <si>
    <t>杉浦　直美</t>
  </si>
  <si>
    <t>藤田　友香</t>
  </si>
  <si>
    <t>野村　昌志</t>
  </si>
  <si>
    <t>池田　愛</t>
  </si>
  <si>
    <t>鈴木　秀</t>
  </si>
  <si>
    <t>二橋　美代</t>
    <phoneticPr fontId="2"/>
  </si>
  <si>
    <t>後藤　久仁子</t>
    <phoneticPr fontId="2"/>
  </si>
  <si>
    <t>小林　春美</t>
    <phoneticPr fontId="2"/>
  </si>
  <si>
    <t>鈴木　ゆかり</t>
    <phoneticPr fontId="2"/>
  </si>
  <si>
    <t>天野　知与</t>
    <phoneticPr fontId="2"/>
  </si>
  <si>
    <t>高倉　正志</t>
    <phoneticPr fontId="2"/>
  </si>
  <si>
    <t>小野田　晃啓</t>
    <phoneticPr fontId="2"/>
  </si>
  <si>
    <t>花垣　洋</t>
    <phoneticPr fontId="2"/>
  </si>
  <si>
    <t>荒木　由美子</t>
    <phoneticPr fontId="2"/>
  </si>
  <si>
    <t>磯部　彰</t>
    <phoneticPr fontId="2"/>
  </si>
  <si>
    <t>重浦　富士男</t>
    <phoneticPr fontId="2"/>
  </si>
  <si>
    <t>藤原　祐樹</t>
    <phoneticPr fontId="2"/>
  </si>
  <si>
    <t>鶴田　真司</t>
    <phoneticPr fontId="2"/>
  </si>
  <si>
    <t>鈴木　匠</t>
    <phoneticPr fontId="2"/>
  </si>
  <si>
    <t>外山　美津穂</t>
    <phoneticPr fontId="2"/>
  </si>
  <si>
    <t>新貝　記明</t>
    <phoneticPr fontId="2"/>
  </si>
  <si>
    <t>川島　恵里</t>
    <phoneticPr fontId="2"/>
  </si>
  <si>
    <t>船川　美優</t>
  </si>
  <si>
    <t>伊藤　かほり</t>
  </si>
  <si>
    <t>稲葉　健斗</t>
    <phoneticPr fontId="2"/>
  </si>
  <si>
    <t>松本　錠二</t>
    <phoneticPr fontId="2"/>
  </si>
  <si>
    <t>山本　真由美</t>
    <phoneticPr fontId="2"/>
  </si>
  <si>
    <t>中村　大志</t>
    <phoneticPr fontId="2"/>
  </si>
  <si>
    <t>夏目　一輝</t>
    <phoneticPr fontId="2"/>
  </si>
  <si>
    <t>須山　隆広</t>
    <phoneticPr fontId="2"/>
  </si>
  <si>
    <t>浜井　博文</t>
    <phoneticPr fontId="2"/>
  </si>
  <si>
    <t>久保田　佳代</t>
    <phoneticPr fontId="2"/>
  </si>
  <si>
    <t>林　喜彦</t>
    <phoneticPr fontId="2"/>
  </si>
  <si>
    <t>庵原　恵美子</t>
    <phoneticPr fontId="2"/>
  </si>
  <si>
    <t>諸井　美智子</t>
    <phoneticPr fontId="2"/>
  </si>
  <si>
    <t>新貝　久義</t>
    <phoneticPr fontId="2"/>
  </si>
  <si>
    <t>渥美　麻衣</t>
    <phoneticPr fontId="2"/>
  </si>
  <si>
    <t>清水　実代子</t>
    <phoneticPr fontId="2"/>
  </si>
  <si>
    <t>浅野　英則</t>
    <phoneticPr fontId="2"/>
  </si>
  <si>
    <t>飯尾　大</t>
  </si>
  <si>
    <t>永井　賀子</t>
  </si>
  <si>
    <t>名倉　泰憲</t>
    <phoneticPr fontId="2"/>
  </si>
  <si>
    <t>古橋　友理子</t>
    <phoneticPr fontId="2"/>
  </si>
  <si>
    <t>横山　尋代</t>
    <phoneticPr fontId="2"/>
  </si>
  <si>
    <t>川合　和重</t>
    <phoneticPr fontId="2"/>
  </si>
  <si>
    <t>島沢　七恵</t>
    <phoneticPr fontId="2"/>
  </si>
  <si>
    <t>小楠　秀貴</t>
    <phoneticPr fontId="2"/>
  </si>
  <si>
    <t>岡留　好希</t>
    <phoneticPr fontId="2"/>
  </si>
  <si>
    <t>加藤　美津子</t>
    <phoneticPr fontId="2"/>
  </si>
  <si>
    <t>阿部　依利</t>
    <phoneticPr fontId="2"/>
  </si>
  <si>
    <t>鎌田　幸美</t>
    <phoneticPr fontId="2"/>
  </si>
  <si>
    <t>関根　まき</t>
    <phoneticPr fontId="2"/>
  </si>
  <si>
    <t>村松　結衣</t>
    <phoneticPr fontId="2"/>
  </si>
  <si>
    <t>岡田　典子</t>
    <phoneticPr fontId="2"/>
  </si>
  <si>
    <t>短期入所（男女）：</t>
    <rPh sb="5" eb="7">
      <t>ダンジョ</t>
    </rPh>
    <phoneticPr fontId="2"/>
  </si>
  <si>
    <r>
      <rPr>
        <b/>
        <sz val="12"/>
        <color rgb="FFFFFF00"/>
        <rFont val="Meiryo UI"/>
        <family val="3"/>
        <charset val="128"/>
      </rPr>
      <t>1F</t>
    </r>
    <r>
      <rPr>
        <b/>
        <sz val="12"/>
        <color theme="0"/>
        <rFont val="Meiryo UI"/>
        <family val="3"/>
        <charset val="128"/>
      </rPr>
      <t>：男性(10名)　</t>
    </r>
    <r>
      <rPr>
        <b/>
        <sz val="12"/>
        <color rgb="FFFFFF00"/>
        <rFont val="Meiryo UI"/>
        <family val="3"/>
        <charset val="128"/>
      </rPr>
      <t>2F</t>
    </r>
    <r>
      <rPr>
        <b/>
        <sz val="12"/>
        <color theme="0"/>
        <rFont val="Meiryo UI"/>
        <family val="3"/>
        <charset val="128"/>
      </rPr>
      <t>：男性(10名)</t>
    </r>
    <rPh sb="3" eb="4">
      <t>オトコ</t>
    </rPh>
    <phoneticPr fontId="2"/>
  </si>
  <si>
    <r>
      <rPr>
        <b/>
        <sz val="12"/>
        <color rgb="FFFFFF00"/>
        <rFont val="Meiryo UI"/>
        <family val="3"/>
        <charset val="128"/>
      </rPr>
      <t>1F</t>
    </r>
    <r>
      <rPr>
        <b/>
        <sz val="12"/>
        <color theme="0"/>
        <rFont val="Meiryo UI"/>
        <family val="3"/>
        <charset val="128"/>
      </rPr>
      <t>：男性(10名)　</t>
    </r>
    <r>
      <rPr>
        <b/>
        <sz val="12"/>
        <color rgb="FFFFFF00"/>
        <rFont val="Meiryo UI"/>
        <family val="3"/>
        <charset val="128"/>
      </rPr>
      <t>2F</t>
    </r>
    <r>
      <rPr>
        <b/>
        <sz val="12"/>
        <color theme="0"/>
        <rFont val="Meiryo UI"/>
        <family val="3"/>
        <charset val="128"/>
      </rPr>
      <t>：男性(10名)</t>
    </r>
    <phoneticPr fontId="2"/>
  </si>
  <si>
    <t>短期入所（女性）：</t>
    <rPh sb="5" eb="7">
      <t>ジョセイ</t>
    </rPh>
    <phoneticPr fontId="2"/>
  </si>
  <si>
    <r>
      <rPr>
        <b/>
        <sz val="12"/>
        <color rgb="FFFFFF00"/>
        <rFont val="Meiryo UI"/>
        <family val="3"/>
        <charset val="128"/>
      </rPr>
      <t>1F</t>
    </r>
    <r>
      <rPr>
        <b/>
        <sz val="12"/>
        <color theme="0"/>
        <rFont val="Meiryo UI"/>
        <family val="3"/>
        <charset val="128"/>
      </rPr>
      <t>：男性(10名)　</t>
    </r>
    <r>
      <rPr>
        <b/>
        <sz val="12"/>
        <color rgb="FFFFFF00"/>
        <rFont val="Meiryo UI"/>
        <family val="3"/>
        <charset val="128"/>
      </rPr>
      <t>2F</t>
    </r>
    <r>
      <rPr>
        <b/>
        <sz val="12"/>
        <color theme="0"/>
        <rFont val="Meiryo UI"/>
        <family val="3"/>
        <charset val="128"/>
      </rPr>
      <t>：女性(10名)</t>
    </r>
    <rPh sb="14" eb="16">
      <t>ジョセイ</t>
    </rPh>
    <phoneticPr fontId="2"/>
  </si>
  <si>
    <r>
      <rPr>
        <b/>
        <sz val="12"/>
        <color rgb="FFFFFF00"/>
        <rFont val="Meiryo UI"/>
        <family val="3"/>
        <charset val="128"/>
      </rPr>
      <t>1F</t>
    </r>
    <r>
      <rPr>
        <b/>
        <sz val="12"/>
        <color theme="0"/>
        <rFont val="Meiryo UI"/>
        <family val="3"/>
        <charset val="128"/>
      </rPr>
      <t>：女性(10名)　</t>
    </r>
    <r>
      <rPr>
        <b/>
        <sz val="12"/>
        <color rgb="FFFFFF00"/>
        <rFont val="Meiryo UI"/>
        <family val="3"/>
        <charset val="128"/>
      </rPr>
      <t>2F</t>
    </r>
    <r>
      <rPr>
        <b/>
        <sz val="12"/>
        <color theme="0"/>
        <rFont val="Meiryo UI"/>
        <family val="3"/>
        <charset val="128"/>
      </rPr>
      <t>：男性(10名)　</t>
    </r>
    <r>
      <rPr>
        <b/>
        <sz val="12"/>
        <color rgb="FFFFFF00"/>
        <rFont val="Meiryo UI"/>
        <family val="3"/>
        <charset val="128"/>
      </rPr>
      <t>別1F</t>
    </r>
    <r>
      <rPr>
        <b/>
        <sz val="12"/>
        <color theme="0"/>
        <rFont val="Meiryo UI"/>
        <family val="3"/>
        <charset val="128"/>
      </rPr>
      <t>：男性(10名)</t>
    </r>
    <rPh sb="22" eb="23">
      <t>ベツ</t>
    </rPh>
    <rPh sb="26" eb="28">
      <t>ダンセイ</t>
    </rPh>
    <phoneticPr fontId="2"/>
  </si>
  <si>
    <r>
      <rPr>
        <b/>
        <sz val="12"/>
        <color rgb="FFFFFF00"/>
        <rFont val="Meiryo UI"/>
        <family val="3"/>
        <charset val="128"/>
      </rPr>
      <t>1F</t>
    </r>
    <r>
      <rPr>
        <b/>
        <sz val="12"/>
        <color theme="0"/>
        <rFont val="Meiryo UI"/>
        <family val="3"/>
        <charset val="128"/>
      </rPr>
      <t>：女性(5名)　</t>
    </r>
    <r>
      <rPr>
        <b/>
        <sz val="12"/>
        <color rgb="FFFFFF00"/>
        <rFont val="Meiryo UI"/>
        <family val="3"/>
        <charset val="128"/>
      </rPr>
      <t>2F</t>
    </r>
    <r>
      <rPr>
        <b/>
        <sz val="12"/>
        <color theme="0"/>
        <rFont val="Meiryo UI"/>
        <family val="3"/>
        <charset val="128"/>
      </rPr>
      <t>：男性(5名)</t>
    </r>
    <phoneticPr fontId="2"/>
  </si>
  <si>
    <t>諸井美智子</t>
    <phoneticPr fontId="2"/>
  </si>
  <si>
    <r>
      <rPr>
        <b/>
        <sz val="12"/>
        <color rgb="FFFFFF00"/>
        <rFont val="Meiryo UI"/>
        <family val="3"/>
        <charset val="128"/>
      </rPr>
      <t>1F</t>
    </r>
    <r>
      <rPr>
        <b/>
        <sz val="12"/>
        <color theme="0"/>
        <rFont val="Meiryo UI"/>
        <family val="3"/>
        <charset val="128"/>
      </rPr>
      <t>：男性(10名)　</t>
    </r>
    <r>
      <rPr>
        <b/>
        <sz val="12"/>
        <color rgb="FFFFFF00"/>
        <rFont val="Meiryo UI"/>
        <family val="3"/>
        <charset val="128"/>
      </rPr>
      <t>2F</t>
    </r>
    <r>
      <rPr>
        <b/>
        <sz val="12"/>
        <color theme="0"/>
        <rFont val="Meiryo UI"/>
        <family val="3"/>
        <charset val="128"/>
      </rPr>
      <t>：女性(10名)</t>
    </r>
    <phoneticPr fontId="2"/>
  </si>
  <si>
    <r>
      <rPr>
        <b/>
        <sz val="12"/>
        <color rgb="FFFFFF00"/>
        <rFont val="Meiryo UI"/>
        <family val="3"/>
        <charset val="128"/>
      </rPr>
      <t>1F</t>
    </r>
    <r>
      <rPr>
        <b/>
        <sz val="12"/>
        <color theme="0"/>
        <rFont val="Meiryo UI"/>
        <family val="3"/>
        <charset val="128"/>
      </rPr>
      <t>：女性(10名)　</t>
    </r>
    <r>
      <rPr>
        <b/>
        <sz val="12"/>
        <color rgb="FFFFFF00"/>
        <rFont val="Meiryo UI"/>
        <family val="3"/>
        <charset val="128"/>
      </rPr>
      <t>2F</t>
    </r>
    <r>
      <rPr>
        <b/>
        <sz val="12"/>
        <color theme="0"/>
        <rFont val="Meiryo UI"/>
        <family val="3"/>
        <charset val="128"/>
      </rPr>
      <t>：女性(10名)</t>
    </r>
    <rPh sb="14" eb="15">
      <t>オンナ</t>
    </rPh>
    <phoneticPr fontId="2"/>
  </si>
  <si>
    <t>川合　幸子</t>
  </si>
  <si>
    <t>大石　理加</t>
  </si>
  <si>
    <t>池田　優美</t>
  </si>
  <si>
    <t>大村　惠津子</t>
  </si>
  <si>
    <t>加納　愛子</t>
  </si>
  <si>
    <t>西村　樹</t>
  </si>
  <si>
    <t>森下　雅之</t>
  </si>
  <si>
    <t>袴田　勝利</t>
  </si>
  <si>
    <t>大場　保幸</t>
  </si>
  <si>
    <t>金原　利明</t>
  </si>
  <si>
    <t>チョー ミン ナイン</t>
    <phoneticPr fontId="2"/>
  </si>
  <si>
    <t>タンダ エ－</t>
    <phoneticPr fontId="2"/>
  </si>
  <si>
    <t>ミョッ テ－</t>
    <phoneticPr fontId="2"/>
  </si>
  <si>
    <t>ニン ユ ウェイ</t>
    <phoneticPr fontId="2"/>
  </si>
  <si>
    <t>テッ モン リン</t>
    <phoneticPr fontId="2"/>
  </si>
  <si>
    <t>カイン ジン ウ－</t>
    <phoneticPr fontId="2"/>
  </si>
  <si>
    <t>トゥー ザー ミン</t>
    <phoneticPr fontId="2"/>
  </si>
  <si>
    <t>エー エー アウン</t>
    <phoneticPr fontId="2"/>
  </si>
  <si>
    <t>ソー タンダ キョー</t>
    <phoneticPr fontId="2"/>
  </si>
  <si>
    <t>エ－ ミャッ ナンダ</t>
    <phoneticPr fontId="2"/>
  </si>
  <si>
    <t>パ パ ウイン</t>
    <phoneticPr fontId="2"/>
  </si>
  <si>
    <t>メイ ジン キョ－</t>
    <phoneticPr fontId="2"/>
  </si>
  <si>
    <t>ス ス カイン</t>
    <phoneticPr fontId="2"/>
  </si>
  <si>
    <t>ウイン ティリ スエ</t>
    <phoneticPr fontId="2"/>
  </si>
  <si>
    <t>チッ チッ アウン</t>
    <phoneticPr fontId="2"/>
  </si>
  <si>
    <t>エ－ チャン ピュ</t>
    <phoneticPr fontId="2"/>
  </si>
  <si>
    <t>エ－ ミャッ ピュ</t>
    <phoneticPr fontId="2"/>
  </si>
  <si>
    <t>済</t>
  </si>
  <si>
    <t>完</t>
  </si>
  <si>
    <t>Ⅰ</t>
  </si>
  <si>
    <t>対応中</t>
    <rPh sb="0" eb="3">
      <t>タイオウチュウ</t>
    </rPh>
    <phoneticPr fontId="2"/>
  </si>
  <si>
    <t>区分6に変更目標</t>
    <rPh sb="0" eb="2">
      <t>クブン</t>
    </rPh>
    <rPh sb="4" eb="6">
      <t>ヘンコウ</t>
    </rPh>
    <rPh sb="6" eb="8">
      <t>モクヒョウ</t>
    </rPh>
    <phoneticPr fontId="2"/>
  </si>
  <si>
    <t>○</t>
  </si>
  <si>
    <t>確認済：Ⅰに変更目標</t>
    <rPh sb="0" eb="2">
      <t>カクニン</t>
    </rPh>
    <rPh sb="2" eb="3">
      <t>ズ</t>
    </rPh>
    <rPh sb="6" eb="8">
      <t>ヘンコウ</t>
    </rPh>
    <rPh sb="8" eb="10">
      <t>モクヒョウ</t>
    </rPh>
    <phoneticPr fontId="2"/>
  </si>
  <si>
    <t>月</t>
  </si>
  <si>
    <t>SS新規契約</t>
    <rPh sb="2" eb="4">
      <t>シンキ</t>
    </rPh>
    <rPh sb="4" eb="6">
      <t>ケイヤク</t>
    </rPh>
    <phoneticPr fontId="2"/>
  </si>
  <si>
    <t>髙山</t>
    <rPh sb="0" eb="2">
      <t>タカヤマ</t>
    </rPh>
    <phoneticPr fontId="2"/>
  </si>
  <si>
    <t>髙山</t>
    <rPh sb="0" eb="2">
      <t>タカヤマ</t>
    </rPh>
    <phoneticPr fontId="2"/>
  </si>
  <si>
    <t>短期入所（男）：</t>
    <rPh sb="5" eb="6">
      <t>オトコ</t>
    </rPh>
    <phoneticPr fontId="2"/>
  </si>
  <si>
    <t>区分４～５相当：相談員にも連絡済み</t>
    <rPh sb="0" eb="2">
      <t>クブン</t>
    </rPh>
    <rPh sb="5" eb="7">
      <t>ソウトウ</t>
    </rPh>
    <rPh sb="8" eb="10">
      <t>ソウダン</t>
    </rPh>
    <rPh sb="10" eb="11">
      <t>イン</t>
    </rPh>
    <rPh sb="13" eb="15">
      <t>レンラク</t>
    </rPh>
    <rPh sb="15" eb="16">
      <t>ズ</t>
    </rPh>
    <phoneticPr fontId="2"/>
  </si>
  <si>
    <t>Ⅱ算定済</t>
  </si>
  <si>
    <t>タイミー夜勤からリクルート⇒タイミーのレビューを適切に返信して、良い方が応募が来るようにする</t>
    <rPh sb="4" eb="6">
      <t>ヤキン</t>
    </rPh>
    <rPh sb="24" eb="26">
      <t>テキセツ</t>
    </rPh>
    <rPh sb="27" eb="29">
      <t>ヘンシン</t>
    </rPh>
    <rPh sb="32" eb="33">
      <t>ヨ</t>
    </rPh>
    <rPh sb="34" eb="35">
      <t>カタ</t>
    </rPh>
    <rPh sb="36" eb="38">
      <t>オウボ</t>
    </rPh>
    <rPh sb="39" eb="40">
      <t>ク</t>
    </rPh>
    <phoneticPr fontId="2"/>
  </si>
  <si>
    <t>SS見学件数</t>
    <rPh sb="2" eb="4">
      <t>ケンガク</t>
    </rPh>
    <rPh sb="4" eb="6">
      <t>ケンスウ</t>
    </rPh>
    <phoneticPr fontId="2"/>
  </si>
  <si>
    <t>4件</t>
    <rPh sb="1" eb="2">
      <t>ケン</t>
    </rPh>
    <phoneticPr fontId="2"/>
  </si>
  <si>
    <t>3件</t>
    <rPh sb="1" eb="2">
      <t>ケン</t>
    </rPh>
    <phoneticPr fontId="2"/>
  </si>
  <si>
    <t>夜勤面接実施</t>
    <rPh sb="0" eb="2">
      <t>ヤキン</t>
    </rPh>
    <phoneticPr fontId="2"/>
  </si>
  <si>
    <t>ヒヤリハット件数</t>
    <rPh sb="6" eb="8">
      <t>ケンスウ</t>
    </rPh>
    <phoneticPr fontId="2"/>
  </si>
  <si>
    <t>入院に繋がるリスクを事前に拾い上げる</t>
    <rPh sb="0" eb="2">
      <t>ニュウイン</t>
    </rPh>
    <rPh sb="3" eb="4">
      <t>ツナ</t>
    </rPh>
    <rPh sb="10" eb="12">
      <t>ジゼン</t>
    </rPh>
    <rPh sb="13" eb="14">
      <t>ヒロ</t>
    </rPh>
    <rPh sb="15" eb="16">
      <t>ア</t>
    </rPh>
    <phoneticPr fontId="2"/>
  </si>
  <si>
    <t>SS後のアフターフォロー、メール・FAX営業</t>
    <rPh sb="2" eb="3">
      <t>ゴ</t>
    </rPh>
    <rPh sb="20" eb="22">
      <t>エイギョウ</t>
    </rPh>
    <phoneticPr fontId="2"/>
  </si>
  <si>
    <t>5名</t>
    <rPh sb="1" eb="2">
      <t>メイ</t>
    </rPh>
    <phoneticPr fontId="2"/>
  </si>
  <si>
    <t>定期利用者数（月1回以上）</t>
    <rPh sb="2" eb="5">
      <t>リヨウシャ</t>
    </rPh>
    <phoneticPr fontId="2"/>
  </si>
  <si>
    <t>夜勤の新規採用</t>
    <rPh sb="0" eb="2">
      <t>ヤキン</t>
    </rPh>
    <rPh sb="3" eb="5">
      <t>シンキ</t>
    </rPh>
    <rPh sb="5" eb="7">
      <t>サイヨウ</t>
    </rPh>
    <phoneticPr fontId="2"/>
  </si>
  <si>
    <t>2名</t>
    <rPh sb="1" eb="2">
      <t>メイ</t>
    </rPh>
    <phoneticPr fontId="2"/>
  </si>
  <si>
    <t>13h＊8回/w以上=104h*2名⇒208H</t>
    <rPh sb="5" eb="6">
      <t>カイ</t>
    </rPh>
    <rPh sb="8" eb="10">
      <t>イジョウ</t>
    </rPh>
    <rPh sb="17" eb="18">
      <t>メイ</t>
    </rPh>
    <phoneticPr fontId="2"/>
  </si>
  <si>
    <t>週</t>
  </si>
  <si>
    <t>挙がったヒヤリはYELL会議で対策検討までをセット</t>
    <rPh sb="0" eb="1">
      <t>ア</t>
    </rPh>
    <rPh sb="12" eb="14">
      <t>カイギ</t>
    </rPh>
    <rPh sb="15" eb="17">
      <t>タイサク</t>
    </rPh>
    <rPh sb="17" eb="19">
      <t>ケントウ</t>
    </rPh>
    <phoneticPr fontId="2"/>
  </si>
  <si>
    <t>10.0(ⅰ)
4.6(ⅱ)</t>
    <phoneticPr fontId="2"/>
  </si>
  <si>
    <t>入居；待機案件獲得</t>
    <rPh sb="0" eb="2">
      <t>ニュウキョ</t>
    </rPh>
    <rPh sb="3" eb="5">
      <t>タイキ</t>
    </rPh>
    <rPh sb="5" eb="7">
      <t>アンケン</t>
    </rPh>
    <rPh sb="7" eb="9">
      <t>カクトク</t>
    </rPh>
    <phoneticPr fontId="2"/>
  </si>
  <si>
    <t>鈴木理恵</t>
    <rPh sb="0" eb="2">
      <t>スズキ</t>
    </rPh>
    <phoneticPr fontId="2"/>
  </si>
  <si>
    <t>3件</t>
    <rPh sb="1" eb="2">
      <t>ケン</t>
    </rPh>
    <phoneticPr fontId="2"/>
  </si>
  <si>
    <t>2件</t>
    <rPh sb="1" eb="2">
      <t>ケン</t>
    </rPh>
    <phoneticPr fontId="2"/>
  </si>
  <si>
    <t>FAX・メール営業週100件以上</t>
    <rPh sb="7" eb="9">
      <t>エイギョウ</t>
    </rPh>
    <rPh sb="9" eb="10">
      <t>シュウ</t>
    </rPh>
    <rPh sb="13" eb="14">
      <t>ケン</t>
    </rPh>
    <rPh sb="14" eb="16">
      <t>イジョウ</t>
    </rPh>
    <phoneticPr fontId="2"/>
  </si>
  <si>
    <t>FAX・メール営業週100件以上</t>
    <phoneticPr fontId="2"/>
  </si>
  <si>
    <t>ヒヤリハット件数(早期の気づき)</t>
    <rPh sb="9" eb="11">
      <t>ソウキ</t>
    </rPh>
    <rPh sb="12" eb="13">
      <t>キ</t>
    </rPh>
    <phoneticPr fontId="2"/>
  </si>
  <si>
    <t>包括へ転居可能</t>
    <rPh sb="0" eb="2">
      <t>ホウカツ</t>
    </rPh>
    <rPh sb="3" eb="5">
      <t>テンキョ</t>
    </rPh>
    <rPh sb="5" eb="7">
      <t>カノウ</t>
    </rPh>
    <phoneticPr fontId="2"/>
  </si>
  <si>
    <t>鈴木カズナガ</t>
    <rPh sb="0" eb="2">
      <t>スズキ</t>
    </rPh>
    <phoneticPr fontId="2"/>
  </si>
  <si>
    <t>転倒・転落</t>
  </si>
  <si>
    <t>なし</t>
    <phoneticPr fontId="2"/>
  </si>
  <si>
    <t>SS利用後のアフターフォロー、YELL会議にてSS利用者の課題整理</t>
    <rPh sb="2" eb="4">
      <t>リヨウ</t>
    </rPh>
    <rPh sb="4" eb="5">
      <t>ゴ</t>
    </rPh>
    <rPh sb="19" eb="21">
      <t>カイギ</t>
    </rPh>
    <rPh sb="25" eb="28">
      <t>リヨウシャ</t>
    </rPh>
    <rPh sb="29" eb="31">
      <t>カダイ</t>
    </rPh>
    <rPh sb="31" eb="33">
      <t>セイリ</t>
    </rPh>
    <phoneticPr fontId="2"/>
  </si>
  <si>
    <t>行政相談中</t>
    <rPh sb="0" eb="2">
      <t>ギョウセイ</t>
    </rPh>
    <rPh sb="2" eb="5">
      <t>ソウダンチュウ</t>
    </rPh>
    <phoneticPr fontId="2"/>
  </si>
  <si>
    <t>区分４相当：相談員にも連絡済み</t>
    <phoneticPr fontId="2"/>
  </si>
  <si>
    <t>△</t>
  </si>
  <si>
    <t>ツジムラケイスケ</t>
    <phoneticPr fontId="2"/>
  </si>
  <si>
    <t xml:space="preserve">西村美香様 </t>
    <phoneticPr fontId="2"/>
  </si>
  <si>
    <t>鈴木　一永</t>
    <phoneticPr fontId="2"/>
  </si>
  <si>
    <t>奥野さん</t>
    <rPh sb="0" eb="1">
      <t>オク</t>
    </rPh>
    <rPh sb="1" eb="2">
      <t>ノ</t>
    </rPh>
    <phoneticPr fontId="2"/>
  </si>
  <si>
    <t>一政様：6月中旬に2か月分回収予定</t>
    <rPh sb="0" eb="2">
      <t>イチマサ</t>
    </rPh>
    <rPh sb="2" eb="3">
      <t>サマ</t>
    </rPh>
    <rPh sb="5" eb="6">
      <t>ガツ</t>
    </rPh>
    <rPh sb="6" eb="8">
      <t>チュウジュン</t>
    </rPh>
    <rPh sb="11" eb="13">
      <t>ゲツブン</t>
    </rPh>
    <rPh sb="13" eb="15">
      <t>カイシュウ</t>
    </rPh>
    <rPh sb="15" eb="17">
      <t>ヨテイ</t>
    </rPh>
    <phoneticPr fontId="2"/>
  </si>
  <si>
    <t>フジタカナコさん</t>
    <phoneticPr fontId="2"/>
  </si>
  <si>
    <t>6/13退去：　オノダさんが候補(区変申請中)、その結果次第　３が出なかったら、朝山HPの方(絆の小池さん案件)</t>
    <rPh sb="4" eb="6">
      <t>タイキョ</t>
    </rPh>
    <rPh sb="14" eb="16">
      <t>コウホ</t>
    </rPh>
    <rPh sb="17" eb="18">
      <t>ク</t>
    </rPh>
    <rPh sb="18" eb="19">
      <t>ヘン</t>
    </rPh>
    <rPh sb="19" eb="22">
      <t>シンセイチュウ</t>
    </rPh>
    <rPh sb="26" eb="28">
      <t>ケッカ</t>
    </rPh>
    <rPh sb="28" eb="30">
      <t>シダイ</t>
    </rPh>
    <rPh sb="33" eb="34">
      <t>デ</t>
    </rPh>
    <rPh sb="40" eb="42">
      <t>アサヤマ</t>
    </rPh>
    <rPh sb="45" eb="46">
      <t>カタ</t>
    </rPh>
    <rPh sb="47" eb="48">
      <t>キズナ</t>
    </rPh>
    <rPh sb="49" eb="51">
      <t>コイケ</t>
    </rPh>
    <rPh sb="53" eb="55">
      <t>アンケン</t>
    </rPh>
    <phoneticPr fontId="2"/>
  </si>
  <si>
    <t>包括へ転居可能。明日抜歯予定</t>
    <rPh sb="0" eb="2">
      <t>ホウカツ</t>
    </rPh>
    <rPh sb="3" eb="5">
      <t>テンキョ</t>
    </rPh>
    <rPh sb="5" eb="7">
      <t>カノウ</t>
    </rPh>
    <rPh sb="8" eb="10">
      <t>アス</t>
    </rPh>
    <rPh sb="10" eb="12">
      <t>バッシ</t>
    </rPh>
    <rPh sb="12" eb="14">
      <t>ヨテイ</t>
    </rPh>
    <phoneticPr fontId="2"/>
  </si>
  <si>
    <t>c</t>
    <phoneticPr fontId="2"/>
  </si>
  <si>
    <t>1週目</t>
    <rPh sb="1" eb="2">
      <t>シュウ</t>
    </rPh>
    <rPh sb="2" eb="3">
      <t>メ</t>
    </rPh>
    <phoneticPr fontId="2"/>
  </si>
  <si>
    <t>2週目</t>
    <rPh sb="1" eb="2">
      <t>シュウ</t>
    </rPh>
    <rPh sb="2" eb="3">
      <t>メ</t>
    </rPh>
    <phoneticPr fontId="2"/>
  </si>
  <si>
    <t>3週目</t>
    <rPh sb="1" eb="2">
      <t>シュウ</t>
    </rPh>
    <rPh sb="2" eb="3">
      <t>メ</t>
    </rPh>
    <phoneticPr fontId="2"/>
  </si>
  <si>
    <t>4週目</t>
    <rPh sb="1" eb="2">
      <t>シュウ</t>
    </rPh>
    <rPh sb="2" eb="3">
      <t>メ</t>
    </rPh>
    <phoneticPr fontId="2"/>
  </si>
  <si>
    <t>5週目</t>
    <rPh sb="1" eb="2">
      <t>シュウ</t>
    </rPh>
    <rPh sb="2" eb="3">
      <t>メ</t>
    </rPh>
    <phoneticPr fontId="2"/>
  </si>
  <si>
    <t>シフト参照値</t>
    <rPh sb="3" eb="5">
      <t>サンショウ</t>
    </rPh>
    <rPh sb="5" eb="6">
      <t>チ</t>
    </rPh>
    <phoneticPr fontId="2"/>
  </si>
  <si>
    <t xml:space="preserve">利用日数(予定 ) </t>
    <rPh sb="0" eb="2">
      <t>リヨウ</t>
    </rPh>
    <rPh sb="2" eb="4">
      <t>ニッスウ</t>
    </rPh>
    <rPh sb="5" eb="7">
      <t>ヨテイ</t>
    </rPh>
    <phoneticPr fontId="2"/>
  </si>
  <si>
    <t>稼働率(予定)</t>
    <rPh sb="4" eb="6">
      <t>ヨテイ</t>
    </rPh>
    <phoneticPr fontId="2"/>
  </si>
  <si>
    <t>派遣合計</t>
    <rPh sb="0" eb="2">
      <t>ハケン</t>
    </rPh>
    <rPh sb="2" eb="4">
      <t>ゴウケイ</t>
    </rPh>
    <phoneticPr fontId="2"/>
  </si>
  <si>
    <t>派遣夜勤回数</t>
    <rPh sb="0" eb="2">
      <t>ハケン</t>
    </rPh>
    <rPh sb="2" eb="4">
      <t>ヤキン</t>
    </rPh>
    <rPh sb="4" eb="6">
      <t>カイスウ</t>
    </rPh>
    <phoneticPr fontId="2"/>
  </si>
  <si>
    <t>タイミー・派遣：勤務時間数</t>
    <rPh sb="5" eb="7">
      <t>ハケン</t>
    </rPh>
    <rPh sb="8" eb="10">
      <t>キンム</t>
    </rPh>
    <rPh sb="10" eb="12">
      <t>ジカン</t>
    </rPh>
    <rPh sb="12" eb="13">
      <t>スウ</t>
    </rPh>
    <phoneticPr fontId="2"/>
  </si>
  <si>
    <t>派遣時間数</t>
    <rPh sb="0" eb="2">
      <t>ハケン</t>
    </rPh>
    <rPh sb="2" eb="5">
      <t>ジカンスウ</t>
    </rPh>
    <phoneticPr fontId="2"/>
  </si>
  <si>
    <t>タイミー合計</t>
    <rPh sb="4" eb="6">
      <t>ゴウケイ</t>
    </rPh>
    <phoneticPr fontId="2"/>
  </si>
  <si>
    <t>タイミー</t>
    <phoneticPr fontId="2"/>
  </si>
  <si>
    <t>加算</t>
    <rPh sb="0" eb="2">
      <t>カサン</t>
    </rPh>
    <phoneticPr fontId="2"/>
  </si>
  <si>
    <t>項目</t>
    <rPh sb="0" eb="2">
      <t>コウモク</t>
    </rPh>
    <phoneticPr fontId="2"/>
  </si>
  <si>
    <t>KGI</t>
    <phoneticPr fontId="2"/>
  </si>
  <si>
    <t>KPI</t>
    <phoneticPr fontId="2"/>
  </si>
  <si>
    <t>入居：稼働率</t>
    <rPh sb="0" eb="2">
      <t>ニュウキョ</t>
    </rPh>
    <rPh sb="3" eb="5">
      <t>カドウ</t>
    </rPh>
    <rPh sb="5" eb="6">
      <t>リツ</t>
    </rPh>
    <phoneticPr fontId="2"/>
  </si>
  <si>
    <t>95%以上</t>
    <rPh sb="3" eb="5">
      <t>イジョウ</t>
    </rPh>
    <phoneticPr fontId="2"/>
  </si>
  <si>
    <t>50%以上</t>
    <rPh sb="3" eb="5">
      <t>イジョウ</t>
    </rPh>
    <phoneticPr fontId="2"/>
  </si>
  <si>
    <t>重度支援加算</t>
    <rPh sb="0" eb="2">
      <t>ジュウド</t>
    </rPh>
    <rPh sb="2" eb="4">
      <t>シエン</t>
    </rPh>
    <rPh sb="4" eb="6">
      <t>カサン</t>
    </rPh>
    <phoneticPr fontId="2"/>
  </si>
  <si>
    <t>区分</t>
    <rPh sb="0" eb="2">
      <t>クブン</t>
    </rPh>
    <phoneticPr fontId="2"/>
  </si>
  <si>
    <t>4.5以上</t>
    <rPh sb="3" eb="5">
      <t>イジョウ</t>
    </rPh>
    <phoneticPr fontId="2"/>
  </si>
  <si>
    <t>派遣</t>
    <rPh sb="0" eb="2">
      <t>ハケン</t>
    </rPh>
    <phoneticPr fontId="2"/>
  </si>
  <si>
    <t>タイミー</t>
    <phoneticPr fontId="2"/>
  </si>
  <si>
    <t>月5名以上</t>
    <rPh sb="0" eb="1">
      <t>ツキ</t>
    </rPh>
    <rPh sb="2" eb="3">
      <t>メイ</t>
    </rPh>
    <rPh sb="3" eb="5">
      <t>イジョウ</t>
    </rPh>
    <phoneticPr fontId="2"/>
  </si>
  <si>
    <t>入居：待機者</t>
    <rPh sb="0" eb="2">
      <t>ニュウキョ</t>
    </rPh>
    <rPh sb="3" eb="6">
      <t>タイキシャ</t>
    </rPh>
    <phoneticPr fontId="2"/>
  </si>
  <si>
    <t>300h未満</t>
    <rPh sb="4" eb="6">
      <t>ミマン</t>
    </rPh>
    <phoneticPr fontId="2"/>
  </si>
  <si>
    <t>todo</t>
    <phoneticPr fontId="2"/>
  </si>
  <si>
    <t>SS：稼働率</t>
    <rPh sb="3" eb="5">
      <t>カドウ</t>
    </rPh>
    <rPh sb="5" eb="6">
      <t>リツ</t>
    </rPh>
    <phoneticPr fontId="2"/>
  </si>
  <si>
    <t>SS：利用者数</t>
    <rPh sb="3" eb="6">
      <t>リヨウシャ</t>
    </rPh>
    <rPh sb="6" eb="7">
      <t>スウ</t>
    </rPh>
    <phoneticPr fontId="2"/>
  </si>
  <si>
    <t>見学3件以上</t>
    <rPh sb="0" eb="2">
      <t>ケンガク</t>
    </rPh>
    <rPh sb="3" eb="4">
      <t>ケン</t>
    </rPh>
    <rPh sb="4" eb="6">
      <t>イジョウ</t>
    </rPh>
    <phoneticPr fontId="2"/>
  </si>
  <si>
    <t>体験2件以上</t>
    <rPh sb="0" eb="2">
      <t>タイケン</t>
    </rPh>
    <rPh sb="3" eb="4">
      <t>ケン</t>
    </rPh>
    <rPh sb="4" eb="6">
      <t>イジョウ</t>
    </rPh>
    <phoneticPr fontId="2"/>
  </si>
  <si>
    <t>見学5件←営業300件程度（メール、FAX）、YEL会議➡結果を相談員報告：PDCAで確認</t>
    <rPh sb="0" eb="2">
      <t>ケンガク</t>
    </rPh>
    <rPh sb="3" eb="4">
      <t>ケン</t>
    </rPh>
    <rPh sb="5" eb="7">
      <t>エイギョウ</t>
    </rPh>
    <rPh sb="10" eb="11">
      <t>ケン</t>
    </rPh>
    <rPh sb="11" eb="13">
      <t>テイド</t>
    </rPh>
    <rPh sb="26" eb="28">
      <t>カイギ</t>
    </rPh>
    <rPh sb="29" eb="31">
      <t>ケッカ</t>
    </rPh>
    <rPh sb="32" eb="34">
      <t>ソウダン</t>
    </rPh>
    <rPh sb="34" eb="35">
      <t>イン</t>
    </rPh>
    <rPh sb="35" eb="37">
      <t>ホウコク</t>
    </rPh>
    <rPh sb="43" eb="45">
      <t>カクニン</t>
    </rPh>
    <phoneticPr fontId="2"/>
  </si>
  <si>
    <t>問合せ6件以上←営業300件程度（メール、FAX）、SS利用後のアフターフォロー徹底＋課題提起（アプローチ提案）</t>
    <rPh sb="0" eb="2">
      <t>トイアワ</t>
    </rPh>
    <rPh sb="4" eb="5">
      <t>ケン</t>
    </rPh>
    <rPh sb="5" eb="7">
      <t>イジョウ</t>
    </rPh>
    <rPh sb="28" eb="30">
      <t>リヨウ</t>
    </rPh>
    <rPh sb="30" eb="31">
      <t>ゴ</t>
    </rPh>
    <rPh sb="40" eb="42">
      <t>テッテイ</t>
    </rPh>
    <rPh sb="43" eb="45">
      <t>カダイ</t>
    </rPh>
    <rPh sb="45" eb="47">
      <t>テイキ</t>
    </rPh>
    <rPh sb="53" eb="55">
      <t>テイアン</t>
    </rPh>
    <phoneticPr fontId="2"/>
  </si>
  <si>
    <t>1名区変の申請を行政に依頼中。回答待ち</t>
    <rPh sb="1" eb="2">
      <t>メイ</t>
    </rPh>
    <rPh sb="2" eb="3">
      <t>ク</t>
    </rPh>
    <rPh sb="3" eb="4">
      <t>ヘン</t>
    </rPh>
    <rPh sb="5" eb="7">
      <t>シンセイ</t>
    </rPh>
    <rPh sb="8" eb="10">
      <t>ギョウセイ</t>
    </rPh>
    <rPh sb="11" eb="13">
      <t>イライ</t>
    </rPh>
    <rPh sb="13" eb="14">
      <t>チュウ</t>
    </rPh>
    <rPh sb="15" eb="17">
      <t>カイトウ</t>
    </rPh>
    <rPh sb="17" eb="18">
      <t>マ</t>
    </rPh>
    <phoneticPr fontId="2"/>
  </si>
  <si>
    <t>1名、対象になるか行政に相談中</t>
    <rPh sb="1" eb="2">
      <t>メイ</t>
    </rPh>
    <rPh sb="3" eb="5">
      <t>タイショウ</t>
    </rPh>
    <rPh sb="9" eb="11">
      <t>ギョウセイ</t>
    </rPh>
    <rPh sb="12" eb="15">
      <t>ソウダンチュウ</t>
    </rPh>
    <phoneticPr fontId="2"/>
  </si>
  <si>
    <t>紹介会社：3社に依頼中</t>
    <rPh sb="0" eb="2">
      <t>ショウカイ</t>
    </rPh>
    <rPh sb="2" eb="4">
      <t>カイシャ</t>
    </rPh>
    <rPh sb="6" eb="7">
      <t>シャ</t>
    </rPh>
    <rPh sb="8" eb="11">
      <t>イライチュウ</t>
    </rPh>
    <phoneticPr fontId="2"/>
  </si>
  <si>
    <t>タイミーリクルートを都度確認</t>
    <rPh sb="10" eb="12">
      <t>ツド</t>
    </rPh>
    <rPh sb="12" eb="14">
      <t>カクニン</t>
    </rPh>
    <phoneticPr fontId="2"/>
  </si>
  <si>
    <t>2件以上</t>
    <rPh sb="1" eb="2">
      <t>ケン</t>
    </rPh>
    <rPh sb="2" eb="4">
      <t>イジョウ</t>
    </rPh>
    <phoneticPr fontId="2"/>
  </si>
  <si>
    <t>確保済</t>
    <rPh sb="0" eb="2">
      <t>カクホ</t>
    </rPh>
    <rPh sb="2" eb="3">
      <t>スミ</t>
    </rPh>
    <phoneticPr fontId="2"/>
  </si>
  <si>
    <t>達成済</t>
    <rPh sb="0" eb="2">
      <t>タッセイ</t>
    </rPh>
    <rPh sb="2" eb="3">
      <t>スミ</t>
    </rPh>
    <phoneticPr fontId="2"/>
  </si>
  <si>
    <t>90%以上</t>
    <rPh sb="3" eb="5">
      <t>イジョウ</t>
    </rPh>
    <phoneticPr fontId="2"/>
  </si>
  <si>
    <t>SSスケジュール調整を継続。毎週PDCAで進捗確認</t>
    <rPh sb="8" eb="10">
      <t>チョウセイ</t>
    </rPh>
    <rPh sb="11" eb="13">
      <t>ケイゾク</t>
    </rPh>
    <rPh sb="14" eb="16">
      <t>マイシュウ</t>
    </rPh>
    <rPh sb="21" eb="23">
      <t>シンチョク</t>
    </rPh>
    <rPh sb="23" eb="25">
      <t>カクニン</t>
    </rPh>
    <phoneticPr fontId="2"/>
  </si>
  <si>
    <t>毎週PDCAで進捗確認　問い合わせがあれば、空きが無くても見学対応は必ず。</t>
    <rPh sb="0" eb="2">
      <t>マイシュウ</t>
    </rPh>
    <rPh sb="7" eb="9">
      <t>シンチョク</t>
    </rPh>
    <rPh sb="9" eb="11">
      <t>カクニン</t>
    </rPh>
    <rPh sb="12" eb="13">
      <t>ト</t>
    </rPh>
    <rPh sb="14" eb="15">
      <t>ア</t>
    </rPh>
    <rPh sb="22" eb="23">
      <t>ア</t>
    </rPh>
    <rPh sb="25" eb="26">
      <t>ナ</t>
    </rPh>
    <rPh sb="29" eb="31">
      <t>ケンガク</t>
    </rPh>
    <rPh sb="31" eb="33">
      <t>タイオウ</t>
    </rPh>
    <rPh sb="34" eb="35">
      <t>カナラ</t>
    </rPh>
    <phoneticPr fontId="2"/>
  </si>
  <si>
    <t>4.7以上</t>
    <rPh sb="3" eb="5">
      <t>イジョウ</t>
    </rPh>
    <phoneticPr fontId="2"/>
  </si>
  <si>
    <t>区分は上げたいが、職員の支援レベル・職員間の教育、リスク感度等の課題があるので、職員教育がまず必須</t>
    <rPh sb="0" eb="2">
      <t>クブン</t>
    </rPh>
    <rPh sb="3" eb="4">
      <t>ア</t>
    </rPh>
    <rPh sb="9" eb="11">
      <t>ショクイン</t>
    </rPh>
    <rPh sb="12" eb="14">
      <t>シエン</t>
    </rPh>
    <rPh sb="18" eb="20">
      <t>ショクイン</t>
    </rPh>
    <rPh sb="20" eb="21">
      <t>カン</t>
    </rPh>
    <rPh sb="22" eb="24">
      <t>キョウイク</t>
    </rPh>
    <rPh sb="28" eb="30">
      <t>カンド</t>
    </rPh>
    <rPh sb="30" eb="31">
      <t>ナド</t>
    </rPh>
    <rPh sb="32" eb="34">
      <t>カダイ</t>
    </rPh>
    <rPh sb="40" eb="42">
      <t>ショクイン</t>
    </rPh>
    <rPh sb="42" eb="44">
      <t>キョウイク</t>
    </rPh>
    <rPh sb="47" eb="49">
      <t>ヒッス</t>
    </rPh>
    <phoneticPr fontId="2"/>
  </si>
  <si>
    <t>入院時支援加算</t>
    <rPh sb="0" eb="2">
      <t>ニュウイン</t>
    </rPh>
    <rPh sb="2" eb="3">
      <t>ジ</t>
    </rPh>
    <rPh sb="3" eb="5">
      <t>シエン</t>
    </rPh>
    <rPh sb="5" eb="7">
      <t>カサン</t>
    </rPh>
    <phoneticPr fontId="2"/>
  </si>
  <si>
    <t>確実な算定の仕組み作り。計画書に記載するテンプレは管理者・サビ管と共有済。反映されているか、確認していく。まずは今月分から。</t>
    <rPh sb="0" eb="2">
      <t>カクジツ</t>
    </rPh>
    <rPh sb="3" eb="5">
      <t>サンテイ</t>
    </rPh>
    <rPh sb="6" eb="8">
      <t>シク</t>
    </rPh>
    <rPh sb="9" eb="10">
      <t>ヅク</t>
    </rPh>
    <rPh sb="12" eb="15">
      <t>ケイカクショ</t>
    </rPh>
    <rPh sb="16" eb="18">
      <t>キサイ</t>
    </rPh>
    <rPh sb="25" eb="28">
      <t>カンリシャ</t>
    </rPh>
    <rPh sb="31" eb="32">
      <t>カン</t>
    </rPh>
    <rPh sb="33" eb="35">
      <t>キョウユウ</t>
    </rPh>
    <rPh sb="35" eb="36">
      <t>スミ</t>
    </rPh>
    <rPh sb="37" eb="39">
      <t>ハンエイ</t>
    </rPh>
    <rPh sb="46" eb="48">
      <t>カクニン</t>
    </rPh>
    <rPh sb="56" eb="59">
      <t>コンゲツブン</t>
    </rPh>
    <phoneticPr fontId="2"/>
  </si>
  <si>
    <t>派遣職員1名を直接雇用への切り替え検討中　家庭の事情もある為、今は様子見</t>
    <rPh sb="0" eb="2">
      <t>ハケン</t>
    </rPh>
    <rPh sb="2" eb="4">
      <t>ショクイン</t>
    </rPh>
    <rPh sb="5" eb="6">
      <t>メイ</t>
    </rPh>
    <rPh sb="7" eb="9">
      <t>チョクセツ</t>
    </rPh>
    <rPh sb="9" eb="11">
      <t>コヨウ</t>
    </rPh>
    <rPh sb="13" eb="14">
      <t>キ</t>
    </rPh>
    <rPh sb="15" eb="16">
      <t>カ</t>
    </rPh>
    <rPh sb="17" eb="20">
      <t>ケントウチュウ</t>
    </rPh>
    <rPh sb="21" eb="23">
      <t>カテイ</t>
    </rPh>
    <rPh sb="24" eb="26">
      <t>ジジョウ</t>
    </rPh>
    <rPh sb="29" eb="30">
      <t>タメ</t>
    </rPh>
    <rPh sb="31" eb="32">
      <t>イマ</t>
    </rPh>
    <rPh sb="33" eb="36">
      <t>ヨウスミ</t>
    </rPh>
    <phoneticPr fontId="2"/>
  </si>
  <si>
    <t>５00h未満</t>
    <rPh sb="4" eb="6">
      <t>ミマン</t>
    </rPh>
    <phoneticPr fontId="2"/>
  </si>
  <si>
    <t>タイミーリクルートを都度確認　夜勤職員の雇用強化必要</t>
    <rPh sb="10" eb="12">
      <t>ツド</t>
    </rPh>
    <rPh sb="12" eb="14">
      <t>カクニン</t>
    </rPh>
    <rPh sb="15" eb="17">
      <t>ヤキン</t>
    </rPh>
    <rPh sb="17" eb="19">
      <t>ショクイン</t>
    </rPh>
    <rPh sb="20" eb="22">
      <t>コヨウ</t>
    </rPh>
    <rPh sb="22" eb="24">
      <t>キョウカ</t>
    </rPh>
    <rPh sb="24" eb="26">
      <t>ヒツヨウ</t>
    </rPh>
    <phoneticPr fontId="2"/>
  </si>
  <si>
    <t>入院中3名の今後について、都度病院と相談中。今月中には退去or復帰確定。</t>
    <rPh sb="0" eb="3">
      <t>ニュウインチュウ</t>
    </rPh>
    <rPh sb="4" eb="5">
      <t>メイ</t>
    </rPh>
    <rPh sb="6" eb="8">
      <t>コンゴ</t>
    </rPh>
    <rPh sb="13" eb="15">
      <t>ツド</t>
    </rPh>
    <rPh sb="15" eb="17">
      <t>ビョウイン</t>
    </rPh>
    <rPh sb="18" eb="20">
      <t>ソウダン</t>
    </rPh>
    <rPh sb="20" eb="21">
      <t>チュウ</t>
    </rPh>
    <rPh sb="22" eb="25">
      <t>コンゲツチュウ</t>
    </rPh>
    <rPh sb="27" eb="29">
      <t>タイキョ</t>
    </rPh>
    <rPh sb="31" eb="33">
      <t>フッキ</t>
    </rPh>
    <rPh sb="33" eb="35">
      <t>カクテイ</t>
    </rPh>
    <phoneticPr fontId="2"/>
  </si>
  <si>
    <t>500h未満</t>
    <rPh sb="4" eb="6">
      <t>ミマン</t>
    </rPh>
    <phoneticPr fontId="2"/>
  </si>
  <si>
    <t>法令割れ回避の為、派遣使わざるを得ない。タイミーへの声掛け継続。紹介会社：3社に依頼中。</t>
    <rPh sb="0" eb="2">
      <t>ホウレイ</t>
    </rPh>
    <rPh sb="2" eb="3">
      <t>ワ</t>
    </rPh>
    <rPh sb="4" eb="6">
      <t>カイヒ</t>
    </rPh>
    <rPh sb="7" eb="8">
      <t>タメ</t>
    </rPh>
    <rPh sb="9" eb="11">
      <t>ハケン</t>
    </rPh>
    <rPh sb="11" eb="12">
      <t>ツカ</t>
    </rPh>
    <rPh sb="16" eb="17">
      <t>エ</t>
    </rPh>
    <rPh sb="26" eb="28">
      <t>コエカ</t>
    </rPh>
    <rPh sb="29" eb="31">
      <t>ケイゾク</t>
    </rPh>
    <rPh sb="32" eb="34">
      <t>ショウカイ</t>
    </rPh>
    <rPh sb="34" eb="36">
      <t>カイシャ</t>
    </rPh>
    <rPh sb="38" eb="39">
      <t>シャ</t>
    </rPh>
    <rPh sb="40" eb="43">
      <t>イライチュウ</t>
    </rPh>
    <phoneticPr fontId="2"/>
  </si>
  <si>
    <t>見学2件以上</t>
    <rPh sb="0" eb="2">
      <t>ケンガク</t>
    </rPh>
    <rPh sb="3" eb="4">
      <t>ケン</t>
    </rPh>
    <rPh sb="4" eb="6">
      <t>イジョウ</t>
    </rPh>
    <phoneticPr fontId="2"/>
  </si>
  <si>
    <t>入院者を出さない、転倒事故振り返り、職員間の情報共有（伝え方には注意。強く言い過ぎない）</t>
    <rPh sb="0" eb="3">
      <t>ニュウインシャ</t>
    </rPh>
    <rPh sb="4" eb="5">
      <t>ダ</t>
    </rPh>
    <rPh sb="9" eb="11">
      <t>テントウ</t>
    </rPh>
    <rPh sb="11" eb="13">
      <t>ジコ</t>
    </rPh>
    <rPh sb="13" eb="14">
      <t>フ</t>
    </rPh>
    <rPh sb="15" eb="16">
      <t>カエ</t>
    </rPh>
    <rPh sb="18" eb="20">
      <t>ショクイン</t>
    </rPh>
    <rPh sb="20" eb="21">
      <t>カン</t>
    </rPh>
    <rPh sb="22" eb="24">
      <t>ジョウホウ</t>
    </rPh>
    <rPh sb="24" eb="26">
      <t>キョウユウ</t>
    </rPh>
    <rPh sb="27" eb="28">
      <t>ツタ</t>
    </rPh>
    <rPh sb="29" eb="30">
      <t>カタ</t>
    </rPh>
    <rPh sb="32" eb="34">
      <t>チュウイ</t>
    </rPh>
    <rPh sb="35" eb="36">
      <t>ツヨ</t>
    </rPh>
    <rPh sb="37" eb="38">
      <t>イ</t>
    </rPh>
    <rPh sb="39" eb="40">
      <t>ス</t>
    </rPh>
    <phoneticPr fontId="2"/>
  </si>
  <si>
    <t>毎週PDCAで進捗確認　</t>
    <rPh sb="0" eb="2">
      <t>マイシュウ</t>
    </rPh>
    <rPh sb="7" eb="9">
      <t>シンチョク</t>
    </rPh>
    <rPh sb="9" eb="11">
      <t>カクニン</t>
    </rPh>
    <phoneticPr fontId="2"/>
  </si>
  <si>
    <t>1名は区変対応中。但し、職員の支援レベル・職員間の教育、リスク感度等が追い付いていない。採用ベースで即戦力が欲しいところ。</t>
    <rPh sb="1" eb="2">
      <t>メイ</t>
    </rPh>
    <rPh sb="3" eb="4">
      <t>ク</t>
    </rPh>
    <rPh sb="4" eb="5">
      <t>ヘン</t>
    </rPh>
    <rPh sb="5" eb="8">
      <t>タイオウチュウ</t>
    </rPh>
    <rPh sb="9" eb="10">
      <t>タダ</t>
    </rPh>
    <rPh sb="12" eb="14">
      <t>ショクイン</t>
    </rPh>
    <rPh sb="15" eb="17">
      <t>シエン</t>
    </rPh>
    <rPh sb="21" eb="23">
      <t>ショクイン</t>
    </rPh>
    <rPh sb="23" eb="24">
      <t>カン</t>
    </rPh>
    <rPh sb="25" eb="27">
      <t>キョウイク</t>
    </rPh>
    <rPh sb="31" eb="33">
      <t>カンド</t>
    </rPh>
    <rPh sb="33" eb="34">
      <t>ナド</t>
    </rPh>
    <rPh sb="35" eb="36">
      <t>オ</t>
    </rPh>
    <rPh sb="37" eb="38">
      <t>ツ</t>
    </rPh>
    <rPh sb="44" eb="46">
      <t>サイヨウ</t>
    </rPh>
    <rPh sb="50" eb="53">
      <t>ソクセンリョク</t>
    </rPh>
    <rPh sb="54" eb="55">
      <t>ホ</t>
    </rPh>
    <phoneticPr fontId="2"/>
  </si>
  <si>
    <t>入院者0名</t>
    <phoneticPr fontId="2"/>
  </si>
  <si>
    <t>1名の区変</t>
    <rPh sb="1" eb="2">
      <t>メイ</t>
    </rPh>
    <rPh sb="3" eb="4">
      <t>ク</t>
    </rPh>
    <rPh sb="4" eb="5">
      <t>ヘン</t>
    </rPh>
    <phoneticPr fontId="2"/>
  </si>
  <si>
    <t>該当者の100%算定</t>
    <rPh sb="0" eb="3">
      <t>ガイトウシャ</t>
    </rPh>
    <rPh sb="8" eb="10">
      <t>サンテイ</t>
    </rPh>
    <phoneticPr fontId="2"/>
  </si>
  <si>
    <t>タイミーへの声掛け3件以上</t>
    <rPh sb="6" eb="8">
      <t>コエカ</t>
    </rPh>
    <rPh sb="10" eb="11">
      <t>ケン</t>
    </rPh>
    <rPh sb="11" eb="13">
      <t>イジョウ</t>
    </rPh>
    <phoneticPr fontId="2"/>
  </si>
  <si>
    <t>営業行動：メール・FAX：月100件以上</t>
    <rPh sb="0" eb="2">
      <t>エイギョウ</t>
    </rPh>
    <rPh sb="2" eb="4">
      <t>コウドウ</t>
    </rPh>
    <rPh sb="13" eb="14">
      <t>ツキ</t>
    </rPh>
    <rPh sb="17" eb="18">
      <t>ケン</t>
    </rPh>
    <rPh sb="18" eb="20">
      <t>イジョウ</t>
    </rPh>
    <phoneticPr fontId="2"/>
  </si>
  <si>
    <t>営業行動：メール・FAX：月100件以上←　既に実施済</t>
    <rPh sb="0" eb="2">
      <t>エイギョウ</t>
    </rPh>
    <rPh sb="2" eb="4">
      <t>コウドウ</t>
    </rPh>
    <rPh sb="13" eb="14">
      <t>ツキ</t>
    </rPh>
    <rPh sb="17" eb="18">
      <t>ケン</t>
    </rPh>
    <rPh sb="18" eb="20">
      <t>イジョウ</t>
    </rPh>
    <rPh sb="22" eb="23">
      <t>スデ</t>
    </rPh>
    <rPh sb="24" eb="26">
      <t>ジッシ</t>
    </rPh>
    <rPh sb="26" eb="27">
      <t>スミ</t>
    </rPh>
    <phoneticPr fontId="2"/>
  </si>
  <si>
    <t>70%以上</t>
    <rPh sb="3" eb="5">
      <t>イジョウ</t>
    </rPh>
    <phoneticPr fontId="2"/>
  </si>
  <si>
    <t>見学３件以上</t>
    <rPh sb="0" eb="2">
      <t>ケンガク</t>
    </rPh>
    <rPh sb="3" eb="4">
      <t>ケン</t>
    </rPh>
    <rPh sb="4" eb="6">
      <t>イジョウ</t>
    </rPh>
    <phoneticPr fontId="2"/>
  </si>
  <si>
    <t>営業行動：メール・FAX：月300件以上←　現状、約100件</t>
    <rPh sb="0" eb="2">
      <t>エイギョウ</t>
    </rPh>
    <rPh sb="2" eb="4">
      <t>コウドウ</t>
    </rPh>
    <rPh sb="13" eb="14">
      <t>ツキ</t>
    </rPh>
    <rPh sb="17" eb="18">
      <t>ケン</t>
    </rPh>
    <rPh sb="18" eb="20">
      <t>イジョウ</t>
    </rPh>
    <rPh sb="22" eb="24">
      <t>ゲンジョウ</t>
    </rPh>
    <rPh sb="25" eb="26">
      <t>ヤク</t>
    </rPh>
    <rPh sb="29" eb="30">
      <t>ケン</t>
    </rPh>
    <phoneticPr fontId="2"/>
  </si>
  <si>
    <t>4.0以上</t>
    <rPh sb="3" eb="5">
      <t>イジョウ</t>
    </rPh>
    <phoneticPr fontId="2"/>
  </si>
  <si>
    <t>1名の新規算定</t>
    <rPh sb="1" eb="2">
      <t>メイ</t>
    </rPh>
    <rPh sb="3" eb="5">
      <t>シンキ</t>
    </rPh>
    <rPh sb="5" eb="7">
      <t>サンテイ</t>
    </rPh>
    <phoneticPr fontId="2"/>
  </si>
  <si>
    <t>算定の可否を行政に相談中。</t>
    <rPh sb="0" eb="2">
      <t>サンテイ</t>
    </rPh>
    <rPh sb="3" eb="5">
      <t>カヒ</t>
    </rPh>
    <rPh sb="6" eb="8">
      <t>ギョウセイ</t>
    </rPh>
    <rPh sb="9" eb="12">
      <t>ソウダンチュウ</t>
    </rPh>
    <phoneticPr fontId="2"/>
  </si>
  <si>
    <t>200h未満</t>
    <rPh sb="4" eb="6">
      <t>ミマン</t>
    </rPh>
    <phoneticPr fontId="2"/>
  </si>
  <si>
    <t>タイミーへの声掛け継続。PDCA時に確認</t>
    <rPh sb="6" eb="8">
      <t>コエカ</t>
    </rPh>
    <rPh sb="9" eb="11">
      <t>ケイゾク</t>
    </rPh>
    <rPh sb="16" eb="17">
      <t>ジ</t>
    </rPh>
    <rPh sb="18" eb="20">
      <t>カクニン</t>
    </rPh>
    <phoneticPr fontId="2"/>
  </si>
  <si>
    <t>現状はリピーターで３～4名が毎月。　　営業行動：メール・FAX：月300件以上←　現状、約100件　　　　毎週PDCAで進捗確認　</t>
    <rPh sb="0" eb="2">
      <t>ゲンジョウ</t>
    </rPh>
    <rPh sb="12" eb="13">
      <t>メイ</t>
    </rPh>
    <rPh sb="14" eb="16">
      <t>マイツキ</t>
    </rPh>
    <rPh sb="53" eb="55">
      <t>マイシュウ</t>
    </rPh>
    <rPh sb="60" eb="62">
      <t>シンチョク</t>
    </rPh>
    <rPh sb="62" eb="64">
      <t>カクニン</t>
    </rPh>
    <phoneticPr fontId="2"/>
  </si>
  <si>
    <t>現状維持　100h程度は予備のためにキープ</t>
    <rPh sb="0" eb="2">
      <t>ゲンジョウ</t>
    </rPh>
    <rPh sb="2" eb="4">
      <t>イジ</t>
    </rPh>
    <rPh sb="9" eb="11">
      <t>テイド</t>
    </rPh>
    <rPh sb="12" eb="14">
      <t>ヨビ</t>
    </rPh>
    <phoneticPr fontId="2"/>
  </si>
  <si>
    <t>算定の可否を行政に相談中。(他２名も対象になりうる)　平山様、ツジムラ様、栗田様</t>
    <rPh sb="0" eb="2">
      <t>サンテイ</t>
    </rPh>
    <rPh sb="3" eb="5">
      <t>カヒ</t>
    </rPh>
    <rPh sb="6" eb="8">
      <t>ギョウセイ</t>
    </rPh>
    <rPh sb="9" eb="12">
      <t>ソウダンチュウ</t>
    </rPh>
    <rPh sb="14" eb="15">
      <t>ホカ</t>
    </rPh>
    <rPh sb="16" eb="17">
      <t>メイ</t>
    </rPh>
    <rPh sb="18" eb="20">
      <t>タイショウ</t>
    </rPh>
    <rPh sb="27" eb="30">
      <t>ヒラヤマサマ</t>
    </rPh>
    <rPh sb="35" eb="36">
      <t>サマ</t>
    </rPh>
    <rPh sb="37" eb="39">
      <t>クリタ</t>
    </rPh>
    <rPh sb="39" eb="40">
      <t>サマ</t>
    </rPh>
    <phoneticPr fontId="2"/>
  </si>
  <si>
    <t>4.２以上</t>
    <rPh sb="3" eb="5">
      <t>イジョウ</t>
    </rPh>
    <phoneticPr fontId="2"/>
  </si>
  <si>
    <t>1名は区変対応中。　1名が退去予定（区分３）、そのあとの入居予定者が区分４予定　あと2名の区変が進めばUP予定</t>
    <rPh sb="1" eb="2">
      <t>メイ</t>
    </rPh>
    <rPh sb="3" eb="4">
      <t>ク</t>
    </rPh>
    <rPh sb="4" eb="5">
      <t>ヘン</t>
    </rPh>
    <rPh sb="5" eb="8">
      <t>タイオウチュウ</t>
    </rPh>
    <rPh sb="11" eb="12">
      <t>メイ</t>
    </rPh>
    <rPh sb="13" eb="15">
      <t>タイキョ</t>
    </rPh>
    <rPh sb="15" eb="17">
      <t>ヨテイ</t>
    </rPh>
    <rPh sb="18" eb="20">
      <t>クブン</t>
    </rPh>
    <rPh sb="28" eb="30">
      <t>ニュウキョ</t>
    </rPh>
    <rPh sb="30" eb="32">
      <t>ヨテイ</t>
    </rPh>
    <rPh sb="32" eb="33">
      <t>シャ</t>
    </rPh>
    <rPh sb="34" eb="36">
      <t>クブン</t>
    </rPh>
    <rPh sb="37" eb="39">
      <t>ヨテイ</t>
    </rPh>
    <rPh sb="43" eb="44">
      <t>メイ</t>
    </rPh>
    <rPh sb="45" eb="46">
      <t>ク</t>
    </rPh>
    <rPh sb="46" eb="47">
      <t>ヘン</t>
    </rPh>
    <rPh sb="48" eb="49">
      <t>スス</t>
    </rPh>
    <rPh sb="53" eb="55">
      <t>ヨテイ</t>
    </rPh>
    <phoneticPr fontId="2"/>
  </si>
  <si>
    <t>新規1件</t>
    <rPh sb="0" eb="2">
      <t>シンキ</t>
    </rPh>
    <rPh sb="3" eb="4">
      <t>ケン</t>
    </rPh>
    <phoneticPr fontId="2"/>
  </si>
  <si>
    <t>毎月7名の利用</t>
    <rPh sb="0" eb="2">
      <t>マイツキ</t>
    </rPh>
    <rPh sb="3" eb="4">
      <t>メイ</t>
    </rPh>
    <rPh sb="5" eb="7">
      <t>リヨウ</t>
    </rPh>
    <phoneticPr fontId="2"/>
  </si>
  <si>
    <t>1名が13回利用している。ありがたいが、依存度が大きい為、抜けた穴が大きい。新規契約者の確保継続。</t>
    <rPh sb="1" eb="2">
      <t>メイ</t>
    </rPh>
    <rPh sb="5" eb="6">
      <t>カイ</t>
    </rPh>
    <rPh sb="6" eb="8">
      <t>リヨウ</t>
    </rPh>
    <rPh sb="20" eb="23">
      <t>イゾンド</t>
    </rPh>
    <rPh sb="24" eb="25">
      <t>オオ</t>
    </rPh>
    <rPh sb="27" eb="28">
      <t>タメ</t>
    </rPh>
    <rPh sb="29" eb="30">
      <t>ヌ</t>
    </rPh>
    <rPh sb="32" eb="33">
      <t>アナ</t>
    </rPh>
    <rPh sb="34" eb="35">
      <t>オオ</t>
    </rPh>
    <rPh sb="38" eb="40">
      <t>シンキ</t>
    </rPh>
    <rPh sb="40" eb="42">
      <t>ケイヤク</t>
    </rPh>
    <rPh sb="42" eb="43">
      <t>シャ</t>
    </rPh>
    <rPh sb="44" eb="46">
      <t>カクホ</t>
    </rPh>
    <rPh sb="46" eb="48">
      <t>ケイゾク</t>
    </rPh>
    <phoneticPr fontId="2"/>
  </si>
  <si>
    <t>100%以上</t>
    <rPh sb="4" eb="6">
      <t>イジョウ</t>
    </rPh>
    <phoneticPr fontId="2"/>
  </si>
  <si>
    <t>退去予定者・入居予定者の調整、空床期間の最小化が目標</t>
    <rPh sb="0" eb="2">
      <t>タイキョ</t>
    </rPh>
    <rPh sb="2" eb="4">
      <t>ヨテイ</t>
    </rPh>
    <rPh sb="4" eb="5">
      <t>シャ</t>
    </rPh>
    <rPh sb="6" eb="8">
      <t>ニュウキョ</t>
    </rPh>
    <rPh sb="8" eb="10">
      <t>ヨテイ</t>
    </rPh>
    <rPh sb="10" eb="11">
      <t>シャ</t>
    </rPh>
    <rPh sb="12" eb="14">
      <t>チョウセイ</t>
    </rPh>
    <rPh sb="15" eb="17">
      <t>クウショウ</t>
    </rPh>
    <rPh sb="17" eb="19">
      <t>キカン</t>
    </rPh>
    <rPh sb="20" eb="23">
      <t>サイショウカ</t>
    </rPh>
    <rPh sb="24" eb="26">
      <t>モクヒョウ</t>
    </rPh>
    <phoneticPr fontId="2"/>
  </si>
  <si>
    <t>退去後の空床期間5日以内</t>
    <rPh sb="0" eb="2">
      <t>タイキョ</t>
    </rPh>
    <rPh sb="2" eb="3">
      <t>ゴ</t>
    </rPh>
    <rPh sb="4" eb="6">
      <t>クウショウ</t>
    </rPh>
    <rPh sb="6" eb="8">
      <t>キカン</t>
    </rPh>
    <rPh sb="9" eb="10">
      <t>ニチ</t>
    </rPh>
    <rPh sb="10" eb="12">
      <t>イナイ</t>
    </rPh>
    <phoneticPr fontId="2"/>
  </si>
  <si>
    <t>入院者1名の退院</t>
    <rPh sb="0" eb="2">
      <t>ニュウイン</t>
    </rPh>
    <rPh sb="2" eb="3">
      <t>シャ</t>
    </rPh>
    <rPh sb="4" eb="5">
      <t>メイ</t>
    </rPh>
    <rPh sb="6" eb="8">
      <t>タイイン</t>
    </rPh>
    <phoneticPr fontId="2"/>
  </si>
  <si>
    <t>退院について病院と調整中。退去の可能性も高い</t>
    <rPh sb="0" eb="2">
      <t>タイイン</t>
    </rPh>
    <rPh sb="6" eb="8">
      <t>ビョウイン</t>
    </rPh>
    <rPh sb="9" eb="12">
      <t>チョウセイチュウ</t>
    </rPh>
    <rPh sb="13" eb="15">
      <t>タイキョ</t>
    </rPh>
    <rPh sb="16" eb="19">
      <t>カノウセイ</t>
    </rPh>
    <rPh sb="20" eb="21">
      <t>タカ</t>
    </rPh>
    <phoneticPr fontId="2"/>
  </si>
  <si>
    <t>確保済</t>
    <rPh sb="0" eb="2">
      <t>カクホ</t>
    </rPh>
    <rPh sb="2" eb="3">
      <t>スミ</t>
    </rPh>
    <phoneticPr fontId="2"/>
  </si>
  <si>
    <t>1件は入居意向強く、空きが出来次第で、入居予定。既に支給もおりているので、引っ越しのみ。</t>
    <rPh sb="1" eb="2">
      <t>ケン</t>
    </rPh>
    <rPh sb="3" eb="5">
      <t>ニュウキョ</t>
    </rPh>
    <rPh sb="5" eb="7">
      <t>イコウ</t>
    </rPh>
    <rPh sb="7" eb="8">
      <t>ツヨ</t>
    </rPh>
    <rPh sb="10" eb="11">
      <t>ア</t>
    </rPh>
    <rPh sb="13" eb="17">
      <t>デキシダイ</t>
    </rPh>
    <rPh sb="19" eb="21">
      <t>ニュウキョ</t>
    </rPh>
    <rPh sb="21" eb="23">
      <t>ヨテイ</t>
    </rPh>
    <rPh sb="24" eb="25">
      <t>スデ</t>
    </rPh>
    <rPh sb="26" eb="28">
      <t>シキュウ</t>
    </rPh>
    <rPh sb="37" eb="38">
      <t>ヒ</t>
    </rPh>
    <rPh sb="39" eb="40">
      <t>コ</t>
    </rPh>
    <phoneticPr fontId="2"/>
  </si>
  <si>
    <t>済</t>
    <rPh sb="0" eb="1">
      <t>スミ</t>
    </rPh>
    <phoneticPr fontId="2"/>
  </si>
  <si>
    <t>現状継続。PDCA時に都度確認</t>
    <rPh sb="0" eb="2">
      <t>ゲンジョウ</t>
    </rPh>
    <rPh sb="2" eb="4">
      <t>ケイゾク</t>
    </rPh>
    <rPh sb="9" eb="10">
      <t>ジ</t>
    </rPh>
    <rPh sb="11" eb="13">
      <t>ツド</t>
    </rPh>
    <rPh sb="13" eb="15">
      <t>カクニン</t>
    </rPh>
    <phoneticPr fontId="2"/>
  </si>
  <si>
    <t>2名がそれぞれ15日ずつ利用中。依存度が高いので、都度新規獲得は目指していく。</t>
    <rPh sb="1" eb="2">
      <t>メイ</t>
    </rPh>
    <rPh sb="9" eb="10">
      <t>ニチ</t>
    </rPh>
    <rPh sb="12" eb="14">
      <t>リヨウ</t>
    </rPh>
    <rPh sb="14" eb="15">
      <t>チュウ</t>
    </rPh>
    <rPh sb="16" eb="19">
      <t>イゾンド</t>
    </rPh>
    <rPh sb="20" eb="21">
      <t>タカ</t>
    </rPh>
    <rPh sb="25" eb="27">
      <t>ツド</t>
    </rPh>
    <rPh sb="27" eb="29">
      <t>シンキ</t>
    </rPh>
    <rPh sb="29" eb="31">
      <t>カクトク</t>
    </rPh>
    <rPh sb="32" eb="34">
      <t>メザ</t>
    </rPh>
    <phoneticPr fontId="2"/>
  </si>
  <si>
    <t>4.3以上</t>
    <rPh sb="3" eb="5">
      <t>イジョウ</t>
    </rPh>
    <phoneticPr fontId="2"/>
  </si>
  <si>
    <t>2名、区変対応できないか検討中だが、、、現入居者はほぼ対応を終えているのが正直な所</t>
    <rPh sb="1" eb="2">
      <t>メイ</t>
    </rPh>
    <rPh sb="3" eb="4">
      <t>ク</t>
    </rPh>
    <rPh sb="4" eb="5">
      <t>ヘン</t>
    </rPh>
    <rPh sb="5" eb="7">
      <t>タイオウ</t>
    </rPh>
    <rPh sb="12" eb="15">
      <t>ケントウチュウ</t>
    </rPh>
    <rPh sb="20" eb="21">
      <t>ゲン</t>
    </rPh>
    <rPh sb="21" eb="24">
      <t>ニュウキョシャ</t>
    </rPh>
    <rPh sb="27" eb="29">
      <t>タイオウ</t>
    </rPh>
    <rPh sb="30" eb="31">
      <t>オ</t>
    </rPh>
    <rPh sb="37" eb="39">
      <t>ショウジキ</t>
    </rPh>
    <rPh sb="40" eb="41">
      <t>トコロ</t>
    </rPh>
    <phoneticPr fontId="2"/>
  </si>
  <si>
    <t>入居で1名の算定</t>
    <rPh sb="0" eb="2">
      <t>ニュウキョ</t>
    </rPh>
    <rPh sb="4" eb="5">
      <t>メイ</t>
    </rPh>
    <rPh sb="6" eb="8">
      <t>サンテイ</t>
    </rPh>
    <phoneticPr fontId="2"/>
  </si>
  <si>
    <t>ワタセ様：女性　が対象にならないか。対応中</t>
    <rPh sb="3" eb="4">
      <t>サマ</t>
    </rPh>
    <rPh sb="5" eb="7">
      <t>ジョセイ</t>
    </rPh>
    <rPh sb="9" eb="11">
      <t>タイショウ</t>
    </rPh>
    <rPh sb="18" eb="21">
      <t>タイオウチュウ</t>
    </rPh>
    <phoneticPr fontId="2"/>
  </si>
  <si>
    <t>今月1名終了予定。来月も1名の終了見込み。タイミーへの声掛け継続。</t>
    <rPh sb="0" eb="2">
      <t>コンゲツ</t>
    </rPh>
    <rPh sb="3" eb="4">
      <t>メイ</t>
    </rPh>
    <rPh sb="4" eb="6">
      <t>シュウリョウ</t>
    </rPh>
    <rPh sb="6" eb="8">
      <t>ヨテイ</t>
    </rPh>
    <rPh sb="9" eb="11">
      <t>ライゲツ</t>
    </rPh>
    <rPh sb="13" eb="14">
      <t>メイ</t>
    </rPh>
    <rPh sb="15" eb="17">
      <t>シュウリョウ</t>
    </rPh>
    <rPh sb="17" eb="19">
      <t>ミコ</t>
    </rPh>
    <rPh sb="27" eb="29">
      <t>コエカ</t>
    </rPh>
    <rPh sb="30" eb="32">
      <t>ケイゾク</t>
    </rPh>
    <phoneticPr fontId="2"/>
  </si>
  <si>
    <t>入院者0名</t>
    <rPh sb="0" eb="3">
      <t>ニュウインシャ</t>
    </rPh>
    <rPh sb="4" eb="5">
      <t>メイ</t>
    </rPh>
    <phoneticPr fontId="2"/>
  </si>
  <si>
    <t>毎月5名以上の利用</t>
    <rPh sb="0" eb="2">
      <t>マイツキ</t>
    </rPh>
    <rPh sb="3" eb="4">
      <t>メイ</t>
    </rPh>
    <rPh sb="4" eb="6">
      <t>イジョウ</t>
    </rPh>
    <rPh sb="7" eb="9">
      <t>リヨウ</t>
    </rPh>
    <phoneticPr fontId="2"/>
  </si>
  <si>
    <t>1名が18日分を利用中。抜けた時の穴がかなり大きいので、都度新規契約獲得を目指す</t>
    <rPh sb="1" eb="2">
      <t>メイ</t>
    </rPh>
    <rPh sb="5" eb="6">
      <t>ニチ</t>
    </rPh>
    <rPh sb="6" eb="7">
      <t>ブン</t>
    </rPh>
    <rPh sb="8" eb="10">
      <t>リヨウ</t>
    </rPh>
    <rPh sb="10" eb="11">
      <t>チュウ</t>
    </rPh>
    <rPh sb="12" eb="13">
      <t>ヌ</t>
    </rPh>
    <rPh sb="15" eb="16">
      <t>トキ</t>
    </rPh>
    <rPh sb="17" eb="18">
      <t>アナ</t>
    </rPh>
    <rPh sb="22" eb="23">
      <t>オオ</t>
    </rPh>
    <rPh sb="28" eb="30">
      <t>ツド</t>
    </rPh>
    <rPh sb="30" eb="32">
      <t>シンキ</t>
    </rPh>
    <rPh sb="32" eb="34">
      <t>ケイヤク</t>
    </rPh>
    <rPh sb="34" eb="36">
      <t>カクトク</t>
    </rPh>
    <rPh sb="37" eb="39">
      <t>メザ</t>
    </rPh>
    <phoneticPr fontId="2"/>
  </si>
  <si>
    <t>2名、包括への転居可能なレベル。包括の空きがあれば、出来れば萩丘ⅰの空きが出次第、転居➡新規で区分4以上の方を入居させる</t>
    <rPh sb="1" eb="2">
      <t>メイ</t>
    </rPh>
    <rPh sb="3" eb="5">
      <t>ホウカツ</t>
    </rPh>
    <rPh sb="7" eb="9">
      <t>テンキョ</t>
    </rPh>
    <rPh sb="9" eb="11">
      <t>カノウ</t>
    </rPh>
    <rPh sb="16" eb="18">
      <t>ホウカツ</t>
    </rPh>
    <rPh sb="19" eb="20">
      <t>ア</t>
    </rPh>
    <rPh sb="26" eb="28">
      <t>デキ</t>
    </rPh>
    <rPh sb="30" eb="32">
      <t>ハギオカ</t>
    </rPh>
    <rPh sb="34" eb="35">
      <t>ア</t>
    </rPh>
    <rPh sb="37" eb="40">
      <t>デシダイ</t>
    </rPh>
    <rPh sb="41" eb="43">
      <t>テンキョ</t>
    </rPh>
    <rPh sb="44" eb="46">
      <t>シンキ</t>
    </rPh>
    <rPh sb="47" eb="49">
      <t>クブン</t>
    </rPh>
    <rPh sb="50" eb="52">
      <t>イジョウ</t>
    </rPh>
    <rPh sb="53" eb="54">
      <t>カタ</t>
    </rPh>
    <rPh sb="55" eb="57">
      <t>ニュウキョ</t>
    </rPh>
    <phoneticPr fontId="2"/>
  </si>
  <si>
    <t>入居で追加1名算定</t>
    <rPh sb="0" eb="2">
      <t>ニュウキョ</t>
    </rPh>
    <rPh sb="3" eb="5">
      <t>ツイカ</t>
    </rPh>
    <rPh sb="6" eb="7">
      <t>メイ</t>
    </rPh>
    <rPh sb="7" eb="9">
      <t>サンテイ</t>
    </rPh>
    <phoneticPr fontId="2"/>
  </si>
  <si>
    <t>PDCAで都度状況確認。SSでも算定対象がいないかを確認。</t>
    <rPh sb="5" eb="7">
      <t>ツド</t>
    </rPh>
    <rPh sb="7" eb="9">
      <t>ジョウキョウ</t>
    </rPh>
    <rPh sb="9" eb="11">
      <t>カクニン</t>
    </rPh>
    <rPh sb="16" eb="18">
      <t>サンテイ</t>
    </rPh>
    <rPh sb="18" eb="20">
      <t>タイショウ</t>
    </rPh>
    <rPh sb="26" eb="28">
      <t>カクニン</t>
    </rPh>
    <phoneticPr fontId="2"/>
  </si>
  <si>
    <t>タイミーへの声掛け継続。紹介会社に依頼中。月給制1名は採用、時給制は積極的に採用</t>
    <rPh sb="6" eb="8">
      <t>コエカ</t>
    </rPh>
    <rPh sb="9" eb="11">
      <t>ケイゾク</t>
    </rPh>
    <rPh sb="12" eb="14">
      <t>ショウカイ</t>
    </rPh>
    <rPh sb="14" eb="16">
      <t>カイシャ</t>
    </rPh>
    <rPh sb="17" eb="20">
      <t>イライチュウ</t>
    </rPh>
    <rPh sb="21" eb="23">
      <t>ゲッキュウ</t>
    </rPh>
    <rPh sb="23" eb="24">
      <t>セイ</t>
    </rPh>
    <rPh sb="25" eb="26">
      <t>メイ</t>
    </rPh>
    <rPh sb="27" eb="29">
      <t>サイヨウ</t>
    </rPh>
    <rPh sb="30" eb="32">
      <t>ジキュウ</t>
    </rPh>
    <rPh sb="32" eb="33">
      <t>セイ</t>
    </rPh>
    <rPh sb="34" eb="37">
      <t>セッキョクテキ</t>
    </rPh>
    <rPh sb="38" eb="40">
      <t>サイヨウ</t>
    </rPh>
    <phoneticPr fontId="2"/>
  </si>
  <si>
    <t>入院者を出さない、転倒事故振り返り、職員間の情報共有（二橋さん次第）</t>
    <rPh sb="0" eb="3">
      <t>ニュウインシャ</t>
    </rPh>
    <rPh sb="4" eb="5">
      <t>ダ</t>
    </rPh>
    <rPh sb="9" eb="11">
      <t>テントウ</t>
    </rPh>
    <rPh sb="11" eb="13">
      <t>ジコ</t>
    </rPh>
    <rPh sb="13" eb="14">
      <t>フ</t>
    </rPh>
    <rPh sb="15" eb="16">
      <t>カエ</t>
    </rPh>
    <rPh sb="18" eb="20">
      <t>ショクイン</t>
    </rPh>
    <rPh sb="20" eb="21">
      <t>カン</t>
    </rPh>
    <rPh sb="22" eb="24">
      <t>ジョウホウ</t>
    </rPh>
    <rPh sb="24" eb="26">
      <t>キョウユウ</t>
    </rPh>
    <rPh sb="27" eb="29">
      <t>ニハシ</t>
    </rPh>
    <rPh sb="31" eb="33">
      <t>シダイ</t>
    </rPh>
    <phoneticPr fontId="2"/>
  </si>
  <si>
    <t>空床期間最小化</t>
    <rPh sb="0" eb="2">
      <t>クウショウ</t>
    </rPh>
    <rPh sb="2" eb="4">
      <t>キカン</t>
    </rPh>
    <rPh sb="4" eb="7">
      <t>サイショウカ</t>
    </rPh>
    <phoneticPr fontId="2"/>
  </si>
  <si>
    <t>80%以上</t>
    <rPh sb="3" eb="5">
      <t>イジョウ</t>
    </rPh>
    <phoneticPr fontId="2"/>
  </si>
  <si>
    <t>SS・体験予約①：2606</t>
  </si>
  <si>
    <t>SS・体験予約②：2606</t>
  </si>
  <si>
    <t>■SS稼働状況</t>
  </si>
  <si>
    <t>稼働日数</t>
  </si>
  <si>
    <t>申請床数</t>
  </si>
  <si>
    <t>利用人数</t>
  </si>
  <si>
    <t>稼働回数</t>
  </si>
  <si>
    <t>キャンセル回数</t>
  </si>
  <si>
    <t>キャンセル率</t>
  </si>
  <si>
    <t>リピート人数</t>
  </si>
  <si>
    <t>リピート率</t>
  </si>
  <si>
    <t>平均利用回数</t>
  </si>
  <si>
    <t>平均区分</t>
  </si>
  <si>
    <t>支援区分</t>
  </si>
  <si>
    <t>利用回数</t>
  </si>
  <si>
    <t>金森 麻子</t>
  </si>
  <si>
    <t>袴田 真衣子</t>
  </si>
  <si>
    <t>立仙 由里香</t>
  </si>
  <si>
    <t>長島 陽菜</t>
  </si>
  <si>
    <t>河合 愛菜</t>
  </si>
  <si>
    <t>なし</t>
  </si>
  <si>
    <t>短期</t>
  </si>
  <si>
    <t>入居1F</t>
  </si>
  <si>
    <t>入居2F</t>
  </si>
  <si>
    <t>区分</t>
  </si>
  <si>
    <t>4月</t>
    <rPh sb="1" eb="2">
      <t>ガツ</t>
    </rPh>
    <phoneticPr fontId="2"/>
  </si>
  <si>
    <t>施設名</t>
  </si>
  <si>
    <t>提供月</t>
  </si>
  <si>
    <t>1F+2F合計</t>
  </si>
  <si>
    <t>合計</t>
  </si>
  <si>
    <t>RASIEL気賀</t>
  </si>
  <si>
    <t>RASIEL高丘</t>
  </si>
  <si>
    <t>RASIEL春日部</t>
  </si>
  <si>
    <t>RASIEL上西郷</t>
  </si>
  <si>
    <t>RASIEL西浅田i</t>
  </si>
  <si>
    <t>RASIEL西浅田ii</t>
  </si>
  <si>
    <t>宇都宮</t>
  </si>
  <si>
    <t>萩丘i</t>
  </si>
  <si>
    <t>萩丘ii</t>
  </si>
  <si>
    <t>cpk:通常の8倍:退院は12日予定　23日の受診予定</t>
    <rPh sb="4" eb="6">
      <t>ツウジョウ</t>
    </rPh>
    <rPh sb="8" eb="9">
      <t>バイ</t>
    </rPh>
    <rPh sb="10" eb="12">
      <t>タイイン</t>
    </rPh>
    <rPh sb="15" eb="16">
      <t>ニチ</t>
    </rPh>
    <rPh sb="16" eb="18">
      <t>ヨテイ</t>
    </rPh>
    <rPh sb="21" eb="22">
      <t>ニチ</t>
    </rPh>
    <rPh sb="23" eb="25">
      <t>ジュシン</t>
    </rPh>
    <rPh sb="25" eb="27">
      <t>ヨテイ</t>
    </rPh>
    <phoneticPr fontId="2"/>
  </si>
  <si>
    <t>【AU稼働】</t>
    <rPh sb="3" eb="5">
      <t>カドウ</t>
    </rPh>
    <phoneticPr fontId="2"/>
  </si>
  <si>
    <t>【AU稼働：SS服務】</t>
    <rPh sb="3" eb="5">
      <t>カドウ</t>
    </rPh>
    <rPh sb="8" eb="10">
      <t>フクム</t>
    </rPh>
    <phoneticPr fontId="2"/>
  </si>
  <si>
    <t>入居合計数</t>
    <rPh sb="0" eb="2">
      <t>ニュウキョ</t>
    </rPh>
    <rPh sb="2" eb="5">
      <t>ゴウケイスウ</t>
    </rPh>
    <phoneticPr fontId="2"/>
  </si>
  <si>
    <t>AU稼働合計</t>
    <rPh sb="4" eb="6">
      <t>ゴウケイ</t>
    </rPh>
    <phoneticPr fontId="2"/>
  </si>
  <si>
    <t>平均区分</t>
    <rPh sb="0" eb="2">
      <t>ヘイキン</t>
    </rPh>
    <rPh sb="2" eb="4">
      <t>クブン</t>
    </rPh>
    <phoneticPr fontId="2"/>
  </si>
  <si>
    <t>○AU稼働：SS含 一括数式</t>
    <rPh sb="3" eb="5">
      <t>カドウ</t>
    </rPh>
    <rPh sb="8" eb="9">
      <t>フク</t>
    </rPh>
    <rPh sb="10" eb="12">
      <t>イッカツ</t>
    </rPh>
    <rPh sb="12" eb="14">
      <t>スウシキ</t>
    </rPh>
    <phoneticPr fontId="2"/>
  </si>
  <si>
    <t>5/31に退去済　6/30：ナカムラヨシキさん(全盲の車椅子)</t>
    <rPh sb="5" eb="7">
      <t>タイキョ</t>
    </rPh>
    <rPh sb="7" eb="8">
      <t>スミ</t>
    </rPh>
    <rPh sb="24" eb="26">
      <t>ゼンモウ</t>
    </rPh>
    <rPh sb="27" eb="30">
      <t>クルマイス</t>
    </rPh>
    <phoneticPr fontId="2"/>
  </si>
  <si>
    <t>入院中</t>
    <rPh sb="0" eb="3">
      <t>ニュウインチュウ</t>
    </rPh>
    <phoneticPr fontId="2"/>
  </si>
  <si>
    <t>月13万、　</t>
    <rPh sb="0" eb="1">
      <t>ツキ</t>
    </rPh>
    <rPh sb="3" eb="4">
      <t>マン</t>
    </rPh>
    <phoneticPr fontId="2"/>
  </si>
  <si>
    <t>退去でほぼ確定：25日に行政・本人等と話し合い</t>
    <rPh sb="0" eb="2">
      <t>タイキョ</t>
    </rPh>
    <rPh sb="5" eb="7">
      <t>カクテイ</t>
    </rPh>
    <rPh sb="10" eb="11">
      <t>ニチ</t>
    </rPh>
    <rPh sb="12" eb="14">
      <t>ギョウセイ</t>
    </rPh>
    <rPh sb="15" eb="17">
      <t>ホンニン</t>
    </rPh>
    <rPh sb="17" eb="18">
      <t>ナド</t>
    </rPh>
    <rPh sb="19" eb="20">
      <t>ハナ</t>
    </rPh>
    <rPh sb="21" eb="22">
      <t>ア</t>
    </rPh>
    <phoneticPr fontId="2"/>
  </si>
  <si>
    <t>入院1名の退院</t>
    <rPh sb="0" eb="2">
      <t>ニュウイン</t>
    </rPh>
    <rPh sb="3" eb="4">
      <t>メイ</t>
    </rPh>
    <rPh sb="5" eb="7">
      <t>タイイン</t>
    </rPh>
    <phoneticPr fontId="2"/>
  </si>
  <si>
    <t>1名退去濃厚。候補者確定済。確定し次第、入居を勧める（支給は既に出ている）</t>
    <rPh sb="1" eb="2">
      <t>メイ</t>
    </rPh>
    <rPh sb="2" eb="4">
      <t>タイキョ</t>
    </rPh>
    <rPh sb="4" eb="6">
      <t>ノウコウ</t>
    </rPh>
    <rPh sb="7" eb="10">
      <t>コウホシャ</t>
    </rPh>
    <rPh sb="10" eb="12">
      <t>カクテイ</t>
    </rPh>
    <rPh sb="12" eb="13">
      <t>スミ</t>
    </rPh>
    <rPh sb="14" eb="16">
      <t>カクテイ</t>
    </rPh>
    <rPh sb="17" eb="19">
      <t>シダイ</t>
    </rPh>
    <rPh sb="20" eb="22">
      <t>ニュウキョ</t>
    </rPh>
    <rPh sb="23" eb="24">
      <t>スス</t>
    </rPh>
    <rPh sb="27" eb="29">
      <t>シキュウ</t>
    </rPh>
    <rPh sb="30" eb="31">
      <t>スデ</t>
    </rPh>
    <rPh sb="32" eb="33">
      <t>デ</t>
    </rPh>
    <phoneticPr fontId="2"/>
  </si>
  <si>
    <t>退去決定：セイフリョウのハバラさん案件</t>
    <rPh sb="0" eb="2">
      <t>タイキョ</t>
    </rPh>
    <rPh sb="2" eb="4">
      <t>ケッテイ</t>
    </rPh>
    <rPh sb="17" eb="19">
      <t>アンケン</t>
    </rPh>
    <phoneticPr fontId="2"/>
  </si>
  <si>
    <t>就B：週4希望</t>
    <rPh sb="0" eb="1">
      <t>シュウ</t>
    </rPh>
    <rPh sb="3" eb="4">
      <t>シュウ</t>
    </rPh>
    <rPh sb="5" eb="7">
      <t>キボウ</t>
    </rPh>
    <phoneticPr fontId="2"/>
  </si>
  <si>
    <t>横井　愛斗</t>
    <phoneticPr fontId="2"/>
  </si>
  <si>
    <t>区変依頼：退院後は区分変更予定⇒だんだん：堀内さんの案件・見学(33歳、区分？)、ポルタの松岡さん(男性、)</t>
    <rPh sb="0" eb="1">
      <t>ク</t>
    </rPh>
    <rPh sb="1" eb="2">
      <t>ヘン</t>
    </rPh>
    <rPh sb="2" eb="4">
      <t>イライ</t>
    </rPh>
    <rPh sb="5" eb="8">
      <t>タイインゴ</t>
    </rPh>
    <rPh sb="9" eb="11">
      <t>クブン</t>
    </rPh>
    <rPh sb="11" eb="13">
      <t>ヘンコウ</t>
    </rPh>
    <rPh sb="13" eb="15">
      <t>ヨテイ</t>
    </rPh>
    <rPh sb="21" eb="23">
      <t>ホリウチ</t>
    </rPh>
    <rPh sb="26" eb="28">
      <t>アンケン</t>
    </rPh>
    <rPh sb="29" eb="31">
      <t>ケンガク</t>
    </rPh>
    <rPh sb="34" eb="35">
      <t>サイ</t>
    </rPh>
    <rPh sb="36" eb="38">
      <t>クブン</t>
    </rPh>
    <rPh sb="45" eb="47">
      <t>マツオカ</t>
    </rPh>
    <rPh sb="50" eb="52">
      <t>ダンセイ</t>
    </rPh>
    <phoneticPr fontId="2"/>
  </si>
  <si>
    <t>幻覚＋、内服調整中</t>
    <rPh sb="0" eb="2">
      <t>ゲンカク</t>
    </rPh>
    <rPh sb="4" eb="6">
      <t>ナイフク</t>
    </rPh>
    <rPh sb="6" eb="9">
      <t>チョウセイチュウ</t>
    </rPh>
    <phoneticPr fontId="2"/>
  </si>
  <si>
    <t>7月に医大受診：区変（重度加算）：家族に聞く、と。6/29に再確認</t>
    <rPh sb="1" eb="2">
      <t>ガツ</t>
    </rPh>
    <rPh sb="3" eb="5">
      <t>イダイ</t>
    </rPh>
    <rPh sb="5" eb="7">
      <t>ジュシン</t>
    </rPh>
    <rPh sb="8" eb="9">
      <t>ク</t>
    </rPh>
    <rPh sb="9" eb="10">
      <t>ヘン</t>
    </rPh>
    <rPh sb="11" eb="13">
      <t>ジュウド</t>
    </rPh>
    <rPh sb="13" eb="15">
      <t>カサン</t>
    </rPh>
    <rPh sb="17" eb="19">
      <t>カゾク</t>
    </rPh>
    <rPh sb="20" eb="21">
      <t>キ</t>
    </rPh>
    <rPh sb="30" eb="33">
      <t>サイカクニン</t>
    </rPh>
    <phoneticPr fontId="2"/>
  </si>
  <si>
    <t>石野　晴康</t>
    <phoneticPr fontId="2"/>
  </si>
  <si>
    <t xml:space="preserve">4月に区変更新 </t>
    <rPh sb="1" eb="2">
      <t>ガツ</t>
    </rPh>
    <rPh sb="3" eb="4">
      <t>ク</t>
    </rPh>
    <rPh sb="4" eb="5">
      <t>ヘン</t>
    </rPh>
    <rPh sb="5" eb="7">
      <t>コウシン</t>
    </rPh>
    <phoneticPr fontId="2"/>
  </si>
  <si>
    <t>夜勤継続中⇒疲労困憊➡シフトを調整する</t>
    <rPh sb="0" eb="2">
      <t>ヤキン</t>
    </rPh>
    <rPh sb="2" eb="4">
      <t>ケイゾク</t>
    </rPh>
    <rPh sb="4" eb="5">
      <t>チュウ</t>
    </rPh>
    <rPh sb="6" eb="8">
      <t>ヒロウ</t>
    </rPh>
    <rPh sb="8" eb="10">
      <t>コンパイ</t>
    </rPh>
    <rPh sb="15" eb="17">
      <t>チョウセイ</t>
    </rPh>
    <phoneticPr fontId="2"/>
  </si>
  <si>
    <t>磯部　正和</t>
    <phoneticPr fontId="2"/>
  </si>
  <si>
    <t>退去</t>
    <rPh sb="0" eb="2">
      <t>タイキョ</t>
    </rPh>
    <phoneticPr fontId="2"/>
  </si>
  <si>
    <t>包括希望あり(8月転居予定)⇒SS：坂本さん入居</t>
    <rPh sb="0" eb="2">
      <t>ホウカツ</t>
    </rPh>
    <rPh sb="2" eb="4">
      <t>キボウ</t>
    </rPh>
    <rPh sb="8" eb="9">
      <t>ガツ</t>
    </rPh>
    <rPh sb="9" eb="11">
      <t>テンキョ</t>
    </rPh>
    <rPh sb="11" eb="13">
      <t>ヨテイ</t>
    </rPh>
    <rPh sb="18" eb="20">
      <t>サカモト</t>
    </rPh>
    <rPh sb="22" eb="24">
      <t>ニュウキョ</t>
    </rPh>
    <phoneticPr fontId="2"/>
  </si>
  <si>
    <t>＜毎週　定例タスク＞　※赤色は要注意  (☑=完了 / ☐=未完了)</t>
    <phoneticPr fontId="2"/>
  </si>
  <si>
    <t>＜毎月10日　タスク＞  (☑=完了 / ☐=未完了)</t>
    <phoneticPr fontId="2"/>
  </si>
  <si>
    <t>＜毎月20日　タスク＞  (☑=完了 / ☐=未完了)</t>
    <phoneticPr fontId="2"/>
  </si>
  <si>
    <t>強行系  (☑=完了 / ☐=未完了)</t>
    <phoneticPr fontId="2"/>
  </si>
  <si>
    <t>全施設サマリー</t>
  </si>
  <si>
    <t>施設</t>
  </si>
  <si>
    <t>入居稼働率</t>
  </si>
  <si>
    <t>差異</t>
  </si>
  <si>
    <t>判定</t>
  </si>
  <si>
    <t>管理者メモ</t>
  </si>
  <si>
    <t>次回確認日</t>
  </si>
  <si>
    <t>宇都宮!G18</t>
  </si>
  <si>
    <t>宇都宮!G20</t>
  </si>
  <si>
    <t>宇都宮!G24</t>
  </si>
  <si>
    <t>宇都宮!G12</t>
  </si>
  <si>
    <t>$BQ$37:$BQ$42, $BZ$3:$BZ$16, $BZ$19:$BZ$33, $BZ$36:$BZ$42</t>
  </si>
  <si>
    <t>南中丸!G18</t>
  </si>
  <si>
    <t>南中丸!G20</t>
  </si>
  <si>
    <t>南中丸!G24</t>
  </si>
  <si>
    <t>南中丸!G12</t>
  </si>
  <si>
    <t>$BQ$37:$BQ$42, $BW$3:$BW$16, $BW$19:$BW$33, $BW$36:$BW$42</t>
  </si>
  <si>
    <t>春日部!G18</t>
  </si>
  <si>
    <t>春日部!G20</t>
  </si>
  <si>
    <t>春日部!G24</t>
  </si>
  <si>
    <t>春日部!G12</t>
  </si>
  <si>
    <t>上西郷!G18</t>
  </si>
  <si>
    <t>上西郷!G20</t>
  </si>
  <si>
    <t>上西郷!G24</t>
  </si>
  <si>
    <t>上西郷!G12</t>
  </si>
  <si>
    <t>気賀!G18</t>
  </si>
  <si>
    <t>気賀!G20</t>
  </si>
  <si>
    <t>気賀!G24</t>
  </si>
  <si>
    <t>気賀!G12</t>
  </si>
  <si>
    <t>高丘!G18</t>
  </si>
  <si>
    <t>高丘!G20</t>
  </si>
  <si>
    <t>高丘!G24</t>
  </si>
  <si>
    <t>高丘!G12</t>
  </si>
  <si>
    <t>萩丘ⅰ</t>
  </si>
  <si>
    <t>萩丘ⅰ!G18</t>
  </si>
  <si>
    <t>萩丘ⅰ!G20</t>
  </si>
  <si>
    <t>萩丘ⅰ!G24</t>
  </si>
  <si>
    <t>萩丘ⅰ!G12</t>
  </si>
  <si>
    <t>萩丘ⅱ!G18</t>
  </si>
  <si>
    <t>萩丘ⅱ!G20</t>
  </si>
  <si>
    <t>萩丘ⅱ!G24</t>
  </si>
  <si>
    <t>萩丘ⅱ!G12</t>
  </si>
  <si>
    <t>西浅田!G18</t>
  </si>
  <si>
    <t>西浅田!G20</t>
  </si>
  <si>
    <t>西浅田!G24</t>
  </si>
  <si>
    <t>西浅田!G12</t>
  </si>
  <si>
    <t>有資格者：2名</t>
    <rPh sb="0" eb="4">
      <t>ユウシカクシャ</t>
    </rPh>
    <rPh sb="6" eb="7">
      <t>メイ</t>
    </rPh>
    <phoneticPr fontId="2"/>
  </si>
  <si>
    <t>施設</t>
    <phoneticPr fontId="2"/>
  </si>
  <si>
    <t>入居者数</t>
    <phoneticPr fontId="2"/>
  </si>
  <si>
    <t>入居稼働率</t>
    <phoneticPr fontId="2"/>
  </si>
  <si>
    <t>判定</t>
    <phoneticPr fontId="2"/>
  </si>
  <si>
    <t>SS</t>
    <phoneticPr fontId="2"/>
  </si>
  <si>
    <t>稼働率</t>
    <phoneticPr fontId="2"/>
  </si>
  <si>
    <t>外部</t>
    <phoneticPr fontId="2"/>
  </si>
  <si>
    <t>SV</t>
    <phoneticPr fontId="2"/>
  </si>
  <si>
    <t>率</t>
    <phoneticPr fontId="2"/>
  </si>
  <si>
    <t>未完了</t>
    <phoneticPr fontId="2"/>
  </si>
  <si>
    <t>事故苦情</t>
    <phoneticPr fontId="2"/>
  </si>
  <si>
    <t>最重要課題</t>
    <phoneticPr fontId="2"/>
  </si>
  <si>
    <t>管理者メモ</t>
    <phoneticPr fontId="2"/>
  </si>
  <si>
    <t>次回確認日</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</si>
</sst>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176" formatCode="yyyy/m/d;@"/>
    <numFmt numFmtId="177" formatCode="0_ "/>
    <numFmt numFmtId="178" formatCode="m/d;@"/>
    <numFmt numFmtId="179" formatCode="#&quot;床&quot;"/>
    <numFmt numFmtId="180" formatCode="0.0%"/>
    <numFmt numFmtId="181" formatCode="0.0_ "/>
    <numFmt numFmtId="182" formatCode="yyyy&quot;年&quot;m&quot;月&quot;d&quot;日&quot;;@"/>
    <numFmt numFmtId="183" formatCode="0.0"/>
    <numFmt numFmtId="184" formatCode="0;[Red]0"/>
    <numFmt numFmtId="185" formatCode="0.0;[Red]0.0"/>
    <numFmt numFmtId="186" formatCode="0.0_);[Red]\(0.0\)"/>
    <numFmt numFmtId="187" formatCode="#,##0_ "/>
    <numFmt numFmtId="188" formatCode="#,##0.0;[Red]#,##0.0"/>
    <numFmt numFmtId="189" formatCode="#,##0;[Red]#,##0"/>
    <numFmt numFmtId="190" formatCode="#,##0_);[Red]\(#,##0\)"/>
    <numFmt numFmtId="191" formatCode="#,##0.0_);[Red]\(#,##0.0\)"/>
    <numFmt numFmtId="192" formatCode="#&quot;月&quot;"/>
    <numFmt numFmtId="193" formatCode="#&quot;h&quot;"/>
    <numFmt numFmtId="194" formatCode="#&quot;人&quot;"/>
    <numFmt numFmtId="195" formatCode="#&quot;件&quot;"/>
    <numFmt numFmtId="196" formatCode="0_);[Red]\(0\)"/>
    <numFmt numFmtId="197" formatCode="0&quot;h&quot;"/>
    <numFmt numFmtId="198" formatCode="0&quot;回&quot;"/>
    <numFmt numFmtId="199" formatCode="m/d"/>
    <numFmt numFmtId="200" formatCode="0.00_ "/>
    <numFmt numFmtId="201" formatCode="0&quot;件&quot;"/>
  </numFmts>
  <fonts count="48">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b/>
      <sz val="12"/>
      <color theme="0"/>
      <name val="Meiryo UI"/>
      <family val="3"/>
      <charset val="128"/>
    </font>
    <font>
      <sz val="12"/>
      <name val="Meiryo UI"/>
      <family val="3"/>
      <charset val="128"/>
    </font>
    <font>
      <b/>
      <sz val="12"/>
      <color rgb="FF92D050"/>
      <name val="Meiryo UI"/>
      <family val="3"/>
      <charset val="128"/>
    </font>
    <font>
      <b/>
      <sz val="12"/>
      <color rgb="FFFFFF00"/>
      <name val="Meiryo UI"/>
      <family val="3"/>
      <charset val="128"/>
    </font>
    <font>
      <b/>
      <sz val="12"/>
      <color rgb="FFFFC000"/>
      <name val="Meiryo UI"/>
      <family val="3"/>
      <charset val="128"/>
    </font>
    <font>
      <b/>
      <sz val="9"/>
      <color rgb="FFFF0000"/>
      <name val="游ゴシック"/>
      <family val="3"/>
      <charset val="128"/>
      <scheme val="minor"/>
    </font>
    <font>
      <b/>
      <sz val="12"/>
      <color rgb="FFFF0000"/>
      <name val="Meiryo UI"/>
      <family val="3"/>
      <charset val="128"/>
    </font>
    <font>
      <sz val="12"/>
      <color theme="1"/>
      <name val="Meiryo UI"/>
      <family val="3"/>
      <charset val="128"/>
    </font>
    <font>
      <b/>
      <sz val="12"/>
      <name val="Meiryo UI"/>
      <family val="3"/>
      <charset val="128"/>
    </font>
    <font>
      <sz val="14"/>
      <name val="Meiryo UI"/>
      <family val="3"/>
      <charset val="128"/>
    </font>
    <font>
      <b/>
      <sz val="16"/>
      <name val="Meiryo UI"/>
      <family val="3"/>
      <charset val="128"/>
    </font>
    <font>
      <sz val="10.5"/>
      <color theme="1"/>
      <name val="Meiryo UI"/>
      <family val="3"/>
      <charset val="128"/>
    </font>
    <font>
      <sz val="10.5"/>
      <name val="Meiryo UI"/>
      <family val="3"/>
      <charset val="128"/>
    </font>
    <font>
      <sz val="10"/>
      <name val="Meiryo UI"/>
      <family val="3"/>
      <charset val="128"/>
    </font>
    <font>
      <b/>
      <sz val="9"/>
      <color theme="0"/>
      <name val="Meiryo UI"/>
      <family val="3"/>
      <charset val="128"/>
    </font>
    <font>
      <sz val="9"/>
      <color indexed="81"/>
      <name val="MS P ゴシック"/>
      <family val="3"/>
      <charset val="128"/>
    </font>
    <font>
      <sz val="9"/>
      <color theme="0"/>
      <name val="Meiryo UI"/>
      <family val="3"/>
      <charset val="128"/>
    </font>
    <font>
      <b/>
      <sz val="11"/>
      <color theme="0"/>
      <name val="Meiryo UI"/>
      <family val="3"/>
      <charset val="128"/>
    </font>
    <font>
      <sz val="7.5"/>
      <name val="Meiryo UI"/>
      <family val="3"/>
      <charset val="128"/>
    </font>
    <font>
      <sz val="12"/>
      <color rgb="FF92D050"/>
      <name val="ＭＳ Ｐゴシック"/>
      <family val="3"/>
      <charset val="128"/>
    </font>
    <font>
      <b/>
      <sz val="14"/>
      <name val="Meiryo UI"/>
      <family val="3"/>
      <charset val="128"/>
    </font>
    <font>
      <b/>
      <sz val="12"/>
      <color rgb="FF00B0F0"/>
      <name val="Meiryo UI"/>
      <family val="3"/>
      <charset val="128"/>
    </font>
    <font>
      <b/>
      <sz val="18"/>
      <name val="Meiryo UI"/>
      <family val="3"/>
      <charset val="128"/>
    </font>
    <font>
      <b/>
      <sz val="12"/>
      <color theme="1"/>
      <name val="Meiryo UI"/>
      <family val="3"/>
      <charset val="128"/>
    </font>
    <font>
      <sz val="12"/>
      <color theme="0" tint="-0.249977111117893"/>
      <name val="Meiryo UI"/>
      <family val="3"/>
      <charset val="128"/>
    </font>
    <font>
      <b/>
      <sz val="13"/>
      <color theme="0"/>
      <name val="Meiryo UI"/>
      <family val="3"/>
      <charset val="128"/>
    </font>
    <font>
      <b/>
      <sz val="14"/>
      <color rgb="FFFF0000"/>
      <name val="Meiryo UI"/>
      <family val="3"/>
      <charset val="128"/>
    </font>
    <font>
      <u/>
      <sz val="11"/>
      <color theme="10"/>
      <name val="游ゴシック"/>
      <family val="2"/>
      <charset val="128"/>
      <scheme val="minor"/>
    </font>
    <font>
      <b/>
      <i/>
      <sz val="12"/>
      <name val="Meiryo UI"/>
      <family val="3"/>
      <charset val="128"/>
    </font>
    <font>
      <sz val="9"/>
      <color theme="1"/>
      <name val="游ゴシック"/>
      <family val="2"/>
      <charset val="128"/>
      <scheme val="minor"/>
    </font>
    <font>
      <sz val="10"/>
      <color theme="1"/>
      <name val="游ゴシック"/>
      <family val="2"/>
      <charset val="128"/>
      <scheme val="minor"/>
    </font>
    <font>
      <sz val="10"/>
      <color theme="1"/>
      <name val="游ゴシック"/>
      <family val="3"/>
      <charset val="128"/>
      <scheme val="minor"/>
    </font>
    <font>
      <sz val="8"/>
      <color theme="1"/>
      <name val="游ゴシック"/>
      <family val="2"/>
      <charset val="128"/>
      <scheme val="minor"/>
    </font>
    <font>
      <sz val="9"/>
      <color rgb="FFFF0000"/>
      <name val="游ゴシック"/>
      <family val="3"/>
      <charset val="128"/>
      <scheme val="minor"/>
    </font>
    <font>
      <b/>
      <sz val="10"/>
      <color theme="1"/>
      <name val="Meiryo UI"/>
      <family val="3"/>
      <charset val="128"/>
    </font>
    <font>
      <sz val="10"/>
      <color theme="1"/>
      <name val="Meiryo UI"/>
      <family val="3"/>
      <charset val="128"/>
    </font>
    <font>
      <b/>
      <strike/>
      <sz val="14"/>
      <color rgb="FFFF0000"/>
      <name val="Meiryo UI"/>
      <family val="3"/>
      <charset val="128"/>
    </font>
    <font>
      <strike/>
      <u/>
      <sz val="11"/>
      <color theme="10"/>
      <name val="游ゴシック"/>
      <family val="2"/>
      <charset val="128"/>
      <scheme val="minor"/>
    </font>
    <font>
      <strike/>
      <u/>
      <sz val="11"/>
      <color theme="10"/>
      <name val="游ゴシック"/>
      <family val="3"/>
      <charset val="128"/>
      <scheme val="minor"/>
    </font>
    <font>
      <sz val="7"/>
      <color rgb="FF1A1A1A"/>
      <name val="Courier New"/>
      <family val="3"/>
    </font>
    <font>
      <sz val="8"/>
      <name val="Meiryo UI"/>
      <family val="3"/>
      <charset val="128"/>
    </font>
    <font>
      <sz val="12"/>
      <color rgb="FFFFFFFF"/>
      <name val="Meiryo UI"/>
      <family val="3"/>
      <charset val="128"/>
    </font>
    <font>
      <b/>
      <sz val="11"/>
      <color theme="1"/>
      <name val="游ゴシック"/>
      <family val="3"/>
      <charset val="128"/>
      <scheme val="minor"/>
    </font>
    <font>
      <b/>
      <sz val="16"/>
      <color rgb="FFFFFFFF"/>
      <name val="游ゴシック"/>
      <family val="3"/>
      <charset val="128"/>
      <scheme val="minor"/>
    </font>
    <font>
      <b/>
      <sz val="11"/>
      <color rgb="FFFFFFFF"/>
      <name val="游ゴシック"/>
      <family val="3"/>
      <charset val="128"/>
      <scheme val="minor"/>
    </font>
  </fonts>
  <fills count="30">
    <fill>
      <patternFill patternType="none"/>
    </fill>
    <fill>
      <patternFill patternType="gray125"/>
    </fill>
    <fill>
      <patternFill patternType="solid">
        <fgColor theme="8" tint="0.7999816888943144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1"/>
        <bgColor indexed="64"/>
      </patternFill>
    </fill>
    <fill>
      <patternFill patternType="solid">
        <fgColor rgb="FF00B050"/>
        <bgColor indexed="64"/>
      </patternFill>
    </fill>
    <fill>
      <patternFill patternType="solid">
        <fgColor theme="6" tint="0.79998168889431442"/>
        <bgColor indexed="64"/>
      </patternFill>
    </fill>
    <fill>
      <patternFill patternType="solid">
        <fgColor theme="0" tint="-0.499984740745262"/>
        <bgColor indexed="64"/>
      </patternFill>
    </fill>
    <fill>
      <patternFill patternType="solid">
        <fgColor theme="8" tint="-0.49998474074526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FFFFF0"/>
        <bgColor indexed="64"/>
      </patternFill>
    </fill>
    <fill>
      <patternFill patternType="solid">
        <fgColor rgb="FF002060"/>
        <bgColor indexed="64"/>
      </patternFill>
    </fill>
    <fill>
      <patternFill patternType="solid">
        <fgColor rgb="FFFFFFCC"/>
        <bgColor indexed="64"/>
      </patternFill>
    </fill>
    <fill>
      <patternFill patternType="solid">
        <fgColor theme="0" tint="-0.249977111117893"/>
        <bgColor indexed="64"/>
      </patternFill>
    </fill>
    <fill>
      <patternFill patternType="solid">
        <fgColor theme="7"/>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D9E1F2"/>
        <bgColor indexed="64"/>
      </patternFill>
    </fill>
    <fill>
      <patternFill patternType="solid">
        <fgColor rgb="FFD9D9D9"/>
        <bgColor indexed="64"/>
      </patternFill>
    </fill>
    <fill>
      <patternFill patternType="solid">
        <fgColor rgb="FF3C3C78"/>
        <bgColor indexed="64"/>
      </patternFill>
    </fill>
    <fill>
      <patternFill patternType="solid">
        <fgColor rgb="FFFCE4D6"/>
        <bgColor indexed="64"/>
      </patternFill>
    </fill>
    <fill>
      <patternFill patternType="solid">
        <fgColor rgb="FFFFFFEB"/>
        <bgColor indexed="64"/>
      </patternFill>
    </fill>
  </fills>
  <borders count="230">
    <border>
      <left/>
      <right/>
      <top/>
      <bottom/>
      <diagonal/>
    </border>
    <border>
      <left style="dotted">
        <color auto="1"/>
      </left>
      <right style="dotted">
        <color auto="1"/>
      </right>
      <top style="double">
        <color auto="1"/>
      </top>
      <bottom style="thin">
        <color auto="1"/>
      </bottom>
      <diagonal/>
    </border>
    <border>
      <left style="thin">
        <color auto="1"/>
      </left>
      <right style="dotted">
        <color auto="1"/>
      </right>
      <top style="double">
        <color auto="1"/>
      </top>
      <bottom style="thin">
        <color auto="1"/>
      </bottom>
      <diagonal/>
    </border>
    <border>
      <left style="thin">
        <color auto="1"/>
      </left>
      <right/>
      <top style="double">
        <color auto="1"/>
      </top>
      <bottom style="thin">
        <color auto="1"/>
      </bottom>
      <diagonal/>
    </border>
    <border>
      <left style="dotted">
        <color auto="1"/>
      </left>
      <right style="dotted">
        <color auto="1"/>
      </right>
      <top style="dotted">
        <color auto="1"/>
      </top>
      <bottom/>
      <diagonal/>
    </border>
    <border>
      <left style="dotted">
        <color auto="1"/>
      </left>
      <right style="dotted">
        <color auto="1"/>
      </right>
      <top style="dotted">
        <color auto="1"/>
      </top>
      <bottom style="dotted">
        <color auto="1"/>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thin">
        <color auto="1"/>
      </left>
      <right style="dotted">
        <color auto="1"/>
      </right>
      <top style="dotted">
        <color auto="1"/>
      </top>
      <bottom style="dotted">
        <color auto="1"/>
      </bottom>
      <diagonal/>
    </border>
    <border>
      <left style="thin">
        <color auto="1"/>
      </left>
      <right/>
      <top style="dotted">
        <color auto="1"/>
      </top>
      <bottom style="dotted">
        <color auto="1"/>
      </bottom>
      <diagonal/>
    </border>
    <border>
      <left style="dotted">
        <color auto="1"/>
      </left>
      <right style="dotted">
        <color auto="1"/>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dotted">
        <color auto="1"/>
      </right>
      <top style="dotted">
        <color auto="1"/>
      </top>
      <bottom/>
      <diagonal/>
    </border>
    <border>
      <left style="dotted">
        <color auto="1"/>
      </left>
      <right/>
      <top style="medium">
        <color auto="1"/>
      </top>
      <bottom style="dotted">
        <color auto="1"/>
      </bottom>
      <diagonal/>
    </border>
    <border>
      <left style="dotted">
        <color auto="1"/>
      </left>
      <right style="dotted">
        <color auto="1"/>
      </right>
      <top style="medium">
        <color auto="1"/>
      </top>
      <bottom style="dotted">
        <color auto="1"/>
      </bottom>
      <diagonal/>
    </border>
    <border>
      <left/>
      <right style="dotted">
        <color auto="1"/>
      </right>
      <top style="medium">
        <color auto="1"/>
      </top>
      <bottom style="dotted">
        <color auto="1"/>
      </bottom>
      <diagonal/>
    </border>
    <border>
      <left style="thin">
        <color auto="1"/>
      </left>
      <right style="dotted">
        <color auto="1"/>
      </right>
      <top style="medium">
        <color auto="1"/>
      </top>
      <bottom style="dotted">
        <color auto="1"/>
      </bottom>
      <diagonal/>
    </border>
    <border>
      <left style="thin">
        <color auto="1"/>
      </left>
      <right/>
      <top style="medium">
        <color auto="1"/>
      </top>
      <bottom style="dotted">
        <color auto="1"/>
      </bottom>
      <diagonal/>
    </border>
    <border>
      <left style="dotted">
        <color auto="1"/>
      </left>
      <right style="dotted">
        <color auto="1"/>
      </right>
      <top style="dotted">
        <color auto="1"/>
      </top>
      <bottom style="medium">
        <color auto="1"/>
      </bottom>
      <diagonal/>
    </border>
    <border>
      <left style="dotted">
        <color auto="1"/>
      </left>
      <right/>
      <top style="dotted">
        <color auto="1"/>
      </top>
      <bottom style="medium">
        <color auto="1"/>
      </bottom>
      <diagonal/>
    </border>
    <border>
      <left/>
      <right style="dotted">
        <color auto="1"/>
      </right>
      <top style="dotted">
        <color auto="1"/>
      </top>
      <bottom style="medium">
        <color auto="1"/>
      </bottom>
      <diagonal/>
    </border>
    <border>
      <left/>
      <right style="dotted">
        <color auto="1"/>
      </right>
      <top/>
      <bottom/>
      <diagonal/>
    </border>
    <border>
      <left style="thin">
        <color auto="1"/>
      </left>
      <right style="thin">
        <color auto="1"/>
      </right>
      <top style="thin">
        <color auto="1"/>
      </top>
      <bottom style="dotted">
        <color auto="1"/>
      </bottom>
      <diagonal/>
    </border>
    <border>
      <left style="thin">
        <color auto="1"/>
      </left>
      <right/>
      <top style="thin">
        <color auto="1"/>
      </top>
      <bottom style="medium">
        <color auto="1"/>
      </bottom>
      <diagonal/>
    </border>
    <border>
      <left style="thin">
        <color auto="1"/>
      </left>
      <right style="dotted">
        <color auto="1"/>
      </right>
      <top style="thin">
        <color auto="1"/>
      </top>
      <bottom style="medium">
        <color auto="1"/>
      </bottom>
      <diagonal/>
    </border>
    <border>
      <left style="dotted">
        <color auto="1"/>
      </left>
      <right style="dotted">
        <color auto="1"/>
      </right>
      <top style="thin">
        <color auto="1"/>
      </top>
      <bottom style="medium">
        <color auto="1"/>
      </bottom>
      <diagonal/>
    </border>
    <border>
      <left/>
      <right style="dotted">
        <color auto="1"/>
      </right>
      <top style="thin">
        <color auto="1"/>
      </top>
      <bottom style="medium">
        <color auto="1"/>
      </bottom>
      <diagonal/>
    </border>
    <border>
      <left style="dotted">
        <color auto="1"/>
      </left>
      <right style="double">
        <color auto="1"/>
      </right>
      <top style="thin">
        <color auto="1"/>
      </top>
      <bottom style="medium">
        <color auto="1"/>
      </bottom>
      <diagonal/>
    </border>
    <border>
      <left style="double">
        <color auto="1"/>
      </left>
      <right style="dotted">
        <color auto="1"/>
      </right>
      <top style="thin">
        <color auto="1"/>
      </top>
      <bottom style="medium">
        <color auto="1"/>
      </bottom>
      <diagonal/>
    </border>
    <border>
      <left style="dotted">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dotted">
        <color auto="1"/>
      </left>
      <right/>
      <top style="thin">
        <color auto="1"/>
      </top>
      <bottom style="medium">
        <color auto="1"/>
      </bottom>
      <diagonal/>
    </border>
    <border>
      <left style="double">
        <color auto="1"/>
      </left>
      <right style="medium">
        <color auto="1"/>
      </right>
      <top style="thin">
        <color auto="1"/>
      </top>
      <bottom style="medium">
        <color auto="1"/>
      </bottom>
      <diagonal/>
    </border>
    <border>
      <left style="medium">
        <color auto="1"/>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dotted">
        <color auto="1"/>
      </right>
      <top style="medium">
        <color auto="1"/>
      </top>
      <bottom/>
      <diagonal/>
    </border>
    <border diagonalUp="1">
      <left style="dotted">
        <color auto="1"/>
      </left>
      <right style="dotted">
        <color auto="1"/>
      </right>
      <top style="medium">
        <color auto="1"/>
      </top>
      <bottom/>
      <diagonal style="dotted">
        <color auto="1"/>
      </diagonal>
    </border>
    <border>
      <left style="dotted">
        <color auto="1"/>
      </left>
      <right style="double">
        <color auto="1"/>
      </right>
      <top style="medium">
        <color auto="1"/>
      </top>
      <bottom style="dotted">
        <color auto="1"/>
      </bottom>
      <diagonal/>
    </border>
    <border>
      <left style="double">
        <color auto="1"/>
      </left>
      <right style="dotted">
        <color auto="1"/>
      </right>
      <top style="medium">
        <color auto="1"/>
      </top>
      <bottom style="dotted">
        <color auto="1"/>
      </bottom>
      <diagonal/>
    </border>
    <border>
      <left style="dotted">
        <color auto="1"/>
      </left>
      <right style="medium">
        <color auto="1"/>
      </right>
      <top style="medium">
        <color auto="1"/>
      </top>
      <bottom style="dotted">
        <color auto="1"/>
      </bottom>
      <diagonal/>
    </border>
    <border>
      <left style="medium">
        <color auto="1"/>
      </left>
      <right style="thin">
        <color auto="1"/>
      </right>
      <top style="medium">
        <color auto="1"/>
      </top>
      <bottom style="dotted">
        <color auto="1"/>
      </bottom>
      <diagonal/>
    </border>
    <border>
      <left style="thin">
        <color auto="1"/>
      </left>
      <right style="thin">
        <color auto="1"/>
      </right>
      <top/>
      <bottom style="dotted">
        <color auto="1"/>
      </bottom>
      <diagonal/>
    </border>
    <border>
      <left style="double">
        <color auto="1"/>
      </left>
      <right style="medium">
        <color auto="1"/>
      </right>
      <top/>
      <bottom style="dotted">
        <color auto="1"/>
      </bottom>
      <diagonal/>
    </border>
    <border>
      <left style="medium">
        <color auto="1"/>
      </left>
      <right/>
      <top style="medium">
        <color auto="1"/>
      </top>
      <bottom style="dotted">
        <color auto="1"/>
      </bottom>
      <diagonal/>
    </border>
    <border>
      <left style="medium">
        <color auto="1"/>
      </left>
      <right style="dotted">
        <color auto="1"/>
      </right>
      <top style="medium">
        <color auto="1"/>
      </top>
      <bottom style="dotted">
        <color auto="1"/>
      </bottom>
      <diagonal/>
    </border>
    <border>
      <left style="medium">
        <color auto="1"/>
      </left>
      <right style="dotted">
        <color auto="1"/>
      </right>
      <top style="dotted">
        <color auto="1"/>
      </top>
      <bottom style="dotted">
        <color auto="1"/>
      </bottom>
      <diagonal/>
    </border>
    <border>
      <left style="medium">
        <color auto="1"/>
      </left>
      <right style="dotted">
        <color auto="1"/>
      </right>
      <top style="dotted">
        <color auto="1"/>
      </top>
      <bottom style="medium">
        <color auto="1"/>
      </bottom>
      <diagonal/>
    </border>
    <border>
      <left style="medium">
        <color theme="5" tint="-0.24994659260841701"/>
      </left>
      <right style="medium">
        <color theme="5" tint="-0.24994659260841701"/>
      </right>
      <top style="medium">
        <color theme="5" tint="-0.24994659260841701"/>
      </top>
      <bottom style="medium">
        <color theme="5" tint="-0.24994659260841701"/>
      </bottom>
      <diagonal/>
    </border>
    <border>
      <left style="dotted">
        <color auto="1"/>
      </left>
      <right style="double">
        <color auto="1"/>
      </right>
      <top style="dotted">
        <color auto="1"/>
      </top>
      <bottom style="dotted">
        <color auto="1"/>
      </bottom>
      <diagonal/>
    </border>
    <border>
      <left style="double">
        <color auto="1"/>
      </left>
      <right style="dotted">
        <color auto="1"/>
      </right>
      <top style="dotted">
        <color auto="1"/>
      </top>
      <bottom style="dotted">
        <color auto="1"/>
      </bottom>
      <diagonal/>
    </border>
    <border>
      <left style="dotted">
        <color auto="1"/>
      </left>
      <right style="medium">
        <color auto="1"/>
      </right>
      <top style="dotted">
        <color auto="1"/>
      </top>
      <bottom style="dotted">
        <color auto="1"/>
      </bottom>
      <diagonal/>
    </border>
    <border>
      <left style="medium">
        <color auto="1"/>
      </left>
      <right style="thin">
        <color auto="1"/>
      </right>
      <top style="dotted">
        <color auto="1"/>
      </top>
      <bottom style="dotted">
        <color auto="1"/>
      </bottom>
      <diagonal/>
    </border>
    <border>
      <left style="thin">
        <color auto="1"/>
      </left>
      <right style="thin">
        <color auto="1"/>
      </right>
      <top style="dotted">
        <color auto="1"/>
      </top>
      <bottom style="dotted">
        <color auto="1"/>
      </bottom>
      <diagonal/>
    </border>
    <border>
      <left style="double">
        <color auto="1"/>
      </left>
      <right style="medium">
        <color auto="1"/>
      </right>
      <top style="dotted">
        <color auto="1"/>
      </top>
      <bottom style="dotted">
        <color auto="1"/>
      </bottom>
      <diagonal/>
    </border>
    <border>
      <left style="medium">
        <color auto="1"/>
      </left>
      <right/>
      <top style="dotted">
        <color auto="1"/>
      </top>
      <bottom style="dotted">
        <color auto="1"/>
      </bottom>
      <diagonal/>
    </border>
    <border diagonalUp="1">
      <left style="dotted">
        <color auto="1"/>
      </left>
      <right style="dotted">
        <color auto="1"/>
      </right>
      <top/>
      <bottom/>
      <diagonal style="dotted">
        <color auto="1"/>
      </diagonal>
    </border>
    <border>
      <left style="thin">
        <color auto="1"/>
      </left>
      <right style="thin">
        <color auto="1"/>
      </right>
      <top style="dotted">
        <color auto="1"/>
      </top>
      <bottom style="thin">
        <color auto="1"/>
      </bottom>
      <diagonal/>
    </border>
    <border>
      <left/>
      <right style="dotted">
        <color auto="1"/>
      </right>
      <top style="dotted">
        <color auto="1"/>
      </top>
      <bottom style="thin">
        <color auto="1"/>
      </bottom>
      <diagonal/>
    </border>
    <border>
      <left style="dotted">
        <color auto="1"/>
      </left>
      <right style="dotted">
        <color auto="1"/>
      </right>
      <top style="dotted">
        <color auto="1"/>
      </top>
      <bottom style="thin">
        <color auto="1"/>
      </bottom>
      <diagonal/>
    </border>
    <border>
      <left style="dotted">
        <color auto="1"/>
      </left>
      <right/>
      <top style="dotted">
        <color auto="1"/>
      </top>
      <bottom style="thin">
        <color auto="1"/>
      </bottom>
      <diagonal/>
    </border>
    <border>
      <left style="double">
        <color auto="1"/>
      </left>
      <right style="medium">
        <color auto="1"/>
      </right>
      <top style="dotted">
        <color auto="1"/>
      </top>
      <bottom style="thin">
        <color auto="1"/>
      </bottom>
      <diagonal/>
    </border>
    <border>
      <left style="medium">
        <color auto="1"/>
      </left>
      <right/>
      <top style="dotted">
        <color auto="1"/>
      </top>
      <bottom style="thin">
        <color auto="1"/>
      </bottom>
      <diagonal/>
    </border>
    <border diagonalUp="1">
      <left style="dotted">
        <color auto="1"/>
      </left>
      <right style="dotted">
        <color auto="1"/>
      </right>
      <top/>
      <bottom style="dotted">
        <color auto="1"/>
      </bottom>
      <diagonal style="dotted">
        <color auto="1"/>
      </diagonal>
    </border>
    <border diagonalUp="1">
      <left style="dotted">
        <color auto="1"/>
      </left>
      <right style="dotted">
        <color auto="1"/>
      </right>
      <top style="dotted">
        <color auto="1"/>
      </top>
      <bottom style="dotted">
        <color auto="1"/>
      </bottom>
      <diagonal style="dotted">
        <color auto="1"/>
      </diagonal>
    </border>
    <border diagonalUp="1">
      <left style="dotted">
        <color auto="1"/>
      </left>
      <right style="dotted">
        <color auto="1"/>
      </right>
      <top style="dotted">
        <color auto="1"/>
      </top>
      <bottom/>
      <diagonal style="dotted">
        <color auto="1"/>
      </diagonal>
    </border>
    <border>
      <left/>
      <right style="thin">
        <color auto="1"/>
      </right>
      <top/>
      <bottom/>
      <diagonal/>
    </border>
    <border>
      <left/>
      <right style="dotted">
        <color auto="1"/>
      </right>
      <top style="thin">
        <color auto="1"/>
      </top>
      <bottom style="dotted">
        <color auto="1"/>
      </bottom>
      <diagonal/>
    </border>
    <border>
      <left style="dotted">
        <color auto="1"/>
      </left>
      <right style="dotted">
        <color auto="1"/>
      </right>
      <top style="thin">
        <color auto="1"/>
      </top>
      <bottom style="dotted">
        <color auto="1"/>
      </bottom>
      <diagonal/>
    </border>
    <border>
      <left style="dotted">
        <color auto="1"/>
      </left>
      <right/>
      <top style="thin">
        <color auto="1"/>
      </top>
      <bottom style="dotted">
        <color auto="1"/>
      </bottom>
      <diagonal/>
    </border>
    <border>
      <left style="double">
        <color auto="1"/>
      </left>
      <right style="medium">
        <color auto="1"/>
      </right>
      <top style="thin">
        <color auto="1"/>
      </top>
      <bottom style="dotted">
        <color auto="1"/>
      </bottom>
      <diagonal/>
    </border>
    <border>
      <left style="medium">
        <color auto="1"/>
      </left>
      <right/>
      <top style="thin">
        <color auto="1"/>
      </top>
      <bottom style="dotted">
        <color auto="1"/>
      </bottom>
      <diagonal/>
    </border>
    <border>
      <left style="thin">
        <color auto="1"/>
      </left>
      <right style="thin">
        <color auto="1"/>
      </right>
      <top style="dotted">
        <color auto="1"/>
      </top>
      <bottom style="medium">
        <color auto="1"/>
      </bottom>
      <diagonal/>
    </border>
    <border>
      <left style="double">
        <color auto="1"/>
      </left>
      <right style="medium">
        <color auto="1"/>
      </right>
      <top style="dotted">
        <color auto="1"/>
      </top>
      <bottom style="medium">
        <color auto="1"/>
      </bottom>
      <diagonal/>
    </border>
    <border>
      <left style="medium">
        <color auto="1"/>
      </left>
      <right/>
      <top style="dotted">
        <color auto="1"/>
      </top>
      <bottom style="medium">
        <color auto="1"/>
      </bottom>
      <diagonal/>
    </border>
    <border diagonalUp="1">
      <left/>
      <right style="dotted">
        <color auto="1"/>
      </right>
      <top/>
      <bottom style="dotted">
        <color auto="1"/>
      </bottom>
      <diagonal style="dotted">
        <color auto="1"/>
      </diagonal>
    </border>
    <border diagonalUp="1">
      <left/>
      <right style="dotted">
        <color auto="1"/>
      </right>
      <top style="dotted">
        <color auto="1"/>
      </top>
      <bottom style="dotted">
        <color auto="1"/>
      </bottom>
      <diagonal style="dotted">
        <color auto="1"/>
      </diagonal>
    </border>
    <border>
      <left style="dotted">
        <color auto="1"/>
      </left>
      <right style="dotted">
        <color auto="1"/>
      </right>
      <top style="mediumDashed">
        <color rgb="FF00B050"/>
      </top>
      <bottom style="dotted">
        <color auto="1"/>
      </bottom>
      <diagonal/>
    </border>
    <border>
      <left style="medium">
        <color theme="5" tint="-0.24994659260841701"/>
      </left>
      <right style="medium">
        <color theme="5" tint="-0.24994659260841701"/>
      </right>
      <top style="mediumDashed">
        <color rgb="FF00B050"/>
      </top>
      <bottom style="medium">
        <color theme="5" tint="-0.24994659260841701"/>
      </bottom>
      <diagonal/>
    </border>
    <border>
      <left/>
      <right style="dotted">
        <color auto="1"/>
      </right>
      <top style="mediumDashed">
        <color rgb="FF00B050"/>
      </top>
      <bottom style="dotted">
        <color auto="1"/>
      </bottom>
      <diagonal/>
    </border>
    <border>
      <left style="dotted">
        <color auto="1"/>
      </left>
      <right style="dotted">
        <color auto="1"/>
      </right>
      <top style="dotted">
        <color auto="1"/>
      </top>
      <bottom style="mediumDashed">
        <color rgb="FF00B050"/>
      </bottom>
      <diagonal/>
    </border>
    <border diagonalUp="1">
      <left/>
      <right style="dotted">
        <color auto="1"/>
      </right>
      <top/>
      <bottom style="mediumDashed">
        <color rgb="FF00B050"/>
      </bottom>
      <diagonal style="dotted">
        <color auto="1"/>
      </diagonal>
    </border>
    <border diagonalUp="1">
      <left/>
      <right style="dotted">
        <color auto="1"/>
      </right>
      <top style="dotted">
        <color auto="1"/>
      </top>
      <bottom style="mediumDashed">
        <color rgb="FF00B050"/>
      </bottom>
      <diagonal style="dotted">
        <color auto="1"/>
      </diagonal>
    </border>
    <border>
      <left style="medium">
        <color theme="5" tint="-0.24994659260841701"/>
      </left>
      <right style="medium">
        <color theme="5" tint="-0.24994659260841701"/>
      </right>
      <top/>
      <bottom style="medium">
        <color theme="5" tint="-0.24994659260841701"/>
      </bottom>
      <diagonal/>
    </border>
    <border>
      <left style="medium">
        <color theme="5" tint="-0.24994659260841701"/>
      </left>
      <right style="medium">
        <color theme="5" tint="-0.24994659260841701"/>
      </right>
      <top style="medium">
        <color theme="5" tint="-0.24994659260841701"/>
      </top>
      <bottom style="mediumDashed">
        <color rgb="FF00B050"/>
      </bottom>
      <diagonal/>
    </border>
    <border>
      <left/>
      <right style="dotted">
        <color auto="1"/>
      </right>
      <top style="dotted">
        <color auto="1"/>
      </top>
      <bottom style="mediumDashed">
        <color rgb="FF00B050"/>
      </bottom>
      <diagonal/>
    </border>
    <border>
      <left style="dotted">
        <color auto="1"/>
      </left>
      <right style="medium">
        <color auto="1"/>
      </right>
      <top style="dotted">
        <color auto="1"/>
      </top>
      <bottom style="medium">
        <color auto="1"/>
      </bottom>
      <diagonal/>
    </border>
    <border>
      <left style="dotted">
        <color auto="1"/>
      </left>
      <right style="double">
        <color auto="1"/>
      </right>
      <top style="double">
        <color auto="1"/>
      </top>
      <bottom style="thin">
        <color auto="1"/>
      </bottom>
      <diagonal/>
    </border>
    <border>
      <left style="double">
        <color auto="1"/>
      </left>
      <right style="dotted">
        <color auto="1"/>
      </right>
      <top style="double">
        <color auto="1"/>
      </top>
      <bottom style="thin">
        <color auto="1"/>
      </bottom>
      <diagonal/>
    </border>
    <border diagonalUp="1">
      <left style="dotted">
        <color auto="1"/>
      </left>
      <right style="medium">
        <color auto="1"/>
      </right>
      <top style="double">
        <color auto="1"/>
      </top>
      <bottom style="thin">
        <color auto="1"/>
      </bottom>
      <diagonal style="thin">
        <color auto="1"/>
      </diagonal>
    </border>
    <border>
      <left style="medium">
        <color auto="1"/>
      </left>
      <right style="thin">
        <color auto="1"/>
      </right>
      <top style="double">
        <color auto="1"/>
      </top>
      <bottom style="thin">
        <color auto="1"/>
      </bottom>
      <diagonal/>
    </border>
    <border>
      <left style="thin">
        <color auto="1"/>
      </left>
      <right style="thin">
        <color auto="1"/>
      </right>
      <top style="thin">
        <color auto="1"/>
      </top>
      <bottom style="thin">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thin">
        <color auto="1"/>
      </right>
      <top/>
      <bottom style="hair">
        <color auto="1"/>
      </bottom>
      <diagonal/>
    </border>
    <border>
      <left style="thin">
        <color auto="1"/>
      </left>
      <right style="hair">
        <color auto="1"/>
      </right>
      <top/>
      <bottom style="thin">
        <color auto="1"/>
      </bottom>
      <diagonal/>
    </border>
    <border>
      <left style="hair">
        <color auto="1"/>
      </left>
      <right style="hair">
        <color auto="1"/>
      </right>
      <top/>
      <bottom style="thin">
        <color auto="1"/>
      </bottom>
      <diagonal/>
    </border>
    <border>
      <left style="hair">
        <color auto="1"/>
      </left>
      <right style="thin">
        <color auto="1"/>
      </right>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right style="thin">
        <color auto="1"/>
      </right>
      <top style="thin">
        <color auto="1"/>
      </top>
      <bottom style="thin">
        <color auto="1"/>
      </bottom>
      <diagonal/>
    </border>
    <border>
      <left style="hair">
        <color auto="1"/>
      </left>
      <right/>
      <top style="thin">
        <color auto="1"/>
      </top>
      <bottom style="hair">
        <color auto="1"/>
      </bottom>
      <diagonal/>
    </border>
    <border>
      <left style="hair">
        <color auto="1"/>
      </left>
      <right/>
      <top style="hair">
        <color auto="1"/>
      </top>
      <bottom style="thin">
        <color auto="1"/>
      </bottom>
      <diagonal/>
    </border>
    <border>
      <left/>
      <right style="hair">
        <color auto="1"/>
      </right>
      <top style="thin">
        <color auto="1"/>
      </top>
      <bottom style="hair">
        <color auto="1"/>
      </bottom>
      <diagonal/>
    </border>
    <border>
      <left/>
      <right style="hair">
        <color auto="1"/>
      </right>
      <top style="hair">
        <color auto="1"/>
      </top>
      <bottom style="thin">
        <color auto="1"/>
      </bottom>
      <diagonal/>
    </border>
    <border>
      <left style="thin">
        <color auto="1"/>
      </left>
      <right style="thin">
        <color auto="1"/>
      </right>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thin">
        <color auto="1"/>
      </left>
      <right style="thin">
        <color auto="1"/>
      </right>
      <top/>
      <bottom style="thin">
        <color auto="1"/>
      </bottom>
      <diagonal/>
    </border>
    <border>
      <left style="thin">
        <color auto="1"/>
      </left>
      <right style="hair">
        <color auto="1"/>
      </right>
      <top style="thin">
        <color auto="1"/>
      </top>
      <bottom/>
      <diagonal/>
    </border>
    <border>
      <left style="hair">
        <color auto="1"/>
      </left>
      <right style="hair">
        <color auto="1"/>
      </right>
      <top style="thin">
        <color auto="1"/>
      </top>
      <bottom/>
      <diagonal/>
    </border>
    <border>
      <left style="hair">
        <color auto="1"/>
      </left>
      <right/>
      <top style="thin">
        <color auto="1"/>
      </top>
      <bottom/>
      <diagonal/>
    </border>
    <border>
      <left/>
      <right style="hair">
        <color auto="1"/>
      </right>
      <top style="thin">
        <color auto="1"/>
      </top>
      <bottom/>
      <diagonal/>
    </border>
    <border>
      <left/>
      <right style="hair">
        <color auto="1"/>
      </right>
      <top/>
      <bottom style="thin">
        <color auto="1"/>
      </bottom>
      <diagonal/>
    </border>
    <border>
      <left/>
      <right style="hair">
        <color auto="1"/>
      </right>
      <top/>
      <bottom style="hair">
        <color auto="1"/>
      </bottom>
      <diagonal/>
    </border>
    <border>
      <left style="hair">
        <color auto="1"/>
      </left>
      <right/>
      <top/>
      <bottom style="hair">
        <color auto="1"/>
      </bottom>
      <diagonal/>
    </border>
    <border>
      <left style="hair">
        <color auto="1"/>
      </left>
      <right/>
      <top style="thin">
        <color auto="1"/>
      </top>
      <bottom style="thin">
        <color auto="1"/>
      </bottom>
      <diagonal/>
    </border>
    <border>
      <left/>
      <right style="hair">
        <color auto="1"/>
      </right>
      <top style="thin">
        <color auto="1"/>
      </top>
      <bottom style="thin">
        <color auto="1"/>
      </bottom>
      <diagonal/>
    </border>
    <border>
      <left style="thin">
        <color auto="1"/>
      </left>
      <right style="hair">
        <color auto="1"/>
      </right>
      <top/>
      <bottom/>
      <diagonal/>
    </border>
    <border>
      <left style="hair">
        <color auto="1"/>
      </left>
      <right style="hair">
        <color auto="1"/>
      </right>
      <top/>
      <bottom/>
      <diagonal/>
    </border>
    <border>
      <left style="hair">
        <color auto="1"/>
      </left>
      <right/>
      <top/>
      <bottom/>
      <diagonal/>
    </border>
    <border>
      <left style="hair">
        <color auto="1"/>
      </left>
      <right style="thin">
        <color auto="1"/>
      </right>
      <top/>
      <bottom/>
      <diagonal/>
    </border>
    <border>
      <left/>
      <right style="hair">
        <color auto="1"/>
      </right>
      <top/>
      <bottom/>
      <diagonal/>
    </border>
    <border>
      <left style="hair">
        <color auto="1"/>
      </left>
      <right/>
      <top/>
      <bottom style="thin">
        <color auto="1"/>
      </bottom>
      <diagonal/>
    </border>
    <border>
      <left/>
      <right/>
      <top style="thin">
        <color auto="1"/>
      </top>
      <bottom/>
      <diagonal/>
    </border>
    <border>
      <left style="thin">
        <color auto="1"/>
      </left>
      <right/>
      <top style="thin">
        <color auto="1"/>
      </top>
      <bottom style="thin">
        <color auto="1"/>
      </bottom>
      <diagonal/>
    </border>
    <border>
      <left style="thin">
        <color auto="1"/>
      </left>
      <right style="hair">
        <color auto="1"/>
      </right>
      <top style="hair">
        <color auto="1"/>
      </top>
      <bottom/>
      <diagonal/>
    </border>
    <border>
      <left style="hair">
        <color auto="1"/>
      </left>
      <right/>
      <top style="hair">
        <color auto="1"/>
      </top>
      <bottom/>
      <diagonal/>
    </border>
    <border>
      <left style="hair">
        <color auto="1"/>
      </left>
      <right style="hair">
        <color auto="1"/>
      </right>
      <top style="hair">
        <color auto="1"/>
      </top>
      <bottom/>
      <diagonal/>
    </border>
    <border>
      <left style="hair">
        <color auto="1"/>
      </left>
      <right style="thin">
        <color auto="1"/>
      </right>
      <top style="hair">
        <color auto="1"/>
      </top>
      <bottom/>
      <diagonal/>
    </border>
    <border>
      <left/>
      <right style="hair">
        <color auto="1"/>
      </right>
      <top style="hair">
        <color auto="1"/>
      </top>
      <bottom/>
      <diagonal/>
    </border>
    <border>
      <left style="thin">
        <color auto="1"/>
      </left>
      <right style="thin">
        <color auto="1"/>
      </right>
      <top style="thin">
        <color auto="1"/>
      </top>
      <bottom style="hair">
        <color auto="1"/>
      </bottom>
      <diagonal/>
    </border>
    <border>
      <left/>
      <right/>
      <top style="thin">
        <color auto="1"/>
      </top>
      <bottom style="thin">
        <color auto="1"/>
      </bottom>
      <diagonal/>
    </border>
    <border>
      <left style="thin">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thin">
        <color auto="1"/>
      </right>
      <top style="hair">
        <color auto="1"/>
      </top>
      <bottom style="medium">
        <color auto="1"/>
      </bottom>
      <diagonal/>
    </border>
    <border>
      <left/>
      <right style="hair">
        <color auto="1"/>
      </right>
      <top style="hair">
        <color auto="1"/>
      </top>
      <bottom style="medium">
        <color auto="1"/>
      </bottom>
      <diagonal/>
    </border>
    <border>
      <left style="thin">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thin">
        <color auto="1"/>
      </right>
      <top style="medium">
        <color auto="1"/>
      </top>
      <bottom style="hair">
        <color auto="1"/>
      </bottom>
      <diagonal/>
    </border>
    <border>
      <left/>
      <right style="hair">
        <color auto="1"/>
      </right>
      <top style="medium">
        <color auto="1"/>
      </top>
      <bottom style="hair">
        <color auto="1"/>
      </bottom>
      <diagonal/>
    </border>
    <border diagonalUp="1">
      <left style="thin">
        <color auto="1"/>
      </left>
      <right style="hair">
        <color auto="1"/>
      </right>
      <top style="thin">
        <color auto="1"/>
      </top>
      <bottom style="hair">
        <color auto="1"/>
      </bottom>
      <diagonal style="hair">
        <color auto="1"/>
      </diagonal>
    </border>
    <border diagonalUp="1">
      <left style="hair">
        <color auto="1"/>
      </left>
      <right style="hair">
        <color auto="1"/>
      </right>
      <top style="thin">
        <color auto="1"/>
      </top>
      <bottom style="hair">
        <color auto="1"/>
      </bottom>
      <diagonal style="hair">
        <color auto="1"/>
      </diagonal>
    </border>
    <border diagonalUp="1">
      <left style="hair">
        <color auto="1"/>
      </left>
      <right style="thin">
        <color auto="1"/>
      </right>
      <top style="thin">
        <color auto="1"/>
      </top>
      <bottom style="hair">
        <color auto="1"/>
      </bottom>
      <diagonal style="hair">
        <color auto="1"/>
      </diagonal>
    </border>
    <border diagonalUp="1">
      <left style="thin">
        <color auto="1"/>
      </left>
      <right style="hair">
        <color auto="1"/>
      </right>
      <top style="hair">
        <color auto="1"/>
      </top>
      <bottom style="thin">
        <color auto="1"/>
      </bottom>
      <diagonal style="hair">
        <color auto="1"/>
      </diagonal>
    </border>
    <border diagonalUp="1">
      <left style="hair">
        <color auto="1"/>
      </left>
      <right style="hair">
        <color auto="1"/>
      </right>
      <top style="hair">
        <color auto="1"/>
      </top>
      <bottom style="thin">
        <color auto="1"/>
      </bottom>
      <diagonal style="hair">
        <color auto="1"/>
      </diagonal>
    </border>
    <border diagonalUp="1">
      <left style="hair">
        <color auto="1"/>
      </left>
      <right style="thin">
        <color auto="1"/>
      </right>
      <top style="hair">
        <color auto="1"/>
      </top>
      <bottom style="thin">
        <color auto="1"/>
      </bottom>
      <diagonal style="hair">
        <color auto="1"/>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hair">
        <color auto="1"/>
      </right>
      <top style="double">
        <color auto="1"/>
      </top>
      <bottom style="thin">
        <color auto="1"/>
      </bottom>
      <diagonal/>
    </border>
    <border>
      <left style="hair">
        <color auto="1"/>
      </left>
      <right style="hair">
        <color auto="1"/>
      </right>
      <top style="double">
        <color auto="1"/>
      </top>
      <bottom style="thin">
        <color auto="1"/>
      </bottom>
      <diagonal/>
    </border>
    <border>
      <left style="hair">
        <color auto="1"/>
      </left>
      <right/>
      <top style="double">
        <color auto="1"/>
      </top>
      <bottom style="thin">
        <color auto="1"/>
      </bottom>
      <diagonal/>
    </border>
    <border>
      <left style="hair">
        <color auto="1"/>
      </left>
      <right style="thin">
        <color auto="1"/>
      </right>
      <top style="double">
        <color auto="1"/>
      </top>
      <bottom style="thin">
        <color auto="1"/>
      </bottom>
      <diagonal/>
    </border>
    <border>
      <left style="thin">
        <color auto="1"/>
      </left>
      <right style="hair">
        <color auto="1"/>
      </right>
      <top style="double">
        <color auto="1"/>
      </top>
      <bottom/>
      <diagonal/>
    </border>
    <border>
      <left style="hair">
        <color auto="1"/>
      </left>
      <right/>
      <top style="double">
        <color auto="1"/>
      </top>
      <bottom/>
      <diagonal/>
    </border>
    <border>
      <left style="hair">
        <color auto="1"/>
      </left>
      <right style="hair">
        <color auto="1"/>
      </right>
      <top style="double">
        <color auto="1"/>
      </top>
      <bottom/>
      <diagonal/>
    </border>
    <border>
      <left style="hair">
        <color auto="1"/>
      </left>
      <right style="thin">
        <color auto="1"/>
      </right>
      <top style="double">
        <color auto="1"/>
      </top>
      <bottom/>
      <diagonal/>
    </border>
    <border>
      <left/>
      <right style="hair">
        <color auto="1"/>
      </right>
      <top style="double">
        <color auto="1"/>
      </top>
      <bottom/>
      <diagonal/>
    </border>
    <border>
      <left style="hair">
        <color auto="1"/>
      </left>
      <right/>
      <top style="medium">
        <color auto="1"/>
      </top>
      <bottom style="hair">
        <color auto="1"/>
      </bottom>
      <diagonal/>
    </border>
    <border>
      <left style="thin">
        <color auto="1"/>
      </left>
      <right/>
      <top style="hair">
        <color auto="1"/>
      </top>
      <bottom style="hair">
        <color auto="1"/>
      </bottom>
      <diagonal/>
    </border>
    <border>
      <left style="thick">
        <color rgb="FFFFFF00"/>
      </left>
      <right/>
      <top style="thick">
        <color rgb="FFFFFF00"/>
      </top>
      <bottom style="thick">
        <color rgb="FFFFFF00"/>
      </bottom>
      <diagonal/>
    </border>
    <border>
      <left/>
      <right style="thick">
        <color rgb="FFFFFF00"/>
      </right>
      <top style="thick">
        <color rgb="FFFFFF00"/>
      </top>
      <bottom style="thick">
        <color rgb="FFFFFF00"/>
      </bottom>
      <diagonal/>
    </border>
    <border>
      <left/>
      <right/>
      <top style="thick">
        <color rgb="FFFFFF00"/>
      </top>
      <bottom style="thick">
        <color rgb="FFFFFF00"/>
      </bottom>
      <diagonal/>
    </border>
    <border>
      <left style="thin">
        <color auto="1"/>
      </left>
      <right/>
      <top style="thin">
        <color auto="1"/>
      </top>
      <bottom style="hair">
        <color auto="1"/>
      </bottom>
      <diagonal/>
    </border>
    <border>
      <left/>
      <right/>
      <top style="thin">
        <color auto="1"/>
      </top>
      <bottom style="hair">
        <color auto="1"/>
      </bottom>
      <diagonal/>
    </border>
    <border>
      <left/>
      <right/>
      <top style="hair">
        <color auto="1"/>
      </top>
      <bottom style="hair">
        <color auto="1"/>
      </bottom>
      <diagonal/>
    </border>
    <border>
      <left style="thin">
        <color auto="1"/>
      </left>
      <right/>
      <top style="hair">
        <color auto="1"/>
      </top>
      <bottom style="thin">
        <color auto="1"/>
      </bottom>
      <diagonal/>
    </border>
    <border>
      <left/>
      <right/>
      <top style="hair">
        <color auto="1"/>
      </top>
      <bottom style="thin">
        <color auto="1"/>
      </bottom>
      <diagonal/>
    </border>
    <border>
      <left style="thin">
        <color auto="1"/>
      </left>
      <right style="thin">
        <color auto="1"/>
      </right>
      <top style="double">
        <color auto="1"/>
      </top>
      <bottom style="thin">
        <color auto="1"/>
      </bottom>
      <diagonal/>
    </border>
    <border>
      <left style="thin">
        <color auto="1"/>
      </left>
      <right/>
      <top style="hair">
        <color auto="1"/>
      </top>
      <bottom/>
      <diagonal/>
    </border>
    <border>
      <left/>
      <right/>
      <top style="hair">
        <color auto="1"/>
      </top>
      <bottom/>
      <diagonal/>
    </border>
    <border>
      <left style="thin">
        <color auto="1"/>
      </left>
      <right style="thin">
        <color auto="1"/>
      </right>
      <top style="hair">
        <color auto="1"/>
      </top>
      <bottom/>
      <diagonal/>
    </border>
    <border>
      <left/>
      <right/>
      <top style="double">
        <color auto="1"/>
      </top>
      <bottom style="thin">
        <color auto="1"/>
      </bottom>
      <diagonal/>
    </border>
    <border>
      <left/>
      <right style="hair">
        <color auto="1"/>
      </right>
      <top style="double">
        <color auto="1"/>
      </top>
      <bottom style="thin">
        <color auto="1"/>
      </bottom>
      <diagonal/>
    </border>
    <border>
      <left/>
      <right style="thin">
        <color auto="1"/>
      </right>
      <top style="hair">
        <color auto="1"/>
      </top>
      <bottom style="hair">
        <color auto="1"/>
      </bottom>
      <diagonal/>
    </border>
    <border>
      <left/>
      <right style="thin">
        <color auto="1"/>
      </right>
      <top style="thin">
        <color auto="1"/>
      </top>
      <bottom style="hair">
        <color auto="1"/>
      </bottom>
      <diagonal/>
    </border>
    <border>
      <left style="thin">
        <color auto="1"/>
      </left>
      <right/>
      <top style="hair">
        <color auto="1"/>
      </top>
      <bottom style="double">
        <color auto="1"/>
      </bottom>
      <diagonal/>
    </border>
    <border>
      <left/>
      <right style="hair">
        <color auto="1"/>
      </right>
      <top style="hair">
        <color auto="1"/>
      </top>
      <bottom style="double">
        <color auto="1"/>
      </bottom>
      <diagonal/>
    </border>
    <border>
      <left style="hair">
        <color auto="1"/>
      </left>
      <right/>
      <top style="hair">
        <color auto="1"/>
      </top>
      <bottom style="double">
        <color auto="1"/>
      </bottom>
      <diagonal/>
    </border>
    <border>
      <left/>
      <right style="thin">
        <color auto="1"/>
      </right>
      <top style="hair">
        <color auto="1"/>
      </top>
      <bottom style="double">
        <color auto="1"/>
      </bottom>
      <diagonal/>
    </border>
    <border>
      <left style="hair">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top style="double">
        <color auto="1"/>
      </top>
      <bottom style="medium">
        <color auto="1"/>
      </bottom>
      <diagonal/>
    </border>
    <border>
      <left/>
      <right style="hair">
        <color auto="1"/>
      </right>
      <top style="double">
        <color auto="1"/>
      </top>
      <bottom style="medium">
        <color auto="1"/>
      </bottom>
      <diagonal/>
    </border>
    <border>
      <left style="thin">
        <color auto="1"/>
      </left>
      <right/>
      <top style="medium">
        <color auto="1"/>
      </top>
      <bottom style="hair">
        <color auto="1"/>
      </bottom>
      <diagonal/>
    </border>
    <border>
      <left/>
      <right/>
      <top style="medium">
        <color auto="1"/>
      </top>
      <bottom style="hair">
        <color auto="1"/>
      </bottom>
      <diagonal/>
    </border>
    <border>
      <left/>
      <right style="thin">
        <color auto="1"/>
      </right>
      <top style="medium">
        <color auto="1"/>
      </top>
      <bottom style="hair">
        <color auto="1"/>
      </bottom>
      <diagonal/>
    </border>
    <border>
      <left/>
      <right style="thin">
        <color auto="1"/>
      </right>
      <top style="hair">
        <color auto="1"/>
      </top>
      <bottom style="thin">
        <color auto="1"/>
      </bottom>
      <diagonal/>
    </border>
    <border>
      <left style="thin">
        <color auto="1"/>
      </left>
      <right/>
      <top style="hair">
        <color auto="1"/>
      </top>
      <bottom style="medium">
        <color auto="1"/>
      </bottom>
      <diagonal/>
    </border>
    <border>
      <left/>
      <right/>
      <top style="hair">
        <color auto="1"/>
      </top>
      <bottom style="medium">
        <color auto="1"/>
      </bottom>
      <diagonal/>
    </border>
    <border>
      <left style="medium">
        <color indexed="64"/>
      </left>
      <right/>
      <top style="medium">
        <color indexed="64"/>
      </top>
      <bottom style="hair">
        <color auto="1"/>
      </bottom>
      <diagonal/>
    </border>
    <border>
      <left style="thin">
        <color auto="1"/>
      </left>
      <right style="thin">
        <color auto="1"/>
      </right>
      <top style="medium">
        <color indexed="64"/>
      </top>
      <bottom style="hair">
        <color auto="1"/>
      </bottom>
      <diagonal/>
    </border>
    <border>
      <left style="thin">
        <color auto="1"/>
      </left>
      <right style="medium">
        <color indexed="64"/>
      </right>
      <top style="medium">
        <color indexed="64"/>
      </top>
      <bottom style="hair">
        <color auto="1"/>
      </bottom>
      <diagonal/>
    </border>
    <border>
      <left style="medium">
        <color indexed="64"/>
      </left>
      <right/>
      <top style="hair">
        <color auto="1"/>
      </top>
      <bottom style="medium">
        <color indexed="64"/>
      </bottom>
      <diagonal/>
    </border>
    <border>
      <left style="thin">
        <color auto="1"/>
      </left>
      <right style="thin">
        <color auto="1"/>
      </right>
      <top style="hair">
        <color auto="1"/>
      </top>
      <bottom style="medium">
        <color indexed="64"/>
      </bottom>
      <diagonal/>
    </border>
    <border>
      <left style="thin">
        <color auto="1"/>
      </left>
      <right style="medium">
        <color indexed="64"/>
      </right>
      <top style="hair">
        <color auto="1"/>
      </top>
      <bottom style="medium">
        <color indexed="64"/>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hair">
        <color auto="1"/>
      </top>
      <bottom style="hair">
        <color auto="1"/>
      </bottom>
      <diagonal/>
    </border>
    <border>
      <left style="thin">
        <color auto="1"/>
      </left>
      <right style="medium">
        <color indexed="64"/>
      </right>
      <top style="hair">
        <color auto="1"/>
      </top>
      <bottom style="hair">
        <color auto="1"/>
      </bottom>
      <diagonal/>
    </border>
    <border>
      <left style="medium">
        <color indexed="64"/>
      </left>
      <right/>
      <top style="medium">
        <color indexed="64"/>
      </top>
      <bottom/>
      <diagonal/>
    </border>
    <border>
      <left/>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right style="medium">
        <color indexed="64"/>
      </right>
      <top style="medium">
        <color indexed="64"/>
      </top>
      <bottom/>
      <diagonal/>
    </border>
    <border>
      <left/>
      <right style="thin">
        <color auto="1"/>
      </right>
      <top style="hair">
        <color auto="1"/>
      </top>
      <bottom style="medium">
        <color indexed="64"/>
      </bottom>
      <diagonal/>
    </border>
    <border>
      <left/>
      <right style="thin">
        <color auto="1"/>
      </right>
      <top style="medium">
        <color indexed="64"/>
      </top>
      <bottom style="thin">
        <color auto="1"/>
      </bottom>
      <diagonal/>
    </border>
    <border>
      <left/>
      <right style="medium">
        <color indexed="64"/>
      </right>
      <top style="medium">
        <color auto="1"/>
      </top>
      <bottom style="hair">
        <color auto="1"/>
      </bottom>
      <diagonal/>
    </border>
    <border>
      <left/>
      <right style="medium">
        <color indexed="64"/>
      </right>
      <top style="hair">
        <color auto="1"/>
      </top>
      <bottom style="hair">
        <color auto="1"/>
      </bottom>
      <diagonal/>
    </border>
    <border>
      <left/>
      <right style="medium">
        <color indexed="64"/>
      </right>
      <top style="hair">
        <color auto="1"/>
      </top>
      <bottom style="medium">
        <color auto="1"/>
      </bottom>
      <diagonal/>
    </border>
    <border>
      <left style="hair">
        <color auto="1"/>
      </left>
      <right style="thin">
        <color auto="1"/>
      </right>
      <top style="thin">
        <color auto="1"/>
      </top>
      <bottom/>
      <diagonal/>
    </border>
  </borders>
  <cellStyleXfs count="3">
    <xf numFmtId="0" fontId="0" fillId="0" borderId="0">
      <alignment vertical="center"/>
    </xf>
    <xf numFmtId="9" fontId="1" fillId="0" borderId="0" applyFont="0" applyFill="0" applyBorder="0" applyAlignment="0" applyProtection="0">
      <alignment vertical="center"/>
    </xf>
    <xf numFmtId="0" fontId="30" fillId="0" borderId="0" applyNumberFormat="0" applyFill="0" applyBorder="0" applyAlignment="0" applyProtection="0">
      <alignment vertical="center"/>
    </xf>
  </cellStyleXfs>
  <cellXfs count="938">
    <xf numFmtId="0" fontId="0" fillId="0" borderId="0" xfId="0">
      <alignment vertical="center"/>
    </xf>
    <xf numFmtId="0" fontId="14" fillId="0" borderId="0" xfId="0" applyFont="1" applyAlignment="1">
      <alignment horizontal="center" vertical="center"/>
    </xf>
    <xf numFmtId="0" fontId="14" fillId="0" borderId="0" xfId="0" applyFont="1">
      <alignment vertical="center"/>
    </xf>
    <xf numFmtId="184" fontId="14" fillId="0" borderId="0" xfId="0" applyNumberFormat="1" applyFont="1" applyAlignment="1">
      <alignment horizontal="center" vertical="center"/>
    </xf>
    <xf numFmtId="0" fontId="15" fillId="0" borderId="0" xfId="0" applyFont="1" applyAlignment="1">
      <alignment horizontal="center" vertical="center"/>
    </xf>
    <xf numFmtId="0" fontId="14" fillId="0" borderId="3" xfId="0" applyFont="1" applyBorder="1" applyAlignment="1">
      <alignment horizontal="center" vertical="center"/>
    </xf>
    <xf numFmtId="0" fontId="14" fillId="4" borderId="9" xfId="0" applyFont="1" applyFill="1" applyBorder="1" applyAlignment="1">
      <alignment horizontal="right" vertical="center"/>
    </xf>
    <xf numFmtId="0" fontId="14" fillId="0" borderId="9" xfId="0" applyFont="1" applyBorder="1" applyAlignment="1">
      <alignment horizontal="right" vertical="center"/>
    </xf>
    <xf numFmtId="0" fontId="14" fillId="0" borderId="18" xfId="0" applyFont="1" applyBorder="1" applyAlignment="1">
      <alignment horizontal="right" vertical="center"/>
    </xf>
    <xf numFmtId="0" fontId="15" fillId="0" borderId="0" xfId="0" applyFont="1">
      <alignment vertical="center"/>
    </xf>
    <xf numFmtId="0" fontId="19" fillId="0" borderId="0" xfId="0" applyFont="1" applyAlignment="1">
      <alignment horizontal="center" vertical="center"/>
    </xf>
    <xf numFmtId="187" fontId="9" fillId="3" borderId="0" xfId="0" applyNumberFormat="1" applyFont="1" applyFill="1" applyAlignment="1">
      <alignment horizontal="center" vertical="center"/>
    </xf>
    <xf numFmtId="184" fontId="12" fillId="0" borderId="0" xfId="0" applyNumberFormat="1" applyFont="1" applyAlignment="1">
      <alignment horizontal="left" vertical="center"/>
    </xf>
    <xf numFmtId="188" fontId="19" fillId="0" borderId="0" xfId="0" applyNumberFormat="1" applyFont="1" applyAlignment="1">
      <alignment horizontal="center" vertical="center"/>
    </xf>
    <xf numFmtId="0" fontId="17" fillId="6" borderId="24" xfId="0" applyFont="1" applyFill="1" applyBorder="1" applyAlignment="1">
      <alignment horizontal="center" vertical="center" wrapText="1"/>
    </xf>
    <xf numFmtId="186" fontId="15" fillId="0" borderId="25" xfId="0" applyNumberFormat="1" applyFont="1" applyBorder="1" applyAlignment="1">
      <alignment horizontal="center" vertical="center"/>
    </xf>
    <xf numFmtId="186" fontId="15" fillId="0" borderId="26" xfId="0" applyNumberFormat="1" applyFont="1" applyBorder="1" applyAlignment="1">
      <alignment horizontal="center" vertical="center"/>
    </xf>
    <xf numFmtId="177" fontId="15" fillId="0" borderId="26" xfId="0" applyNumberFormat="1" applyFont="1" applyBorder="1" applyAlignment="1">
      <alignment horizontal="center" vertical="center" wrapText="1"/>
    </xf>
    <xf numFmtId="180" fontId="15" fillId="0" borderId="26" xfId="1" applyNumberFormat="1" applyFont="1" applyFill="1" applyBorder="1" applyAlignment="1">
      <alignment horizontal="center" vertical="center" wrapText="1"/>
    </xf>
    <xf numFmtId="177" fontId="15" fillId="2" borderId="26" xfId="0" applyNumberFormat="1" applyFont="1" applyFill="1" applyBorder="1" applyAlignment="1">
      <alignment horizontal="center" vertical="center" wrapText="1"/>
    </xf>
    <xf numFmtId="177" fontId="15" fillId="0" borderId="27" xfId="0" applyNumberFormat="1" applyFont="1" applyBorder="1" applyAlignment="1">
      <alignment horizontal="center" vertical="center" wrapText="1"/>
    </xf>
    <xf numFmtId="177" fontId="15" fillId="0" borderId="28" xfId="0" applyNumberFormat="1" applyFont="1" applyBorder="1" applyAlignment="1">
      <alignment horizontal="center" vertical="center" wrapText="1"/>
    </xf>
    <xf numFmtId="177" fontId="15" fillId="5" borderId="29" xfId="0" applyNumberFormat="1" applyFont="1" applyFill="1" applyBorder="1" applyAlignment="1">
      <alignment horizontal="center" vertical="center" wrapText="1"/>
    </xf>
    <xf numFmtId="177" fontId="15" fillId="0" borderId="30" xfId="0" applyNumberFormat="1" applyFont="1" applyBorder="1" applyAlignment="1">
      <alignment horizontal="center" vertical="center" wrapText="1"/>
    </xf>
    <xf numFmtId="184" fontId="15" fillId="3" borderId="31" xfId="0" applyNumberFormat="1" applyFont="1" applyFill="1" applyBorder="1" applyAlignment="1">
      <alignment horizontal="center" vertical="center" wrapText="1"/>
    </xf>
    <xf numFmtId="0" fontId="3" fillId="7" borderId="32" xfId="0" applyFont="1" applyFill="1" applyBorder="1" applyAlignment="1">
      <alignment horizontal="center" vertical="center"/>
    </xf>
    <xf numFmtId="188" fontId="15" fillId="0" borderId="27" xfId="0" applyNumberFormat="1" applyFont="1" applyBorder="1" applyAlignment="1">
      <alignment horizontal="center" vertical="center"/>
    </xf>
    <xf numFmtId="188" fontId="15" fillId="0" borderId="26" xfId="0" applyNumberFormat="1" applyFont="1" applyBorder="1" applyAlignment="1">
      <alignment horizontal="center" vertical="center"/>
    </xf>
    <xf numFmtId="177" fontId="15" fillId="0" borderId="33" xfId="0" applyNumberFormat="1" applyFont="1" applyBorder="1" applyAlignment="1">
      <alignment horizontal="center" vertical="center" wrapText="1"/>
    </xf>
    <xf numFmtId="177" fontId="15" fillId="5" borderId="34" xfId="0" applyNumberFormat="1" applyFont="1" applyFill="1" applyBorder="1" applyAlignment="1">
      <alignment horizontal="center" vertical="center" wrapText="1"/>
    </xf>
    <xf numFmtId="184" fontId="15" fillId="3" borderId="35" xfId="0" applyNumberFormat="1" applyFont="1" applyFill="1" applyBorder="1" applyAlignment="1">
      <alignment horizontal="center" vertical="center" wrapText="1"/>
    </xf>
    <xf numFmtId="185" fontId="16" fillId="0" borderId="17" xfId="0" applyNumberFormat="1" applyFont="1" applyBorder="1" applyAlignment="1">
      <alignment horizontal="center" vertical="center"/>
    </xf>
    <xf numFmtId="185" fontId="16" fillId="0" borderId="15" xfId="0" applyNumberFormat="1" applyFont="1" applyBorder="1" applyAlignment="1">
      <alignment horizontal="center" vertical="center"/>
    </xf>
    <xf numFmtId="177" fontId="16" fillId="0" borderId="15" xfId="0" applyNumberFormat="1" applyFont="1" applyBorder="1" applyAlignment="1">
      <alignment horizontal="center" vertical="center"/>
    </xf>
    <xf numFmtId="189" fontId="16" fillId="0" borderId="15" xfId="0" applyNumberFormat="1" applyFont="1" applyBorder="1" applyAlignment="1">
      <alignment horizontal="center" vertical="center"/>
    </xf>
    <xf numFmtId="180" fontId="16" fillId="0" borderId="15" xfId="1" applyNumberFormat="1" applyFont="1" applyBorder="1" applyAlignment="1">
      <alignment horizontal="center" vertical="center"/>
    </xf>
    <xf numFmtId="184" fontId="16" fillId="0" borderId="14" xfId="0" applyNumberFormat="1" applyFont="1" applyBorder="1" applyAlignment="1">
      <alignment horizontal="center" vertical="center"/>
    </xf>
    <xf numFmtId="184" fontId="16" fillId="0" borderId="15" xfId="0" applyNumberFormat="1" applyFont="1" applyBorder="1" applyAlignment="1">
      <alignment horizontal="center" vertical="center"/>
    </xf>
    <xf numFmtId="184" fontId="16" fillId="0" borderId="39" xfId="0" applyNumberFormat="1" applyFont="1" applyBorder="1" applyAlignment="1">
      <alignment horizontal="center" vertical="center"/>
    </xf>
    <xf numFmtId="189" fontId="16" fillId="0" borderId="40" xfId="0" applyNumberFormat="1" applyFont="1" applyBorder="1" applyAlignment="1">
      <alignment horizontal="center" vertical="center"/>
    </xf>
    <xf numFmtId="184" fontId="16" fillId="0" borderId="16" xfId="0" applyNumberFormat="1" applyFont="1" applyBorder="1" applyAlignment="1">
      <alignment horizontal="center" vertical="center"/>
    </xf>
    <xf numFmtId="9" fontId="16" fillId="0" borderId="41" xfId="1" applyFont="1" applyBorder="1" applyAlignment="1">
      <alignment horizontal="center" vertical="center"/>
    </xf>
    <xf numFmtId="189" fontId="16" fillId="0" borderId="42" xfId="1" applyNumberFormat="1" applyFont="1" applyFill="1" applyBorder="1" applyAlignment="1">
      <alignment horizontal="center" vertical="center"/>
    </xf>
    <xf numFmtId="189" fontId="16" fillId="0" borderId="43" xfId="0" applyNumberFormat="1" applyFont="1" applyBorder="1" applyAlignment="1">
      <alignment horizontal="center" vertical="center"/>
    </xf>
    <xf numFmtId="184" fontId="15" fillId="0" borderId="44" xfId="0" applyNumberFormat="1" applyFont="1" applyBorder="1" applyAlignment="1">
      <alignment horizontal="center" vertical="center"/>
    </xf>
    <xf numFmtId="0" fontId="14" fillId="0" borderId="45" xfId="0" applyFont="1" applyBorder="1" applyAlignment="1">
      <alignment horizontal="center" vertical="center"/>
    </xf>
    <xf numFmtId="188" fontId="15" fillId="0" borderId="12" xfId="0" applyNumberFormat="1" applyFont="1" applyBorder="1" applyAlignment="1">
      <alignment horizontal="center" vertical="center"/>
    </xf>
    <xf numFmtId="188" fontId="15" fillId="0" borderId="10" xfId="0" applyNumberFormat="1" applyFont="1" applyBorder="1" applyAlignment="1">
      <alignment horizontal="center" vertical="center"/>
    </xf>
    <xf numFmtId="190" fontId="15" fillId="0" borderId="10" xfId="0" applyNumberFormat="1" applyFont="1" applyBorder="1" applyAlignment="1">
      <alignment horizontal="center" vertical="center"/>
    </xf>
    <xf numFmtId="180" fontId="15" fillId="0" borderId="10" xfId="1" applyNumberFormat="1" applyFont="1" applyBorder="1" applyAlignment="1">
      <alignment horizontal="center" vertical="center"/>
    </xf>
    <xf numFmtId="190" fontId="15" fillId="0" borderId="11" xfId="0" applyNumberFormat="1" applyFont="1" applyBorder="1" applyAlignment="1">
      <alignment horizontal="center" vertical="center"/>
    </xf>
    <xf numFmtId="190" fontId="15" fillId="0" borderId="46" xfId="0" applyNumberFormat="1" applyFont="1" applyBorder="1" applyAlignment="1">
      <alignment horizontal="center" vertical="center"/>
    </xf>
    <xf numFmtId="190" fontId="15" fillId="0" borderId="47" xfId="0" applyNumberFormat="1" applyFont="1" applyBorder="1" applyAlignment="1">
      <alignment horizontal="center" vertical="center"/>
    </xf>
    <xf numFmtId="0" fontId="14" fillId="0" borderId="48" xfId="0" applyFont="1" applyBorder="1" applyAlignment="1">
      <alignment horizontal="center" vertical="center"/>
    </xf>
    <xf numFmtId="0" fontId="14" fillId="8" borderId="49" xfId="0" applyFont="1" applyFill="1" applyBorder="1" applyAlignment="1">
      <alignment horizontal="center" vertical="center"/>
    </xf>
    <xf numFmtId="0" fontId="14" fillId="0" borderId="49" xfId="0" applyFont="1" applyBorder="1" applyAlignment="1">
      <alignment horizontal="center" vertical="center"/>
    </xf>
    <xf numFmtId="0" fontId="14" fillId="4" borderId="49" xfId="0" applyFont="1" applyFill="1" applyBorder="1" applyAlignment="1">
      <alignment horizontal="center" vertical="center"/>
    </xf>
    <xf numFmtId="0" fontId="14" fillId="0" borderId="50" xfId="0" applyFont="1" applyBorder="1">
      <alignment vertical="center"/>
    </xf>
    <xf numFmtId="0" fontId="14" fillId="0" borderId="15" xfId="0" applyFont="1" applyBorder="1" applyAlignment="1">
      <alignment horizontal="center" vertical="center"/>
    </xf>
    <xf numFmtId="185" fontId="16" fillId="4" borderId="8" xfId="0" applyNumberFormat="1" applyFont="1" applyFill="1" applyBorder="1" applyAlignment="1">
      <alignment horizontal="center" vertical="center"/>
    </xf>
    <xf numFmtId="185" fontId="16" fillId="4" borderId="5" xfId="0" applyNumberFormat="1" applyFont="1" applyFill="1" applyBorder="1" applyAlignment="1">
      <alignment horizontal="center" vertical="center"/>
    </xf>
    <xf numFmtId="177" fontId="16" fillId="4" borderId="5" xfId="0" applyNumberFormat="1" applyFont="1" applyFill="1" applyBorder="1" applyAlignment="1">
      <alignment horizontal="center" vertical="center"/>
    </xf>
    <xf numFmtId="189" fontId="16" fillId="4" borderId="5" xfId="0" applyNumberFormat="1" applyFont="1" applyFill="1" applyBorder="1" applyAlignment="1">
      <alignment horizontal="center" vertical="center"/>
    </xf>
    <xf numFmtId="180" fontId="16" fillId="4" borderId="5" xfId="1" applyNumberFormat="1" applyFont="1" applyFill="1" applyBorder="1" applyAlignment="1">
      <alignment horizontal="center" vertical="center"/>
    </xf>
    <xf numFmtId="184" fontId="16" fillId="4" borderId="6" xfId="0" applyNumberFormat="1" applyFont="1" applyFill="1" applyBorder="1" applyAlignment="1">
      <alignment horizontal="center" vertical="center"/>
    </xf>
    <xf numFmtId="184" fontId="16" fillId="4" borderId="51" xfId="0" applyNumberFormat="1" applyFont="1" applyFill="1" applyBorder="1" applyAlignment="1">
      <alignment horizontal="center" vertical="center"/>
    </xf>
    <xf numFmtId="189" fontId="16" fillId="4" borderId="51" xfId="0" applyNumberFormat="1" applyFont="1" applyFill="1" applyBorder="1" applyAlignment="1">
      <alignment horizontal="center" vertical="center"/>
    </xf>
    <xf numFmtId="184" fontId="16" fillId="4" borderId="7" xfId="0" applyNumberFormat="1" applyFont="1" applyFill="1" applyBorder="1" applyAlignment="1">
      <alignment horizontal="center" vertical="center"/>
    </xf>
    <xf numFmtId="9" fontId="16" fillId="4" borderId="52" xfId="0" applyNumberFormat="1" applyFont="1" applyFill="1" applyBorder="1" applyAlignment="1">
      <alignment horizontal="center" vertical="center"/>
    </xf>
    <xf numFmtId="189" fontId="16" fillId="4" borderId="53" xfId="1" applyNumberFormat="1" applyFont="1" applyFill="1" applyBorder="1" applyAlignment="1">
      <alignment horizontal="center" vertical="center"/>
    </xf>
    <xf numFmtId="189" fontId="16" fillId="4" borderId="54" xfId="0" applyNumberFormat="1" applyFont="1" applyFill="1" applyBorder="1" applyAlignment="1">
      <alignment horizontal="center" vertical="center"/>
    </xf>
    <xf numFmtId="184" fontId="15" fillId="4" borderId="55" xfId="0" applyNumberFormat="1" applyFont="1" applyFill="1" applyBorder="1" applyAlignment="1">
      <alignment horizontal="center" vertical="center"/>
    </xf>
    <xf numFmtId="0" fontId="14" fillId="0" borderId="56" xfId="0" applyFont="1" applyBorder="1" applyAlignment="1">
      <alignment horizontal="center" vertical="center"/>
    </xf>
    <xf numFmtId="188" fontId="15" fillId="0" borderId="7" xfId="0" applyNumberFormat="1" applyFont="1" applyBorder="1" applyAlignment="1">
      <alignment horizontal="center" vertical="center"/>
    </xf>
    <xf numFmtId="188" fontId="15" fillId="0" borderId="5" xfId="0" applyNumberFormat="1" applyFont="1" applyBorder="1" applyAlignment="1">
      <alignment horizontal="center" vertical="center"/>
    </xf>
    <xf numFmtId="190" fontId="15" fillId="0" borderId="5" xfId="0" applyNumberFormat="1" applyFont="1" applyBorder="1" applyAlignment="1">
      <alignment horizontal="center" vertical="center"/>
    </xf>
    <xf numFmtId="180" fontId="15" fillId="0" borderId="5" xfId="1" applyNumberFormat="1" applyFont="1" applyBorder="1" applyAlignment="1">
      <alignment horizontal="center" vertical="center"/>
    </xf>
    <xf numFmtId="190" fontId="15" fillId="0" borderId="6" xfId="0" applyNumberFormat="1" applyFont="1" applyBorder="1" applyAlignment="1">
      <alignment horizontal="center" vertical="center"/>
    </xf>
    <xf numFmtId="190" fontId="15" fillId="0" borderId="57" xfId="0" applyNumberFormat="1" applyFont="1" applyBorder="1" applyAlignment="1">
      <alignment horizontal="center" vertical="center"/>
    </xf>
    <xf numFmtId="190" fontId="15" fillId="0" borderId="58" xfId="0" applyNumberFormat="1" applyFont="1" applyBorder="1" applyAlignment="1">
      <alignment horizontal="center" vertical="center"/>
    </xf>
    <xf numFmtId="0" fontId="14" fillId="8" borderId="5" xfId="0" applyFont="1" applyFill="1" applyBorder="1" applyAlignment="1">
      <alignment horizontal="center" vertical="center"/>
    </xf>
    <xf numFmtId="185" fontId="16" fillId="0" borderId="8" xfId="0" applyNumberFormat="1" applyFont="1" applyBorder="1" applyAlignment="1">
      <alignment horizontal="center" vertical="center"/>
    </xf>
    <xf numFmtId="185" fontId="16" fillId="0" borderId="5" xfId="0" applyNumberFormat="1" applyFont="1" applyBorder="1" applyAlignment="1">
      <alignment horizontal="center" vertical="center"/>
    </xf>
    <xf numFmtId="177" fontId="16" fillId="0" borderId="5" xfId="0" applyNumberFormat="1" applyFont="1" applyBorder="1" applyAlignment="1">
      <alignment horizontal="center" vertical="center"/>
    </xf>
    <xf numFmtId="189" fontId="16" fillId="0" borderId="5" xfId="0" applyNumberFormat="1" applyFont="1" applyBorder="1" applyAlignment="1">
      <alignment horizontal="center" vertical="center"/>
    </xf>
    <xf numFmtId="180" fontId="16" fillId="0" borderId="5" xfId="1" applyNumberFormat="1" applyFont="1" applyBorder="1" applyAlignment="1">
      <alignment horizontal="center" vertical="center"/>
    </xf>
    <xf numFmtId="184" fontId="16" fillId="0" borderId="6" xfId="0" applyNumberFormat="1" applyFont="1" applyBorder="1" applyAlignment="1">
      <alignment horizontal="center" vertical="center"/>
    </xf>
    <xf numFmtId="184" fontId="16" fillId="0" borderId="51" xfId="0" applyNumberFormat="1" applyFont="1" applyBorder="1" applyAlignment="1">
      <alignment horizontal="center" vertical="center"/>
    </xf>
    <xf numFmtId="184" fontId="16" fillId="0" borderId="7" xfId="0" applyNumberFormat="1" applyFont="1" applyBorder="1" applyAlignment="1">
      <alignment horizontal="center" vertical="center"/>
    </xf>
    <xf numFmtId="9" fontId="16" fillId="0" borderId="52" xfId="0" applyNumberFormat="1" applyFont="1" applyBorder="1" applyAlignment="1">
      <alignment horizontal="center" vertical="center"/>
    </xf>
    <xf numFmtId="189" fontId="16" fillId="0" borderId="53" xfId="1" applyNumberFormat="1" applyFont="1" applyFill="1" applyBorder="1" applyAlignment="1">
      <alignment horizontal="center" vertical="center"/>
    </xf>
    <xf numFmtId="189" fontId="16" fillId="0" borderId="54" xfId="0" applyNumberFormat="1" applyFont="1" applyBorder="1" applyAlignment="1">
      <alignment horizontal="center" vertical="center"/>
    </xf>
    <xf numFmtId="184" fontId="15" fillId="0" borderId="55" xfId="0" applyNumberFormat="1" applyFont="1" applyBorder="1" applyAlignment="1">
      <alignment horizontal="center" vertical="center"/>
    </xf>
    <xf numFmtId="0" fontId="14" fillId="0" borderId="5" xfId="0" applyFont="1" applyBorder="1" applyAlignment="1">
      <alignment horizontal="center" vertical="center"/>
    </xf>
    <xf numFmtId="184" fontId="16" fillId="4" borderId="5" xfId="0" applyNumberFormat="1" applyFont="1" applyFill="1" applyBorder="1" applyAlignment="1">
      <alignment horizontal="center" vertical="center"/>
    </xf>
    <xf numFmtId="184" fontId="16" fillId="4" borderId="22" xfId="0" applyNumberFormat="1" applyFont="1" applyFill="1" applyBorder="1" applyAlignment="1">
      <alignment horizontal="center" vertical="center"/>
    </xf>
    <xf numFmtId="189" fontId="16" fillId="4" borderId="59" xfId="0" applyNumberFormat="1" applyFont="1" applyFill="1" applyBorder="1" applyAlignment="1">
      <alignment horizontal="center" vertical="center"/>
    </xf>
    <xf numFmtId="0" fontId="14" fillId="0" borderId="56" xfId="0" applyFont="1" applyBorder="1" applyAlignment="1">
      <alignment horizontal="center" vertical="center" wrapText="1"/>
    </xf>
    <xf numFmtId="0" fontId="14" fillId="0" borderId="60" xfId="0" applyFont="1" applyBorder="1" applyAlignment="1">
      <alignment horizontal="center" vertical="center"/>
    </xf>
    <xf numFmtId="188" fontId="15" fillId="0" borderId="61" xfId="0" applyNumberFormat="1" applyFont="1" applyBorder="1" applyAlignment="1">
      <alignment horizontal="center" vertical="center"/>
    </xf>
    <xf numFmtId="188" fontId="15" fillId="0" borderId="62" xfId="0" applyNumberFormat="1" applyFont="1" applyBorder="1" applyAlignment="1">
      <alignment horizontal="center" vertical="center"/>
    </xf>
    <xf numFmtId="190" fontId="15" fillId="0" borderId="62" xfId="0" applyNumberFormat="1" applyFont="1" applyBorder="1" applyAlignment="1">
      <alignment horizontal="center" vertical="center"/>
    </xf>
    <xf numFmtId="180" fontId="15" fillId="0" borderId="62" xfId="1" applyNumberFormat="1" applyFont="1" applyBorder="1" applyAlignment="1">
      <alignment horizontal="center" vertical="center"/>
    </xf>
    <xf numFmtId="190" fontId="15" fillId="0" borderId="63" xfId="0" applyNumberFormat="1" applyFont="1" applyBorder="1" applyAlignment="1">
      <alignment horizontal="center" vertical="center"/>
    </xf>
    <xf numFmtId="190" fontId="15" fillId="0" borderId="64" xfId="0" applyNumberFormat="1" applyFont="1" applyBorder="1" applyAlignment="1">
      <alignment horizontal="center" vertical="center"/>
    </xf>
    <xf numFmtId="190" fontId="15" fillId="0" borderId="65" xfId="0" applyNumberFormat="1" applyFont="1" applyBorder="1" applyAlignment="1">
      <alignment horizontal="center" vertical="center"/>
    </xf>
    <xf numFmtId="184" fontId="16" fillId="4" borderId="12" xfId="0" applyNumberFormat="1" applyFont="1" applyFill="1" applyBorder="1" applyAlignment="1">
      <alignment horizontal="center" vertical="center"/>
    </xf>
    <xf numFmtId="189" fontId="16" fillId="4" borderId="66" xfId="0" applyNumberFormat="1" applyFont="1" applyFill="1" applyBorder="1" applyAlignment="1">
      <alignment horizontal="center" vertical="center"/>
    </xf>
    <xf numFmtId="188" fontId="14" fillId="0" borderId="0" xfId="0" applyNumberFormat="1" applyFont="1">
      <alignment vertical="center"/>
    </xf>
    <xf numFmtId="184" fontId="16" fillId="0" borderId="5" xfId="0" applyNumberFormat="1" applyFont="1" applyBorder="1" applyAlignment="1">
      <alignment horizontal="center" vertical="center"/>
    </xf>
    <xf numFmtId="189" fontId="16" fillId="0" borderId="67" xfId="0" applyNumberFormat="1" applyFont="1" applyBorder="1" applyAlignment="1">
      <alignment horizontal="center" vertical="center"/>
    </xf>
    <xf numFmtId="184" fontId="16" fillId="4" borderId="13" xfId="0" applyNumberFormat="1" applyFont="1" applyFill="1" applyBorder="1" applyAlignment="1">
      <alignment horizontal="center" vertical="center"/>
    </xf>
    <xf numFmtId="189" fontId="16" fillId="4" borderId="68" xfId="0" applyNumberFormat="1" applyFont="1" applyFill="1" applyBorder="1" applyAlignment="1">
      <alignment horizontal="center" vertical="center"/>
    </xf>
    <xf numFmtId="184" fontId="16" fillId="4" borderId="78" xfId="0" applyNumberFormat="1" applyFont="1" applyFill="1" applyBorder="1" applyAlignment="1">
      <alignment horizontal="center" vertical="center"/>
    </xf>
    <xf numFmtId="184" fontId="16" fillId="4" borderId="79" xfId="0" applyNumberFormat="1" applyFont="1" applyFill="1" applyBorder="1" applyAlignment="1">
      <alignment horizontal="center" vertical="center"/>
    </xf>
    <xf numFmtId="191" fontId="15" fillId="0" borderId="10" xfId="0" applyNumberFormat="1" applyFont="1" applyBorder="1" applyAlignment="1">
      <alignment horizontal="center" vertical="center"/>
    </xf>
    <xf numFmtId="191" fontId="15" fillId="0" borderId="5" xfId="0" applyNumberFormat="1" applyFont="1" applyBorder="1" applyAlignment="1">
      <alignment horizontal="center" vertical="center"/>
    </xf>
    <xf numFmtId="189" fontId="16" fillId="4" borderId="67" xfId="0" applyNumberFormat="1" applyFont="1" applyFill="1" applyBorder="1" applyAlignment="1">
      <alignment horizontal="center" vertical="center"/>
    </xf>
    <xf numFmtId="184" fontId="16" fillId="0" borderId="79" xfId="0" applyNumberFormat="1" applyFont="1" applyBorder="1" applyAlignment="1">
      <alignment horizontal="center" vertical="center"/>
    </xf>
    <xf numFmtId="191" fontId="15" fillId="0" borderId="62" xfId="0" applyNumberFormat="1" applyFont="1" applyBorder="1" applyAlignment="1">
      <alignment horizontal="center" vertical="center"/>
    </xf>
    <xf numFmtId="0" fontId="14" fillId="0" borderId="0" xfId="0" applyFont="1" applyAlignment="1">
      <alignment horizontal="left" vertical="center"/>
    </xf>
    <xf numFmtId="185" fontId="16" fillId="4" borderId="4" xfId="0" applyNumberFormat="1" applyFont="1" applyFill="1" applyBorder="1" applyAlignment="1">
      <alignment horizontal="center" vertical="center"/>
    </xf>
    <xf numFmtId="185" fontId="16" fillId="0" borderId="80" xfId="0" applyNumberFormat="1" applyFont="1" applyBorder="1" applyAlignment="1">
      <alignment horizontal="center" vertical="center"/>
    </xf>
    <xf numFmtId="184" fontId="16" fillId="0" borderId="81" xfId="0" applyNumberFormat="1" applyFont="1" applyBorder="1" applyAlignment="1">
      <alignment horizontal="center" vertical="center"/>
    </xf>
    <xf numFmtId="184" fontId="16" fillId="0" borderId="82" xfId="0" applyNumberFormat="1" applyFont="1" applyBorder="1" applyAlignment="1">
      <alignment horizontal="center" vertical="center"/>
    </xf>
    <xf numFmtId="185" fontId="16" fillId="4" borderId="83" xfId="0" applyNumberFormat="1" applyFont="1" applyFill="1" applyBorder="1" applyAlignment="1">
      <alignment horizontal="center" vertical="center"/>
    </xf>
    <xf numFmtId="184" fontId="16" fillId="4" borderId="84" xfId="0" applyNumberFormat="1" applyFont="1" applyFill="1" applyBorder="1" applyAlignment="1">
      <alignment horizontal="center" vertical="center"/>
    </xf>
    <xf numFmtId="184" fontId="16" fillId="4" borderId="85" xfId="0" applyNumberFormat="1" applyFont="1" applyFill="1" applyBorder="1" applyAlignment="1">
      <alignment horizontal="center" vertical="center"/>
    </xf>
    <xf numFmtId="0" fontId="14" fillId="4" borderId="0" xfId="0" applyFont="1" applyFill="1" applyAlignment="1">
      <alignment horizontal="center" vertical="center"/>
    </xf>
    <xf numFmtId="188" fontId="14" fillId="4" borderId="0" xfId="0" applyNumberFormat="1" applyFont="1" applyFill="1">
      <alignment vertical="center"/>
    </xf>
    <xf numFmtId="0" fontId="14" fillId="4" borderId="0" xfId="0" applyFont="1" applyFill="1">
      <alignment vertical="center"/>
    </xf>
    <xf numFmtId="0" fontId="14" fillId="4" borderId="5" xfId="0" applyFont="1" applyFill="1" applyBorder="1" applyAlignment="1">
      <alignment horizontal="center" vertical="center"/>
    </xf>
    <xf numFmtId="180" fontId="16" fillId="0" borderId="5" xfId="1" applyNumberFormat="1" applyFont="1" applyFill="1" applyBorder="1" applyAlignment="1">
      <alignment horizontal="center" vertical="center"/>
    </xf>
    <xf numFmtId="184" fontId="16" fillId="0" borderId="86" xfId="0" applyNumberFormat="1" applyFont="1" applyBorder="1" applyAlignment="1">
      <alignment horizontal="center" vertical="center"/>
    </xf>
    <xf numFmtId="189" fontId="16" fillId="0" borderId="51" xfId="0" applyNumberFormat="1" applyFont="1" applyBorder="1" applyAlignment="1">
      <alignment horizontal="center" vertical="center"/>
    </xf>
    <xf numFmtId="184" fontId="16" fillId="0" borderId="12" xfId="0" applyNumberFormat="1" applyFont="1" applyBorder="1" applyAlignment="1">
      <alignment horizontal="center" vertical="center"/>
    </xf>
    <xf numFmtId="184" fontId="16" fillId="0" borderId="13" xfId="0" applyNumberFormat="1" applyFont="1" applyBorder="1" applyAlignment="1">
      <alignment horizontal="center" vertical="center"/>
    </xf>
    <xf numFmtId="189" fontId="16" fillId="0" borderId="68" xfId="0" applyNumberFormat="1" applyFont="1" applyBorder="1" applyAlignment="1">
      <alignment horizontal="center" vertical="center"/>
    </xf>
    <xf numFmtId="184" fontId="16" fillId="4" borderId="87" xfId="0" applyNumberFormat="1" applyFont="1" applyFill="1" applyBorder="1" applyAlignment="1">
      <alignment horizontal="center" vertical="center"/>
    </xf>
    <xf numFmtId="189" fontId="16" fillId="4" borderId="87" xfId="0" applyNumberFormat="1" applyFont="1" applyFill="1" applyBorder="1" applyAlignment="1">
      <alignment horizontal="center" vertical="center"/>
    </xf>
    <xf numFmtId="184" fontId="16" fillId="4" borderId="88" xfId="0" applyNumberFormat="1" applyFont="1" applyFill="1" applyBorder="1" applyAlignment="1">
      <alignment horizontal="center" vertical="center"/>
    </xf>
    <xf numFmtId="185" fontId="16" fillId="0" borderId="10" xfId="0" applyNumberFormat="1" applyFont="1" applyBorder="1" applyAlignment="1">
      <alignment horizontal="center" vertical="center"/>
    </xf>
    <xf numFmtId="189" fontId="16" fillId="0" borderId="66" xfId="0" applyNumberFormat="1" applyFont="1" applyBorder="1" applyAlignment="1">
      <alignment horizontal="center" vertical="center"/>
    </xf>
    <xf numFmtId="184" fontId="16" fillId="0" borderId="10" xfId="0" applyNumberFormat="1" applyFont="1" applyBorder="1" applyAlignment="1">
      <alignment horizontal="center" vertical="center"/>
    </xf>
    <xf numFmtId="0" fontId="14" fillId="0" borderId="19" xfId="0" applyFont="1" applyBorder="1" applyAlignment="1">
      <alignment horizontal="center" vertical="center"/>
    </xf>
    <xf numFmtId="189" fontId="16" fillId="0" borderId="89" xfId="0" applyNumberFormat="1" applyFont="1" applyBorder="1" applyAlignment="1">
      <alignment horizontal="center" vertical="center"/>
    </xf>
    <xf numFmtId="191" fontId="16" fillId="0" borderId="2" xfId="0" applyNumberFormat="1" applyFont="1" applyBorder="1" applyAlignment="1">
      <alignment horizontal="center" vertical="center"/>
    </xf>
    <xf numFmtId="191" fontId="16" fillId="0" borderId="1" xfId="0" applyNumberFormat="1" applyFont="1" applyBorder="1" applyAlignment="1">
      <alignment horizontal="center" vertical="center"/>
    </xf>
    <xf numFmtId="190" fontId="16" fillId="0" borderId="1" xfId="0" applyNumberFormat="1" applyFont="1" applyBorder="1" applyAlignment="1">
      <alignment horizontal="center" vertical="center"/>
    </xf>
    <xf numFmtId="180" fontId="16" fillId="0" borderId="1" xfId="1" applyNumberFormat="1" applyFont="1" applyBorder="1" applyAlignment="1">
      <alignment horizontal="center" vertical="center"/>
    </xf>
    <xf numFmtId="9" fontId="16" fillId="0" borderId="90" xfId="0" applyNumberFormat="1" applyFont="1" applyBorder="1" applyAlignment="1">
      <alignment horizontal="center" vertical="center"/>
    </xf>
    <xf numFmtId="189" fontId="16" fillId="0" borderId="91" xfId="0" applyNumberFormat="1" applyFont="1" applyBorder="1" applyAlignment="1">
      <alignment horizontal="center" vertical="center"/>
    </xf>
    <xf numFmtId="190" fontId="16" fillId="0" borderId="92" xfId="0" applyNumberFormat="1" applyFont="1" applyBorder="1" applyAlignment="1">
      <alignment horizontal="center" vertical="center"/>
    </xf>
    <xf numFmtId="184" fontId="16" fillId="9" borderId="93" xfId="1" applyNumberFormat="1" applyFont="1" applyFill="1" applyBorder="1" applyAlignment="1">
      <alignment horizontal="center" vertical="center"/>
    </xf>
    <xf numFmtId="186" fontId="14" fillId="0" borderId="0" xfId="0" applyNumberFormat="1" applyFont="1" applyAlignment="1">
      <alignment horizontal="center" vertical="center"/>
    </xf>
    <xf numFmtId="177" fontId="14" fillId="0" borderId="0" xfId="0" applyNumberFormat="1" applyFont="1" applyAlignment="1">
      <alignment horizontal="center" vertical="center"/>
    </xf>
    <xf numFmtId="180" fontId="14" fillId="0" borderId="0" xfId="1" applyNumberFormat="1" applyFont="1" applyAlignment="1">
      <alignment horizontal="center" vertical="center"/>
    </xf>
    <xf numFmtId="0" fontId="9" fillId="0" borderId="0" xfId="0" applyFont="1" applyAlignment="1">
      <alignment horizontal="center" vertical="center"/>
    </xf>
    <xf numFmtId="0" fontId="3" fillId="10" borderId="0" xfId="0" applyFont="1" applyFill="1" applyProtection="1">
      <alignment vertical="center"/>
      <protection locked="0"/>
    </xf>
    <xf numFmtId="0" fontId="11" fillId="10" borderId="0" xfId="0" applyFont="1" applyFill="1" applyProtection="1">
      <alignment vertical="center"/>
      <protection locked="0"/>
    </xf>
    <xf numFmtId="0" fontId="11" fillId="0" borderId="0" xfId="0" applyFont="1" applyProtection="1">
      <alignment vertical="center"/>
      <protection locked="0"/>
    </xf>
    <xf numFmtId="0" fontId="4" fillId="0" borderId="0" xfId="0" applyFont="1" applyProtection="1">
      <alignment vertical="center"/>
      <protection locked="0"/>
    </xf>
    <xf numFmtId="0" fontId="4" fillId="0" borderId="0" xfId="0" applyFont="1" applyAlignment="1" applyProtection="1">
      <alignment horizontal="left" vertical="center"/>
      <protection locked="0"/>
    </xf>
    <xf numFmtId="0" fontId="4" fillId="4" borderId="0" xfId="0" applyFont="1" applyFill="1" applyProtection="1">
      <alignment vertical="center"/>
      <protection locked="0"/>
    </xf>
    <xf numFmtId="0" fontId="4" fillId="0" borderId="0" xfId="0" applyFont="1" applyAlignment="1" applyProtection="1">
      <alignment horizontal="center" vertical="center"/>
      <protection locked="0"/>
    </xf>
    <xf numFmtId="178" fontId="4" fillId="0" borderId="0" xfId="0" applyNumberFormat="1" applyFont="1" applyAlignment="1" applyProtection="1">
      <alignment horizontal="left" vertical="center"/>
      <protection locked="0"/>
    </xf>
    <xf numFmtId="0" fontId="22" fillId="0" borderId="94" xfId="0" applyFont="1" applyBorder="1" applyAlignment="1" applyProtection="1">
      <alignment horizontal="center" vertical="center"/>
      <protection locked="0"/>
    </xf>
    <xf numFmtId="178" fontId="4" fillId="0" borderId="0" xfId="0" applyNumberFormat="1" applyFont="1" applyProtection="1">
      <alignment vertical="center"/>
      <protection locked="0"/>
    </xf>
    <xf numFmtId="0" fontId="4" fillId="0" borderId="0" xfId="0" applyFont="1" applyAlignment="1" applyProtection="1">
      <alignment vertical="center" shrinkToFit="1"/>
      <protection locked="0"/>
    </xf>
    <xf numFmtId="0" fontId="4" fillId="0" borderId="0" xfId="0" applyFont="1" applyAlignment="1" applyProtection="1">
      <alignment horizontal="center" vertical="center" shrinkToFit="1"/>
      <protection locked="0"/>
    </xf>
    <xf numFmtId="0" fontId="13" fillId="0" borderId="0" xfId="0" applyFont="1" applyProtection="1">
      <alignment vertical="center"/>
      <protection locked="0"/>
    </xf>
    <xf numFmtId="0" fontId="4" fillId="0" borderId="139" xfId="0" applyFont="1" applyBorder="1" applyProtection="1">
      <alignment vertical="center"/>
      <protection locked="0"/>
    </xf>
    <xf numFmtId="176" fontId="4" fillId="0" borderId="0" xfId="0" applyNumberFormat="1" applyFont="1" applyAlignment="1" applyProtection="1">
      <alignment vertical="center" shrinkToFit="1"/>
      <protection locked="0"/>
    </xf>
    <xf numFmtId="177" fontId="4" fillId="0" borderId="0" xfId="0" applyNumberFormat="1" applyFont="1" applyProtection="1">
      <alignment vertical="center"/>
      <protection locked="0"/>
    </xf>
    <xf numFmtId="9" fontId="4" fillId="0" borderId="0" xfId="1" applyFont="1" applyFill="1" applyBorder="1" applyAlignment="1" applyProtection="1">
      <alignment vertical="center"/>
      <protection locked="0"/>
    </xf>
    <xf numFmtId="0" fontId="11" fillId="0" borderId="0" xfId="0" applyFont="1" applyAlignment="1">
      <alignment horizontal="left" vertical="center"/>
    </xf>
    <xf numFmtId="0" fontId="4" fillId="0" borderId="0" xfId="0" applyFont="1" applyAlignment="1">
      <alignment horizontal="left" vertical="center"/>
    </xf>
    <xf numFmtId="0" fontId="11" fillId="0" borderId="0" xfId="0" applyFont="1">
      <alignment vertical="center"/>
    </xf>
    <xf numFmtId="0" fontId="4" fillId="0" borderId="0" xfId="0" applyFont="1">
      <alignment vertical="center"/>
    </xf>
    <xf numFmtId="0" fontId="4" fillId="4" borderId="0" xfId="0" applyFont="1" applyFill="1">
      <alignment vertical="center"/>
    </xf>
    <xf numFmtId="0" fontId="4" fillId="4" borderId="0" xfId="0" applyFont="1" applyFill="1" applyAlignment="1">
      <alignment horizontal="center" vertical="center"/>
    </xf>
    <xf numFmtId="0" fontId="11" fillId="4" borderId="0" xfId="0" applyFont="1" applyFill="1">
      <alignment vertical="center"/>
    </xf>
    <xf numFmtId="178" fontId="4" fillId="4" borderId="0" xfId="0" applyNumberFormat="1" applyFont="1" applyFill="1" applyAlignment="1">
      <alignment horizontal="left" vertical="center"/>
    </xf>
    <xf numFmtId="178" fontId="4" fillId="4" borderId="0" xfId="0" applyNumberFormat="1" applyFont="1" applyFill="1">
      <alignment vertical="center"/>
    </xf>
    <xf numFmtId="176" fontId="4" fillId="4" borderId="0" xfId="0" applyNumberFormat="1" applyFont="1" applyFill="1" applyAlignment="1">
      <alignment vertical="center" shrinkToFit="1"/>
    </xf>
    <xf numFmtId="0" fontId="4" fillId="4" borderId="0" xfId="0" applyFont="1" applyFill="1" applyAlignment="1">
      <alignment vertical="center" shrinkToFit="1"/>
    </xf>
    <xf numFmtId="0" fontId="4" fillId="4" borderId="0" xfId="0" applyFont="1" applyFill="1" applyAlignment="1">
      <alignment horizontal="center" vertical="center" shrinkToFit="1"/>
    </xf>
    <xf numFmtId="0" fontId="4" fillId="2" borderId="101" xfId="0" applyFont="1" applyFill="1" applyBorder="1" applyAlignment="1">
      <alignment horizontal="center" vertical="center"/>
    </xf>
    <xf numFmtId="0" fontId="4" fillId="2" borderId="98" xfId="0" applyFont="1" applyFill="1" applyBorder="1" applyAlignment="1">
      <alignment horizontal="center" vertical="center"/>
    </xf>
    <xf numFmtId="0" fontId="4" fillId="2" borderId="95" xfId="0" applyFont="1" applyFill="1" applyBorder="1" applyAlignment="1">
      <alignment horizontal="center" vertical="center"/>
    </xf>
    <xf numFmtId="0" fontId="4" fillId="2" borderId="96" xfId="0" applyFont="1" applyFill="1" applyBorder="1" applyAlignment="1">
      <alignment horizontal="center" vertical="center"/>
    </xf>
    <xf numFmtId="0" fontId="4" fillId="2" borderId="97" xfId="0" applyFont="1" applyFill="1" applyBorder="1" applyAlignment="1">
      <alignment horizontal="center" vertical="center"/>
    </xf>
    <xf numFmtId="0" fontId="10" fillId="0" borderId="0" xfId="0" applyFont="1">
      <alignment vertical="center"/>
    </xf>
    <xf numFmtId="176" fontId="4" fillId="0" borderId="0" xfId="0" applyNumberFormat="1" applyFont="1">
      <alignment vertical="center"/>
    </xf>
    <xf numFmtId="0" fontId="4" fillId="0" borderId="0" xfId="0" applyFont="1" applyAlignment="1">
      <alignment horizontal="center" vertical="center"/>
    </xf>
    <xf numFmtId="0" fontId="4" fillId="0" borderId="0" xfId="0" applyFont="1" applyAlignment="1">
      <alignment vertical="center" shrinkToFit="1"/>
    </xf>
    <xf numFmtId="0" fontId="4" fillId="0" borderId="0" xfId="0" applyFont="1" applyAlignment="1">
      <alignment horizontal="center" vertical="center" shrinkToFit="1"/>
    </xf>
    <xf numFmtId="0" fontId="11" fillId="15" borderId="96" xfId="0" applyFont="1" applyFill="1" applyBorder="1" applyAlignment="1">
      <alignment horizontal="center" vertical="center"/>
    </xf>
    <xf numFmtId="0" fontId="11" fillId="13" borderId="96" xfId="0" applyFont="1" applyFill="1" applyBorder="1" applyAlignment="1">
      <alignment horizontal="center" vertical="center"/>
    </xf>
    <xf numFmtId="0" fontId="7" fillId="10" borderId="0" xfId="0" applyFont="1" applyFill="1">
      <alignment vertical="center"/>
    </xf>
    <xf numFmtId="0" fontId="3" fillId="10" borderId="0" xfId="0" applyFont="1" applyFill="1" applyAlignment="1" applyProtection="1">
      <alignment horizontal="left" vertical="center"/>
      <protection locked="0"/>
    </xf>
    <xf numFmtId="0" fontId="27" fillId="0" borderId="0" xfId="0" applyFont="1" applyAlignment="1" applyProtection="1">
      <alignment horizontal="right" vertical="center"/>
      <protection locked="0"/>
    </xf>
    <xf numFmtId="0" fontId="4" fillId="0" borderId="112" xfId="0" applyFont="1" applyBorder="1" applyAlignment="1" applyProtection="1">
      <alignment horizontal="center" vertical="center"/>
      <protection locked="0"/>
    </xf>
    <xf numFmtId="0" fontId="4" fillId="0" borderId="136" xfId="0" applyFont="1" applyBorder="1" applyAlignment="1" applyProtection="1">
      <alignment horizontal="center" vertical="center"/>
      <protection locked="0"/>
    </xf>
    <xf numFmtId="0" fontId="4" fillId="0" borderId="109" xfId="0" applyFont="1" applyBorder="1" applyAlignment="1" applyProtection="1">
      <alignment horizontal="center" vertical="center"/>
      <protection locked="0"/>
    </xf>
    <xf numFmtId="0" fontId="4" fillId="0" borderId="147" xfId="0" applyFont="1" applyBorder="1" applyAlignment="1" applyProtection="1">
      <alignment horizontal="center" vertical="center"/>
      <protection locked="0"/>
    </xf>
    <xf numFmtId="0" fontId="4" fillId="0" borderId="147" xfId="0" applyFont="1" applyBorder="1" applyAlignment="1" applyProtection="1">
      <alignment horizontal="center" vertical="center" wrapText="1"/>
      <protection locked="0"/>
    </xf>
    <xf numFmtId="0" fontId="4" fillId="0" borderId="113" xfId="0" applyFont="1" applyBorder="1" applyAlignment="1" applyProtection="1">
      <alignment horizontal="center" vertical="center" wrapText="1"/>
      <protection locked="0"/>
    </xf>
    <xf numFmtId="0" fontId="4" fillId="0" borderId="105" xfId="0" applyFont="1" applyBorder="1" applyAlignment="1" applyProtection="1">
      <alignment horizontal="center" vertical="center"/>
      <protection locked="0"/>
    </xf>
    <xf numFmtId="0" fontId="4" fillId="0" borderId="102" xfId="0" applyFont="1" applyBorder="1" applyAlignment="1" applyProtection="1">
      <alignment horizontal="center" vertical="center"/>
      <protection locked="0"/>
    </xf>
    <xf numFmtId="0" fontId="4" fillId="0" borderId="103" xfId="0" applyFont="1" applyBorder="1" applyAlignment="1" applyProtection="1">
      <alignment horizontal="center" vertical="center"/>
      <protection locked="0"/>
    </xf>
    <xf numFmtId="0" fontId="4" fillId="0" borderId="149" xfId="0" applyFont="1" applyBorder="1" applyAlignment="1" applyProtection="1">
      <alignment horizontal="center" vertical="center"/>
      <protection locked="0"/>
    </xf>
    <xf numFmtId="0" fontId="4" fillId="0" borderId="153" xfId="0" applyFont="1" applyBorder="1" applyAlignment="1" applyProtection="1">
      <alignment horizontal="center" vertical="center"/>
      <protection locked="0"/>
    </xf>
    <xf numFmtId="0" fontId="4" fillId="0" borderId="99" xfId="0" applyFont="1" applyBorder="1" applyAlignment="1" applyProtection="1">
      <alignment horizontal="center" vertical="center"/>
      <protection locked="0"/>
    </xf>
    <xf numFmtId="0" fontId="4" fillId="0" borderId="100" xfId="0" applyFont="1" applyBorder="1" applyAlignment="1" applyProtection="1">
      <alignment horizontal="center" vertical="center"/>
      <protection locked="0"/>
    </xf>
    <xf numFmtId="0" fontId="4" fillId="0" borderId="101" xfId="0" applyFont="1" applyBorder="1" applyAlignment="1" applyProtection="1">
      <alignment horizontal="center" vertical="center"/>
      <protection locked="0"/>
    </xf>
    <xf numFmtId="0" fontId="4" fillId="0" borderId="98" xfId="0" applyFont="1" applyBorder="1" applyAlignment="1" applyProtection="1">
      <alignment horizontal="center" vertical="center"/>
      <protection locked="0"/>
    </xf>
    <xf numFmtId="0" fontId="4" fillId="16" borderId="132" xfId="0" applyFont="1" applyFill="1" applyBorder="1" applyAlignment="1" applyProtection="1">
      <alignment horizontal="center" vertical="center"/>
      <protection locked="0"/>
    </xf>
    <xf numFmtId="0" fontId="4" fillId="16" borderId="111" xfId="0" applyFont="1" applyFill="1" applyBorder="1" applyAlignment="1" applyProtection="1">
      <alignment horizontal="center" vertical="center"/>
      <protection locked="0"/>
    </xf>
    <xf numFmtId="0" fontId="4" fillId="16" borderId="112" xfId="0" applyFont="1" applyFill="1" applyBorder="1" applyAlignment="1" applyProtection="1">
      <alignment horizontal="center" vertical="center"/>
      <protection locked="0"/>
    </xf>
    <xf numFmtId="178" fontId="4" fillId="0" borderId="0" xfId="0" applyNumberFormat="1" applyFont="1">
      <alignment vertical="center"/>
    </xf>
    <xf numFmtId="0" fontId="5" fillId="10" borderId="0" xfId="0" applyFont="1" applyFill="1" applyAlignment="1" applyProtection="1">
      <alignment horizontal="left" vertical="center"/>
      <protection locked="0"/>
    </xf>
    <xf numFmtId="196" fontId="16" fillId="0" borderId="14" xfId="1" applyNumberFormat="1" applyFont="1" applyBorder="1" applyAlignment="1">
      <alignment horizontal="center" vertical="center"/>
    </xf>
    <xf numFmtId="196" fontId="16" fillId="4" borderId="6" xfId="1" applyNumberFormat="1" applyFont="1" applyFill="1" applyBorder="1" applyAlignment="1">
      <alignment horizontal="center" vertical="center"/>
    </xf>
    <xf numFmtId="196" fontId="16" fillId="0" borderId="6" xfId="1" applyNumberFormat="1" applyFont="1" applyBorder="1" applyAlignment="1">
      <alignment horizontal="center" vertical="center"/>
    </xf>
    <xf numFmtId="196" fontId="16" fillId="0" borderId="6" xfId="1" applyNumberFormat="1" applyFont="1" applyFill="1" applyBorder="1" applyAlignment="1">
      <alignment horizontal="center" vertical="center"/>
    </xf>
    <xf numFmtId="196" fontId="16" fillId="0" borderId="5" xfId="1" applyNumberFormat="1" applyFont="1" applyFill="1" applyBorder="1" applyAlignment="1">
      <alignment horizontal="center" vertical="center"/>
    </xf>
    <xf numFmtId="196" fontId="16" fillId="4" borderId="5" xfId="1" applyNumberFormat="1" applyFont="1" applyFill="1" applyBorder="1" applyAlignment="1">
      <alignment horizontal="center" vertical="center"/>
    </xf>
    <xf numFmtId="196" fontId="16" fillId="0" borderId="5" xfId="1" applyNumberFormat="1" applyFont="1" applyBorder="1" applyAlignment="1">
      <alignment horizontal="center" vertical="center"/>
    </xf>
    <xf numFmtId="196" fontId="16" fillId="0" borderId="1" xfId="0" applyNumberFormat="1" applyFont="1" applyBorder="1" applyAlignment="1">
      <alignment horizontal="center" vertical="center"/>
    </xf>
    <xf numFmtId="196" fontId="16" fillId="0" borderId="15" xfId="0" applyNumberFormat="1" applyFont="1" applyBorder="1" applyAlignment="1">
      <alignment horizontal="center" vertical="center"/>
    </xf>
    <xf numFmtId="196" fontId="16" fillId="4" borderId="5" xfId="0" applyNumberFormat="1" applyFont="1" applyFill="1" applyBorder="1" applyAlignment="1">
      <alignment horizontal="center" vertical="center"/>
    </xf>
    <xf numFmtId="196" fontId="16" fillId="0" borderId="5" xfId="0" applyNumberFormat="1" applyFont="1" applyBorder="1" applyAlignment="1">
      <alignment horizontal="center" vertical="center"/>
    </xf>
    <xf numFmtId="0" fontId="4" fillId="0" borderId="94" xfId="0" applyFont="1" applyBorder="1" applyAlignment="1" applyProtection="1">
      <alignment horizontal="center" vertical="center"/>
      <protection locked="0"/>
    </xf>
    <xf numFmtId="0" fontId="4" fillId="0" borderId="122" xfId="0" applyFont="1" applyBorder="1" applyAlignment="1" applyProtection="1">
      <alignment horizontal="center" vertical="center"/>
      <protection locked="0"/>
    </xf>
    <xf numFmtId="0" fontId="4" fillId="0" borderId="94" xfId="0" applyFont="1" applyBorder="1" applyProtection="1">
      <alignment vertical="center"/>
      <protection locked="0"/>
    </xf>
    <xf numFmtId="192" fontId="4" fillId="0" borderId="0" xfId="0" applyNumberFormat="1" applyFont="1" applyAlignment="1" applyProtection="1">
      <alignment horizontal="center" vertical="center"/>
      <protection locked="0"/>
    </xf>
    <xf numFmtId="180" fontId="4" fillId="0" borderId="0" xfId="1" applyNumberFormat="1" applyFont="1" applyFill="1" applyBorder="1" applyAlignment="1" applyProtection="1">
      <alignment horizontal="center" vertical="center"/>
    </xf>
    <xf numFmtId="196" fontId="4" fillId="0" borderId="0" xfId="0" applyNumberFormat="1" applyFont="1" applyAlignment="1">
      <alignment horizontal="center" vertical="center"/>
    </xf>
    <xf numFmtId="186" fontId="4" fillId="0" borderId="0" xfId="0" applyNumberFormat="1" applyFont="1" applyAlignment="1" applyProtection="1">
      <alignment horizontal="center" vertical="center"/>
      <protection locked="0"/>
    </xf>
    <xf numFmtId="0" fontId="4" fillId="0" borderId="99" xfId="0" applyFont="1" applyBorder="1" applyProtection="1">
      <alignment vertical="center"/>
      <protection locked="0"/>
    </xf>
    <xf numFmtId="0" fontId="4" fillId="0" borderId="115" xfId="0" applyFont="1" applyBorder="1" applyProtection="1">
      <alignment vertical="center"/>
      <protection locked="0"/>
    </xf>
    <xf numFmtId="0" fontId="4" fillId="0" borderId="117" xfId="0" applyFont="1" applyBorder="1" applyProtection="1">
      <alignment vertical="center"/>
      <protection locked="0"/>
    </xf>
    <xf numFmtId="0" fontId="4" fillId="0" borderId="100" xfId="0" applyFont="1" applyBorder="1" applyProtection="1">
      <alignment vertical="center"/>
      <protection locked="0"/>
    </xf>
    <xf numFmtId="0" fontId="4" fillId="0" borderId="102" xfId="0" applyFont="1" applyBorder="1" applyProtection="1">
      <alignment vertical="center"/>
      <protection locked="0"/>
    </xf>
    <xf numFmtId="0" fontId="4" fillId="0" borderId="121" xfId="0" applyFont="1" applyBorder="1" applyProtection="1">
      <alignment vertical="center"/>
      <protection locked="0"/>
    </xf>
    <xf numFmtId="0" fontId="4" fillId="0" borderId="122" xfId="0" applyFont="1" applyBorder="1" applyProtection="1">
      <alignment vertical="center"/>
      <protection locked="0"/>
    </xf>
    <xf numFmtId="0" fontId="4" fillId="0" borderId="103" xfId="0" applyFont="1" applyBorder="1" applyProtection="1">
      <alignment vertical="center"/>
      <protection locked="0"/>
    </xf>
    <xf numFmtId="0" fontId="4" fillId="0" borderId="178" xfId="0" applyFont="1" applyBorder="1" applyProtection="1">
      <alignment vertical="center"/>
      <protection locked="0"/>
    </xf>
    <xf numFmtId="0" fontId="4" fillId="0" borderId="147" xfId="0" applyFont="1" applyBorder="1">
      <alignment vertical="center"/>
    </xf>
    <xf numFmtId="0" fontId="4" fillId="0" borderId="113" xfId="0" applyFont="1" applyBorder="1">
      <alignment vertical="center"/>
    </xf>
    <xf numFmtId="178" fontId="4" fillId="0" borderId="139" xfId="0" applyNumberFormat="1" applyFont="1" applyBorder="1">
      <alignment vertical="center"/>
    </xf>
    <xf numFmtId="178" fontId="4" fillId="0" borderId="163" xfId="0" applyNumberFormat="1" applyFont="1" applyBorder="1">
      <alignment vertical="center"/>
    </xf>
    <xf numFmtId="178" fontId="4" fillId="0" borderId="69" xfId="0" applyNumberFormat="1" applyFont="1" applyBorder="1">
      <alignment vertical="center"/>
    </xf>
    <xf numFmtId="178" fontId="4" fillId="0" borderId="166" xfId="0" applyNumberFormat="1" applyFont="1" applyBorder="1">
      <alignment vertical="center"/>
    </xf>
    <xf numFmtId="178" fontId="4" fillId="0" borderId="167" xfId="0" applyNumberFormat="1" applyFont="1" applyBorder="1">
      <alignment vertical="center"/>
    </xf>
    <xf numFmtId="180" fontId="4" fillId="0" borderId="0" xfId="1" applyNumberFormat="1" applyFont="1" applyBorder="1" applyAlignment="1" applyProtection="1">
      <alignment horizontal="center" vertical="center"/>
    </xf>
    <xf numFmtId="0" fontId="25" fillId="2" borderId="165" xfId="0" applyFont="1" applyFill="1" applyBorder="1" applyAlignment="1" applyProtection="1">
      <alignment vertical="center" wrapText="1"/>
      <protection locked="0"/>
    </xf>
    <xf numFmtId="0" fontId="25" fillId="2" borderId="166" xfId="0" applyFont="1" applyFill="1" applyBorder="1" applyAlignment="1" applyProtection="1">
      <alignment vertical="center" wrapText="1"/>
      <protection locked="0"/>
    </xf>
    <xf numFmtId="0" fontId="25" fillId="2" borderId="167" xfId="0" applyFont="1" applyFill="1" applyBorder="1" applyAlignment="1" applyProtection="1">
      <alignment vertical="center" wrapText="1"/>
      <protection locked="0"/>
    </xf>
    <xf numFmtId="0" fontId="11" fillId="0" borderId="0" xfId="0" applyFont="1" applyAlignment="1" applyProtection="1">
      <alignment horizontal="center" vertical="center"/>
      <protection locked="0"/>
    </xf>
    <xf numFmtId="0" fontId="11" fillId="0" borderId="94" xfId="0" applyFont="1" applyBorder="1" applyAlignment="1" applyProtection="1">
      <alignment horizontal="center" vertical="center"/>
      <protection locked="0"/>
    </xf>
    <xf numFmtId="0" fontId="0" fillId="0" borderId="94" xfId="0" applyBorder="1" applyAlignment="1">
      <alignment horizontal="center" vertical="center"/>
    </xf>
    <xf numFmtId="0" fontId="37" fillId="26" borderId="0" xfId="0" applyFont="1" applyFill="1">
      <alignment vertical="center"/>
    </xf>
    <xf numFmtId="0" fontId="38" fillId="0" borderId="0" xfId="0" applyFont="1">
      <alignment vertical="center"/>
    </xf>
    <xf numFmtId="55" fontId="38" fillId="0" borderId="0" xfId="0" applyNumberFormat="1" applyFont="1">
      <alignment vertical="center"/>
    </xf>
    <xf numFmtId="0" fontId="38" fillId="0" borderId="94" xfId="0" applyFont="1" applyBorder="1" applyAlignment="1">
      <alignment horizontal="center" vertical="center"/>
    </xf>
    <xf numFmtId="55" fontId="38" fillId="0" borderId="94" xfId="0" applyNumberFormat="1" applyFont="1" applyBorder="1" applyAlignment="1">
      <alignment horizontal="center" vertical="center"/>
    </xf>
    <xf numFmtId="0" fontId="37" fillId="26" borderId="94" xfId="0" applyFont="1" applyFill="1" applyBorder="1" applyAlignment="1">
      <alignment horizontal="center" vertical="center"/>
    </xf>
    <xf numFmtId="0" fontId="38" fillId="0" borderId="94" xfId="0" applyFont="1" applyBorder="1">
      <alignment vertical="center"/>
    </xf>
    <xf numFmtId="55" fontId="38" fillId="0" borderId="94" xfId="0" applyNumberFormat="1" applyFont="1" applyBorder="1">
      <alignment vertical="center"/>
    </xf>
    <xf numFmtId="0" fontId="4" fillId="0" borderId="94" xfId="0" applyFont="1" applyBorder="1" applyAlignment="1" applyProtection="1">
      <alignment horizontal="center" vertical="center" wrapText="1"/>
      <protection locked="0"/>
    </xf>
    <xf numFmtId="180" fontId="4" fillId="0" borderId="94" xfId="0" applyNumberFormat="1" applyFont="1" applyBorder="1" applyAlignment="1" applyProtection="1">
      <alignment horizontal="center" vertical="center" wrapText="1"/>
      <protection locked="0"/>
    </xf>
    <xf numFmtId="0" fontId="32" fillId="0" borderId="0" xfId="0" applyFont="1">
      <alignment vertical="center"/>
    </xf>
    <xf numFmtId="180" fontId="32" fillId="0" borderId="0" xfId="0" applyNumberFormat="1" applyFont="1">
      <alignment vertical="center"/>
    </xf>
    <xf numFmtId="177" fontId="32" fillId="0" borderId="0" xfId="0" applyNumberFormat="1" applyFont="1">
      <alignment vertical="center"/>
    </xf>
    <xf numFmtId="177" fontId="36" fillId="0" borderId="0" xfId="0" applyNumberFormat="1" applyFont="1">
      <alignment vertical="center"/>
    </xf>
    <xf numFmtId="0" fontId="33" fillId="0" borderId="0" xfId="0" applyFont="1">
      <alignment vertical="center"/>
    </xf>
    <xf numFmtId="0" fontId="34" fillId="0" borderId="0" xfId="0" applyFont="1">
      <alignment vertical="center"/>
    </xf>
    <xf numFmtId="181" fontId="0" fillId="0" borderId="0" xfId="0" applyNumberFormat="1">
      <alignment vertical="center"/>
    </xf>
    <xf numFmtId="181" fontId="32" fillId="0" borderId="0" xfId="0" applyNumberFormat="1" applyFont="1">
      <alignment vertical="center"/>
    </xf>
    <xf numFmtId="0" fontId="35" fillId="0" borderId="0" xfId="0" applyFont="1">
      <alignment vertical="center"/>
    </xf>
    <xf numFmtId="0" fontId="42" fillId="0" borderId="0" xfId="0" applyFont="1">
      <alignment vertical="center"/>
    </xf>
    <xf numFmtId="0" fontId="43" fillId="0" borderId="94" xfId="0" applyFont="1" applyBorder="1" applyProtection="1">
      <alignment vertical="center"/>
      <protection locked="0"/>
    </xf>
    <xf numFmtId="0" fontId="16" fillId="0" borderId="0" xfId="0" applyFont="1" applyProtection="1">
      <alignment vertical="center"/>
      <protection locked="0"/>
    </xf>
    <xf numFmtId="0" fontId="44" fillId="0" borderId="0" xfId="0" applyFont="1" applyAlignment="1" applyProtection="1">
      <alignment horizontal="center" vertical="center"/>
      <protection locked="0"/>
      <extLst>
        <ext xmlns:xfpb="http://schemas.microsoft.com/office/spreadsheetml/2022/featurepropertybag" uri="{C7286773-470A-42A8-94C5-96B5CB345126}">
          <xfpb:xfComplement i="0"/>
        </ext>
      </extLst>
    </xf>
    <xf numFmtId="0" fontId="45" fillId="0" borderId="0" xfId="0" applyFont="1">
      <alignment vertical="center"/>
    </xf>
    <xf numFmtId="0" fontId="47" fillId="28" borderId="0" xfId="0" applyFont="1" applyFill="1" applyAlignment="1">
      <alignment horizontal="center" vertical="center"/>
    </xf>
    <xf numFmtId="9" fontId="45" fillId="0" borderId="0" xfId="0" applyNumberFormat="1" applyFont="1">
      <alignment vertical="center"/>
    </xf>
    <xf numFmtId="0" fontId="30" fillId="0" borderId="94" xfId="2" applyBorder="1" applyAlignment="1">
      <alignment vertical="center" wrapText="1"/>
    </xf>
    <xf numFmtId="0" fontId="0" fillId="0" borderId="94" xfId="0" applyBorder="1" applyAlignment="1">
      <alignment vertical="center" wrapText="1"/>
    </xf>
    <xf numFmtId="180" fontId="0" fillId="0" borderId="94" xfId="0" applyNumberFormat="1" applyBorder="1" applyAlignment="1">
      <alignment vertical="center" wrapText="1"/>
    </xf>
    <xf numFmtId="0" fontId="0" fillId="29" borderId="94" xfId="0" applyFill="1" applyBorder="1" applyAlignment="1" applyProtection="1">
      <alignment vertical="center" wrapText="1"/>
      <protection locked="0"/>
    </xf>
    <xf numFmtId="0" fontId="47" fillId="28" borderId="94" xfId="0" applyFont="1" applyFill="1" applyBorder="1" applyAlignment="1">
      <alignment horizontal="center" vertical="center" shrinkToFit="1"/>
    </xf>
    <xf numFmtId="9" fontId="47" fillId="28" borderId="94" xfId="0" applyNumberFormat="1" applyFont="1" applyFill="1" applyBorder="1" applyAlignment="1">
      <alignment horizontal="center" vertical="center" shrinkToFit="1"/>
    </xf>
    <xf numFmtId="0" fontId="47" fillId="28" borderId="0" xfId="0" applyFont="1" applyFill="1" applyAlignment="1">
      <alignment horizontal="center" vertical="center" shrinkToFit="1"/>
    </xf>
    <xf numFmtId="201" fontId="30" fillId="0" borderId="94" xfId="2" applyNumberFormat="1" applyBorder="1" applyAlignment="1">
      <alignment vertical="center" wrapText="1"/>
    </xf>
    <xf numFmtId="201" fontId="0" fillId="0" borderId="94" xfId="0" applyNumberFormat="1" applyBorder="1" applyAlignment="1">
      <alignment vertical="center" wrapText="1"/>
    </xf>
    <xf numFmtId="0" fontId="46" fillId="27" borderId="0" xfId="0" applyFont="1" applyFill="1" applyAlignment="1">
      <alignment horizontal="center" vertical="center"/>
    </xf>
    <xf numFmtId="0" fontId="0" fillId="0" borderId="0" xfId="0" applyAlignment="1">
      <alignment horizontal="center" vertical="center"/>
    </xf>
    <xf numFmtId="0" fontId="24" fillId="2" borderId="140" xfId="0" applyFont="1" applyFill="1" applyBorder="1" applyAlignment="1">
      <alignment horizontal="center" vertical="center"/>
    </xf>
    <xf numFmtId="0" fontId="24" fillId="2" borderId="147" xfId="0" applyFont="1" applyFill="1" applyBorder="1" applyAlignment="1">
      <alignment horizontal="center" vertical="center"/>
    </xf>
    <xf numFmtId="0" fontId="24" fillId="2" borderId="132" xfId="0" applyFont="1" applyFill="1" applyBorder="1" applyAlignment="1">
      <alignment horizontal="center" vertical="center"/>
    </xf>
    <xf numFmtId="192" fontId="4" fillId="2" borderId="140" xfId="0" applyNumberFormat="1" applyFont="1" applyFill="1" applyBorder="1" applyAlignment="1" applyProtection="1">
      <alignment horizontal="center" vertical="center"/>
      <protection locked="0"/>
    </xf>
    <xf numFmtId="192" fontId="4" fillId="2" borderId="147" xfId="0" applyNumberFormat="1" applyFont="1" applyFill="1" applyBorder="1" applyAlignment="1" applyProtection="1">
      <alignment horizontal="center" vertical="center"/>
      <protection locked="0"/>
    </xf>
    <xf numFmtId="192" fontId="4" fillId="2" borderId="113" xfId="0" applyNumberFormat="1" applyFont="1" applyFill="1" applyBorder="1" applyAlignment="1" applyProtection="1">
      <alignment horizontal="center" vertical="center"/>
      <protection locked="0"/>
    </xf>
    <xf numFmtId="0" fontId="3" fillId="10" borderId="0" xfId="0" applyFont="1" applyFill="1" applyAlignment="1">
      <alignment horizontal="right" vertical="center"/>
    </xf>
    <xf numFmtId="179" fontId="3" fillId="10" borderId="0" xfId="0" applyNumberFormat="1" applyFont="1" applyFill="1" applyAlignment="1" applyProtection="1">
      <alignment horizontal="center" vertical="center"/>
      <protection locked="0"/>
    </xf>
    <xf numFmtId="179" fontId="3" fillId="10" borderId="0" xfId="0" applyNumberFormat="1" applyFont="1" applyFill="1" applyAlignment="1" applyProtection="1">
      <alignment horizontal="left" vertical="center"/>
      <protection locked="0"/>
    </xf>
    <xf numFmtId="0" fontId="3" fillId="10" borderId="179" xfId="0" applyFont="1" applyFill="1" applyBorder="1" applyAlignment="1">
      <alignment horizontal="center" vertical="center"/>
    </xf>
    <xf numFmtId="0" fontId="3" fillId="10" borderId="180" xfId="0" applyFont="1" applyFill="1" applyBorder="1" applyAlignment="1">
      <alignment horizontal="center" vertical="center"/>
    </xf>
    <xf numFmtId="199" fontId="23" fillId="0" borderId="179" xfId="0" applyNumberFormat="1" applyFont="1" applyBorder="1" applyAlignment="1" applyProtection="1">
      <alignment horizontal="center" vertical="center"/>
      <protection locked="0"/>
    </xf>
    <xf numFmtId="178" fontId="23" fillId="0" borderId="181" xfId="0" applyNumberFormat="1" applyFont="1" applyBorder="1" applyAlignment="1" applyProtection="1">
      <alignment horizontal="center" vertical="center"/>
      <protection locked="0"/>
    </xf>
    <xf numFmtId="178" fontId="23" fillId="0" borderId="180" xfId="0" applyNumberFormat="1" applyFont="1" applyBorder="1" applyAlignment="1" applyProtection="1">
      <alignment horizontal="center" vertical="center"/>
      <protection locked="0"/>
    </xf>
    <xf numFmtId="0" fontId="29" fillId="0" borderId="179" xfId="0" applyFont="1" applyBorder="1" applyAlignment="1">
      <alignment horizontal="center" vertical="center"/>
    </xf>
    <xf numFmtId="0" fontId="29" fillId="0" borderId="181" xfId="0" applyFont="1" applyBorder="1" applyAlignment="1">
      <alignment horizontal="center" vertical="center"/>
    </xf>
    <xf numFmtId="0" fontId="29" fillId="0" borderId="180" xfId="0" applyFont="1" applyBorder="1" applyAlignment="1">
      <alignment horizontal="center" vertical="center"/>
    </xf>
    <xf numFmtId="0" fontId="4" fillId="0" borderId="102" xfId="0" applyFont="1" applyBorder="1" applyAlignment="1" applyProtection="1">
      <alignment horizontal="center" vertical="center"/>
      <protection locked="0"/>
    </xf>
    <xf numFmtId="0" fontId="4" fillId="0" borderId="121" xfId="0" applyFont="1" applyBorder="1" applyAlignment="1" applyProtection="1">
      <alignment horizontal="center" vertical="center"/>
      <protection locked="0"/>
    </xf>
    <xf numFmtId="0" fontId="4" fillId="0" borderId="122" xfId="0" applyFont="1" applyBorder="1" applyAlignment="1" applyProtection="1">
      <alignment horizontal="center" vertical="center"/>
      <protection locked="0"/>
    </xf>
    <xf numFmtId="0" fontId="4" fillId="0" borderId="103" xfId="0" applyFont="1" applyBorder="1" applyAlignment="1" applyProtection="1">
      <alignment horizontal="center" vertical="center"/>
      <protection locked="0"/>
    </xf>
    <xf numFmtId="0" fontId="4" fillId="0" borderId="146" xfId="0" applyFont="1" applyBorder="1" applyAlignment="1">
      <alignment horizontal="center" vertical="center"/>
    </xf>
    <xf numFmtId="192" fontId="4" fillId="2" borderId="94" xfId="0" applyNumberFormat="1" applyFont="1" applyFill="1" applyBorder="1" applyAlignment="1" applyProtection="1">
      <alignment horizontal="center" vertical="center"/>
      <protection locked="0"/>
    </xf>
    <xf numFmtId="0" fontId="3" fillId="10" borderId="0" xfId="0" applyFont="1" applyFill="1" applyAlignment="1" applyProtection="1">
      <alignment horizontal="right" vertical="center" indent="1"/>
      <protection locked="0"/>
    </xf>
    <xf numFmtId="0" fontId="4" fillId="2" borderId="104" xfId="0" applyFont="1" applyFill="1" applyBorder="1" applyAlignment="1">
      <alignment horizontal="center" vertical="center"/>
    </xf>
    <xf numFmtId="0" fontId="4" fillId="2" borderId="105" xfId="0" applyFont="1" applyFill="1" applyBorder="1" applyAlignment="1">
      <alignment horizontal="center" vertical="center"/>
    </xf>
    <xf numFmtId="0" fontId="4" fillId="2" borderId="114" xfId="0" applyFont="1" applyFill="1" applyBorder="1" applyAlignment="1">
      <alignment horizontal="center" vertical="center"/>
    </xf>
    <xf numFmtId="0" fontId="4" fillId="2" borderId="116" xfId="0" applyFont="1" applyFill="1" applyBorder="1" applyAlignment="1">
      <alignment horizontal="center" vertical="center"/>
    </xf>
    <xf numFmtId="0" fontId="4" fillId="2" borderId="96" xfId="0" applyFont="1" applyFill="1" applyBorder="1" applyAlignment="1">
      <alignment horizontal="center" vertical="center"/>
    </xf>
    <xf numFmtId="0" fontId="4" fillId="2" borderId="97" xfId="0" applyFont="1" applyFill="1" applyBorder="1" applyAlignment="1">
      <alignment horizontal="center" vertical="center"/>
    </xf>
    <xf numFmtId="177" fontId="4" fillId="0" borderId="123" xfId="0" applyNumberFormat="1" applyFont="1" applyBorder="1" applyAlignment="1" applyProtection="1">
      <alignment horizontal="center" vertical="center"/>
      <protection locked="0"/>
    </xf>
    <xf numFmtId="0" fontId="4" fillId="2" borderId="178" xfId="0" applyFont="1" applyFill="1" applyBorder="1" applyAlignment="1">
      <alignment horizontal="left" vertical="center"/>
    </xf>
    <xf numFmtId="0" fontId="4" fillId="2" borderId="184" xfId="0" applyFont="1" applyFill="1" applyBorder="1" applyAlignment="1">
      <alignment horizontal="left" vertical="center"/>
    </xf>
    <xf numFmtId="0" fontId="4" fillId="2" borderId="122" xfId="0" applyFont="1" applyFill="1" applyBorder="1" applyAlignment="1">
      <alignment horizontal="left" vertical="center"/>
    </xf>
    <xf numFmtId="0" fontId="4" fillId="0" borderId="119" xfId="0" applyFont="1" applyBorder="1" applyAlignment="1">
      <alignment horizontal="center" vertical="center"/>
    </xf>
    <xf numFmtId="0" fontId="4" fillId="2" borderId="182" xfId="0" applyFont="1" applyFill="1" applyBorder="1" applyAlignment="1">
      <alignment horizontal="left" vertical="center"/>
    </xf>
    <xf numFmtId="0" fontId="4" fillId="2" borderId="183" xfId="0" applyFont="1" applyFill="1" applyBorder="1" applyAlignment="1">
      <alignment horizontal="left" vertical="center"/>
    </xf>
    <xf numFmtId="0" fontId="4" fillId="2" borderId="116" xfId="0" applyFont="1" applyFill="1" applyBorder="1" applyAlignment="1">
      <alignment horizontal="left" vertical="center"/>
    </xf>
    <xf numFmtId="0" fontId="4" fillId="2" borderId="185" xfId="0" applyFont="1" applyFill="1" applyBorder="1" applyAlignment="1">
      <alignment horizontal="left" vertical="center"/>
    </xf>
    <xf numFmtId="0" fontId="4" fillId="2" borderId="186" xfId="0" applyFont="1" applyFill="1" applyBorder="1" applyAlignment="1">
      <alignment horizontal="left" vertical="center"/>
    </xf>
    <xf numFmtId="0" fontId="4" fillId="2" borderId="117" xfId="0" applyFont="1" applyFill="1" applyBorder="1" applyAlignment="1">
      <alignment horizontal="left" vertical="center"/>
    </xf>
    <xf numFmtId="180" fontId="4" fillId="0" borderId="120" xfId="1" applyNumberFormat="1" applyFont="1" applyBorder="1" applyAlignment="1" applyProtection="1">
      <alignment horizontal="center" vertical="center"/>
    </xf>
    <xf numFmtId="0" fontId="4" fillId="2" borderId="110" xfId="0" applyFont="1" applyFill="1" applyBorder="1" applyAlignment="1">
      <alignment horizontal="center" vertical="center"/>
    </xf>
    <xf numFmtId="0" fontId="4" fillId="2" borderId="111" xfId="0" applyFont="1" applyFill="1" applyBorder="1" applyAlignment="1">
      <alignment horizontal="center" vertical="center"/>
    </xf>
    <xf numFmtId="0" fontId="4" fillId="2" borderId="131" xfId="0" applyFont="1" applyFill="1" applyBorder="1" applyAlignment="1">
      <alignment horizontal="center" vertical="center"/>
    </xf>
    <xf numFmtId="0" fontId="4" fillId="2" borderId="112" xfId="0" applyFont="1" applyFill="1" applyBorder="1" applyAlignment="1">
      <alignment horizontal="center" vertical="center"/>
    </xf>
    <xf numFmtId="0" fontId="4" fillId="2" borderId="132" xfId="0" applyFont="1" applyFill="1" applyBorder="1" applyAlignment="1">
      <alignment horizontal="center" vertical="center"/>
    </xf>
    <xf numFmtId="0" fontId="4" fillId="0" borderId="110" xfId="0" applyFont="1" applyBorder="1" applyAlignment="1" applyProtection="1">
      <alignment horizontal="left" vertical="center"/>
      <protection locked="0"/>
    </xf>
    <xf numFmtId="0" fontId="4" fillId="0" borderId="111" xfId="0" applyFont="1" applyBorder="1" applyAlignment="1" applyProtection="1">
      <alignment horizontal="left" vertical="center"/>
      <protection locked="0"/>
    </xf>
    <xf numFmtId="0" fontId="4" fillId="0" borderId="131" xfId="0" applyFont="1" applyBorder="1" applyAlignment="1" applyProtection="1">
      <alignment horizontal="left" vertical="center"/>
      <protection locked="0"/>
    </xf>
    <xf numFmtId="177" fontId="4" fillId="0" borderId="110" xfId="0" applyNumberFormat="1" applyFont="1" applyBorder="1" applyAlignment="1" applyProtection="1">
      <alignment horizontal="center" vertical="center"/>
      <protection locked="0"/>
    </xf>
    <xf numFmtId="177" fontId="4" fillId="0" borderId="111" xfId="0" applyNumberFormat="1" applyFont="1" applyBorder="1" applyAlignment="1" applyProtection="1">
      <alignment horizontal="center" vertical="center"/>
      <protection locked="0"/>
    </xf>
    <xf numFmtId="0" fontId="4" fillId="0" borderId="132" xfId="0" applyFont="1" applyBorder="1" applyAlignment="1" applyProtection="1">
      <alignment horizontal="left" vertical="center"/>
      <protection locked="0"/>
    </xf>
    <xf numFmtId="0" fontId="4" fillId="0" borderId="112" xfId="0" applyFont="1" applyBorder="1" applyAlignment="1" applyProtection="1">
      <alignment horizontal="left" vertical="center"/>
      <protection locked="0"/>
    </xf>
    <xf numFmtId="0" fontId="4" fillId="0" borderId="133" xfId="0" applyFont="1" applyBorder="1" applyAlignment="1" applyProtection="1">
      <alignment horizontal="left" vertical="center"/>
      <protection locked="0"/>
    </xf>
    <xf numFmtId="0" fontId="4" fillId="0" borderId="134" xfId="0" applyFont="1" applyBorder="1" applyAlignment="1" applyProtection="1">
      <alignment horizontal="left" vertical="center"/>
      <protection locked="0"/>
    </xf>
    <xf numFmtId="0" fontId="4" fillId="0" borderId="135" xfId="0" applyFont="1" applyBorder="1" applyAlignment="1" applyProtection="1">
      <alignment horizontal="left" vertical="center"/>
      <protection locked="0"/>
    </xf>
    <xf numFmtId="177" fontId="4" fillId="0" borderId="133" xfId="0" applyNumberFormat="1" applyFont="1" applyBorder="1" applyAlignment="1" applyProtection="1">
      <alignment horizontal="center" vertical="center"/>
      <protection locked="0"/>
    </xf>
    <xf numFmtId="177" fontId="4" fillId="0" borderId="134" xfId="0" applyNumberFormat="1" applyFont="1" applyBorder="1" applyAlignment="1" applyProtection="1">
      <alignment horizontal="center" vertical="center"/>
      <protection locked="0"/>
    </xf>
    <xf numFmtId="0" fontId="4" fillId="0" borderId="137" xfId="0" applyFont="1" applyBorder="1" applyAlignment="1" applyProtection="1">
      <alignment horizontal="left" vertical="center"/>
      <protection locked="0"/>
    </xf>
    <xf numFmtId="0" fontId="4" fillId="0" borderId="136" xfId="0" applyFont="1" applyBorder="1" applyAlignment="1" applyProtection="1">
      <alignment horizontal="left" vertical="center"/>
      <protection locked="0"/>
    </xf>
    <xf numFmtId="196" fontId="4" fillId="0" borderId="146" xfId="0" applyNumberFormat="1" applyFont="1" applyBorder="1" applyAlignment="1">
      <alignment horizontal="center" vertical="center"/>
    </xf>
    <xf numFmtId="0" fontId="4" fillId="0" borderId="178" xfId="0" applyFont="1" applyBorder="1" applyAlignment="1" applyProtection="1">
      <alignment horizontal="center" vertical="center"/>
      <protection locked="0"/>
    </xf>
    <xf numFmtId="0" fontId="4" fillId="2" borderId="188" xfId="0" applyFont="1" applyFill="1" applyBorder="1" applyAlignment="1">
      <alignment horizontal="left" vertical="center"/>
    </xf>
    <xf numFmtId="0" fontId="4" fillId="2" borderId="189" xfId="0" applyFont="1" applyFill="1" applyBorder="1" applyAlignment="1">
      <alignment horizontal="left" vertical="center"/>
    </xf>
    <xf numFmtId="0" fontId="4" fillId="2" borderId="145" xfId="0" applyFont="1" applyFill="1" applyBorder="1" applyAlignment="1">
      <alignment horizontal="left" vertical="center"/>
    </xf>
    <xf numFmtId="186" fontId="4" fillId="0" borderId="190" xfId="0" applyNumberFormat="1" applyFont="1" applyBorder="1" applyAlignment="1" applyProtection="1">
      <alignment horizontal="center" vertical="center"/>
      <protection locked="0"/>
    </xf>
    <xf numFmtId="0" fontId="4" fillId="0" borderId="107" xfId="0" applyFont="1" applyBorder="1" applyAlignment="1" applyProtection="1">
      <alignment horizontal="left" vertical="center"/>
      <protection locked="0"/>
    </xf>
    <xf numFmtId="0" fontId="4" fillId="0" borderId="108" xfId="0" applyFont="1" applyBorder="1" applyAlignment="1" applyProtection="1">
      <alignment horizontal="left" vertical="center"/>
      <protection locked="0"/>
    </xf>
    <xf numFmtId="0" fontId="4" fillId="0" borderId="138" xfId="0" applyFont="1" applyBorder="1" applyAlignment="1" applyProtection="1">
      <alignment horizontal="left" vertical="center"/>
      <protection locked="0"/>
    </xf>
    <xf numFmtId="177" fontId="4" fillId="0" borderId="107" xfId="0" applyNumberFormat="1" applyFont="1" applyBorder="1" applyAlignment="1" applyProtection="1">
      <alignment horizontal="center" vertical="center"/>
      <protection locked="0"/>
    </xf>
    <xf numFmtId="177" fontId="4" fillId="0" borderId="108" xfId="0" applyNumberFormat="1" applyFont="1" applyBorder="1" applyAlignment="1" applyProtection="1">
      <alignment horizontal="center" vertical="center"/>
      <protection locked="0"/>
    </xf>
    <xf numFmtId="0" fontId="4" fillId="0" borderId="128" xfId="0" applyFont="1" applyBorder="1" applyAlignment="1" applyProtection="1">
      <alignment horizontal="left" vertical="center"/>
      <protection locked="0"/>
    </xf>
    <xf numFmtId="0" fontId="4" fillId="0" borderId="109" xfId="0" applyFont="1" applyBorder="1" applyAlignment="1" applyProtection="1">
      <alignment horizontal="left" vertical="center"/>
      <protection locked="0"/>
    </xf>
    <xf numFmtId="0" fontId="4" fillId="2" borderId="110" xfId="0" applyFont="1" applyFill="1" applyBorder="1" applyAlignment="1">
      <alignment horizontal="left" vertical="center"/>
    </xf>
    <xf numFmtId="0" fontId="4" fillId="2" borderId="111" xfId="0" applyFont="1" applyFill="1" applyBorder="1" applyAlignment="1">
      <alignment horizontal="left" vertical="center"/>
    </xf>
    <xf numFmtId="0" fontId="4" fillId="2" borderId="131" xfId="0" applyFont="1" applyFill="1" applyBorder="1" applyAlignment="1">
      <alignment horizontal="left" vertical="center"/>
    </xf>
    <xf numFmtId="192" fontId="4" fillId="2" borderId="110" xfId="0" applyNumberFormat="1" applyFont="1" applyFill="1" applyBorder="1" applyAlignment="1" applyProtection="1">
      <alignment horizontal="center" vertical="center"/>
      <protection locked="0"/>
    </xf>
    <xf numFmtId="192" fontId="4" fillId="2" borderId="111" xfId="0" applyNumberFormat="1" applyFont="1" applyFill="1" applyBorder="1" applyAlignment="1" applyProtection="1">
      <alignment horizontal="center" vertical="center"/>
      <protection locked="0"/>
    </xf>
    <xf numFmtId="192" fontId="4" fillId="2" borderId="112" xfId="0" applyNumberFormat="1" applyFont="1" applyFill="1" applyBorder="1" applyAlignment="1" applyProtection="1">
      <alignment horizontal="center" vertical="center"/>
      <protection locked="0"/>
    </xf>
    <xf numFmtId="192" fontId="4" fillId="2" borderId="132" xfId="0" applyNumberFormat="1" applyFont="1" applyFill="1" applyBorder="1" applyAlignment="1" applyProtection="1">
      <alignment horizontal="center" vertical="center"/>
      <protection locked="0"/>
    </xf>
    <xf numFmtId="192" fontId="4" fillId="2" borderId="131" xfId="0" applyNumberFormat="1" applyFont="1" applyFill="1" applyBorder="1" applyAlignment="1" applyProtection="1">
      <alignment horizontal="center" vertical="center"/>
      <protection locked="0"/>
    </xf>
    <xf numFmtId="0" fontId="30" fillId="13" borderId="3" xfId="2" applyFill="1" applyBorder="1" applyAlignment="1">
      <alignment horizontal="left" vertical="center"/>
    </xf>
    <xf numFmtId="0" fontId="30" fillId="13" borderId="191" xfId="2" applyFill="1" applyBorder="1" applyAlignment="1">
      <alignment horizontal="left" vertical="center"/>
    </xf>
    <xf numFmtId="0" fontId="30" fillId="13" borderId="192" xfId="2" applyFill="1" applyBorder="1" applyAlignment="1">
      <alignment horizontal="left" vertical="center"/>
    </xf>
    <xf numFmtId="190" fontId="4" fillId="0" borderId="187" xfId="0" applyNumberFormat="1" applyFont="1" applyBorder="1" applyAlignment="1">
      <alignment horizontal="center" vertical="center"/>
    </xf>
    <xf numFmtId="190" fontId="4" fillId="18" borderId="168" xfId="0" applyNumberFormat="1" applyFont="1" applyFill="1" applyBorder="1" applyAlignment="1">
      <alignment horizontal="center" vertical="center"/>
    </xf>
    <xf numFmtId="190" fontId="4" fillId="18" borderId="169" xfId="0" applyNumberFormat="1" applyFont="1" applyFill="1" applyBorder="1" applyAlignment="1">
      <alignment horizontal="center" vertical="center"/>
    </xf>
    <xf numFmtId="190" fontId="4" fillId="0" borderId="169" xfId="0" applyNumberFormat="1" applyFont="1" applyBorder="1" applyAlignment="1">
      <alignment horizontal="center" vertical="center"/>
    </xf>
    <xf numFmtId="190" fontId="4" fillId="0" borderId="171" xfId="0" applyNumberFormat="1" applyFont="1" applyBorder="1" applyAlignment="1">
      <alignment horizontal="center" vertical="center"/>
    </xf>
    <xf numFmtId="0" fontId="4" fillId="0" borderId="184" xfId="0" applyFont="1" applyBorder="1" applyAlignment="1" applyProtection="1">
      <alignment horizontal="center" vertical="center"/>
      <protection locked="0"/>
    </xf>
    <xf numFmtId="0" fontId="4" fillId="0" borderId="193" xfId="0" applyFont="1" applyBorder="1" applyAlignment="1" applyProtection="1">
      <alignment horizontal="center" vertical="center"/>
      <protection locked="0"/>
    </xf>
    <xf numFmtId="0" fontId="4" fillId="2" borderId="162" xfId="0" applyFont="1" applyFill="1" applyBorder="1" applyAlignment="1">
      <alignment horizontal="center" wrapText="1"/>
    </xf>
    <xf numFmtId="0" fontId="4" fillId="2" borderId="139" xfId="0" applyFont="1" applyFill="1" applyBorder="1" applyAlignment="1">
      <alignment horizontal="center" wrapText="1"/>
    </xf>
    <xf numFmtId="0" fontId="4" fillId="2" borderId="163" xfId="0" applyFont="1" applyFill="1" applyBorder="1" applyAlignment="1">
      <alignment horizontal="center" wrapText="1"/>
    </xf>
    <xf numFmtId="0" fontId="4" fillId="2" borderId="164" xfId="0" applyFont="1" applyFill="1" applyBorder="1" applyAlignment="1">
      <alignment horizontal="center" wrapText="1"/>
    </xf>
    <xf numFmtId="0" fontId="4" fillId="2" borderId="0" xfId="0" applyFont="1" applyFill="1" applyAlignment="1">
      <alignment horizontal="center" wrapText="1"/>
    </xf>
    <xf numFmtId="0" fontId="4" fillId="2" borderId="69" xfId="0" applyFont="1" applyFill="1" applyBorder="1" applyAlignment="1">
      <alignment horizontal="center" wrapText="1"/>
    </xf>
    <xf numFmtId="0" fontId="4" fillId="2" borderId="137" xfId="0" applyFont="1" applyFill="1" applyBorder="1" applyAlignment="1">
      <alignment horizontal="center" vertical="center"/>
    </xf>
    <xf numFmtId="0" fontId="4" fillId="2" borderId="134" xfId="0" applyFont="1" applyFill="1" applyBorder="1" applyAlignment="1">
      <alignment horizontal="center" vertical="center"/>
    </xf>
    <xf numFmtId="0" fontId="4" fillId="2" borderId="135" xfId="0" applyFont="1" applyFill="1" applyBorder="1" applyAlignment="1">
      <alignment horizontal="center" vertical="center"/>
    </xf>
    <xf numFmtId="181" fontId="4" fillId="0" borderId="133" xfId="0" applyNumberFormat="1" applyFont="1" applyBorder="1" applyAlignment="1" applyProtection="1">
      <alignment horizontal="center" vertical="center"/>
      <protection locked="0"/>
    </xf>
    <xf numFmtId="181" fontId="4" fillId="0" borderId="134" xfId="0" applyNumberFormat="1" applyFont="1" applyBorder="1" applyAlignment="1" applyProtection="1">
      <alignment horizontal="center" vertical="center"/>
      <protection locked="0"/>
    </xf>
    <xf numFmtId="181" fontId="4" fillId="0" borderId="136" xfId="0" applyNumberFormat="1" applyFont="1" applyBorder="1" applyAlignment="1" applyProtection="1">
      <alignment horizontal="center" vertical="center"/>
      <protection locked="0"/>
    </xf>
    <xf numFmtId="181" fontId="4" fillId="0" borderId="137" xfId="0" applyNumberFormat="1" applyFont="1" applyBorder="1" applyAlignment="1" applyProtection="1">
      <alignment horizontal="center" vertical="center"/>
      <protection locked="0"/>
    </xf>
    <xf numFmtId="181" fontId="4" fillId="0" borderId="135" xfId="0" applyNumberFormat="1" applyFont="1" applyBorder="1" applyAlignment="1" applyProtection="1">
      <alignment horizontal="center" vertical="center"/>
      <protection locked="0"/>
    </xf>
    <xf numFmtId="0" fontId="4" fillId="2" borderId="94" xfId="0" applyFont="1" applyFill="1" applyBorder="1" applyAlignment="1">
      <alignment horizontal="center" vertical="center"/>
    </xf>
    <xf numFmtId="178" fontId="4" fillId="11" borderId="95" xfId="0" applyNumberFormat="1" applyFont="1" applyFill="1" applyBorder="1" applyAlignment="1">
      <alignment horizontal="center" vertical="center"/>
    </xf>
    <xf numFmtId="178" fontId="4" fillId="11" borderId="96" xfId="0" applyNumberFormat="1" applyFont="1" applyFill="1" applyBorder="1" applyAlignment="1">
      <alignment horizontal="center" vertical="center"/>
    </xf>
    <xf numFmtId="178" fontId="4" fillId="11" borderId="114" xfId="0" applyNumberFormat="1" applyFont="1" applyFill="1" applyBorder="1" applyAlignment="1">
      <alignment horizontal="center" vertical="center"/>
    </xf>
    <xf numFmtId="181" fontId="4" fillId="0" borderId="95" xfId="0" applyNumberFormat="1" applyFont="1" applyBorder="1" applyAlignment="1" applyProtection="1">
      <alignment horizontal="center" vertical="center"/>
      <protection locked="0"/>
    </xf>
    <xf numFmtId="181" fontId="4" fillId="0" borderId="96" xfId="0" applyNumberFormat="1" applyFont="1" applyBorder="1" applyAlignment="1" applyProtection="1">
      <alignment horizontal="center" vertical="center"/>
      <protection locked="0"/>
    </xf>
    <xf numFmtId="181" fontId="4" fillId="0" borderId="97" xfId="0" applyNumberFormat="1" applyFont="1" applyBorder="1" applyAlignment="1" applyProtection="1">
      <alignment horizontal="center" vertical="center"/>
      <protection locked="0"/>
    </xf>
    <xf numFmtId="181" fontId="4" fillId="0" borderId="116" xfId="0" applyNumberFormat="1" applyFont="1" applyBorder="1" applyAlignment="1" applyProtection="1">
      <alignment horizontal="center" vertical="center"/>
      <protection locked="0"/>
    </xf>
    <xf numFmtId="181" fontId="4" fillId="0" borderId="114" xfId="0" applyNumberFormat="1" applyFont="1" applyBorder="1" applyAlignment="1" applyProtection="1">
      <alignment horizontal="center" vertical="center"/>
      <protection locked="0"/>
    </xf>
    <xf numFmtId="181" fontId="4" fillId="0" borderId="145" xfId="0" applyNumberFormat="1" applyFont="1" applyBorder="1" applyAlignment="1" applyProtection="1">
      <alignment horizontal="center" vertical="center"/>
      <protection locked="0"/>
    </xf>
    <xf numFmtId="181" fontId="4" fillId="0" borderId="143" xfId="0" applyNumberFormat="1" applyFont="1" applyBorder="1" applyAlignment="1" applyProtection="1">
      <alignment horizontal="center" vertical="center"/>
      <protection locked="0"/>
    </xf>
    <xf numFmtId="181" fontId="4" fillId="0" borderId="144" xfId="0" applyNumberFormat="1" applyFont="1" applyBorder="1" applyAlignment="1" applyProtection="1">
      <alignment horizontal="center" vertical="center"/>
      <protection locked="0"/>
    </xf>
    <xf numFmtId="178" fontId="4" fillId="12" borderId="168" xfId="0" applyNumberFormat="1" applyFont="1" applyFill="1" applyBorder="1" applyAlignment="1">
      <alignment horizontal="center" vertical="center"/>
    </xf>
    <xf numFmtId="178" fontId="4" fillId="12" borderId="169" xfId="0" applyNumberFormat="1" applyFont="1" applyFill="1" applyBorder="1" applyAlignment="1">
      <alignment horizontal="center" vertical="center"/>
    </xf>
    <xf numFmtId="178" fontId="4" fillId="12" borderId="170" xfId="0" applyNumberFormat="1" applyFont="1" applyFill="1" applyBorder="1" applyAlignment="1">
      <alignment horizontal="center" vertical="center"/>
    </xf>
    <xf numFmtId="181" fontId="4" fillId="0" borderId="141" xfId="0" applyNumberFormat="1" applyFont="1" applyBorder="1" applyAlignment="1" applyProtection="1">
      <alignment horizontal="center" vertical="center"/>
      <protection locked="0"/>
    </xf>
    <xf numFmtId="177" fontId="4" fillId="0" borderId="178" xfId="0" applyNumberFormat="1" applyFont="1" applyBorder="1" applyAlignment="1" applyProtection="1">
      <alignment horizontal="center" vertical="center"/>
      <protection locked="0"/>
    </xf>
    <xf numFmtId="177" fontId="4" fillId="0" borderId="122" xfId="0" applyNumberFormat="1" applyFont="1" applyBorder="1" applyAlignment="1" applyProtection="1">
      <alignment horizontal="center" vertical="center"/>
      <protection locked="0"/>
    </xf>
    <xf numFmtId="177" fontId="4" fillId="0" borderId="121" xfId="0" applyNumberFormat="1" applyFont="1" applyBorder="1" applyAlignment="1" applyProtection="1">
      <alignment horizontal="center" vertical="center"/>
      <protection locked="0"/>
    </xf>
    <xf numFmtId="177" fontId="4" fillId="0" borderId="193" xfId="0" applyNumberFormat="1" applyFont="1" applyBorder="1" applyAlignment="1" applyProtection="1">
      <alignment horizontal="center" vertical="center"/>
      <protection locked="0"/>
    </xf>
    <xf numFmtId="177" fontId="4" fillId="0" borderId="102" xfId="0" applyNumberFormat="1" applyFont="1" applyBorder="1" applyAlignment="1" applyProtection="1">
      <alignment horizontal="center" vertical="center"/>
      <protection locked="0"/>
    </xf>
    <xf numFmtId="177" fontId="4" fillId="0" borderId="101" xfId="0" applyNumberFormat="1" applyFont="1" applyBorder="1" applyAlignment="1" applyProtection="1">
      <alignment horizontal="center" vertical="center"/>
      <protection locked="0"/>
    </xf>
    <xf numFmtId="177" fontId="4" fillId="0" borderId="103" xfId="0" applyNumberFormat="1" applyFont="1" applyBorder="1" applyAlignment="1" applyProtection="1">
      <alignment horizontal="center" vertical="center"/>
      <protection locked="0"/>
    </xf>
    <xf numFmtId="0" fontId="4" fillId="12" borderId="94" xfId="0" applyFont="1" applyFill="1" applyBorder="1" applyAlignment="1">
      <alignment horizontal="center" vertical="center"/>
    </xf>
    <xf numFmtId="0" fontId="4" fillId="12" borderId="94" xfId="0" applyFont="1" applyFill="1" applyBorder="1" applyAlignment="1">
      <alignment horizontal="left" vertical="center"/>
    </xf>
    <xf numFmtId="0" fontId="4" fillId="11" borderId="140" xfId="0" applyFont="1" applyFill="1" applyBorder="1" applyAlignment="1">
      <alignment horizontal="center" vertical="center"/>
    </xf>
    <xf numFmtId="0" fontId="4" fillId="11" borderId="147" xfId="0" applyFont="1" applyFill="1" applyBorder="1" applyAlignment="1">
      <alignment horizontal="center" vertical="center"/>
    </xf>
    <xf numFmtId="0" fontId="4" fillId="11" borderId="147" xfId="0" applyFont="1" applyFill="1" applyBorder="1" applyAlignment="1" applyProtection="1">
      <alignment horizontal="center" vertical="center"/>
      <protection locked="0"/>
    </xf>
    <xf numFmtId="0" fontId="4" fillId="11" borderId="113" xfId="0" applyFont="1" applyFill="1" applyBorder="1" applyAlignment="1" applyProtection="1">
      <alignment horizontal="center" vertical="center"/>
      <protection locked="0"/>
    </xf>
    <xf numFmtId="0" fontId="4" fillId="0" borderId="132" xfId="0" applyFont="1" applyBorder="1" applyAlignment="1" applyProtection="1">
      <alignment horizontal="center" vertical="center"/>
      <protection locked="0"/>
    </xf>
    <xf numFmtId="0" fontId="4" fillId="0" borderId="111" xfId="0" applyFont="1" applyBorder="1" applyAlignment="1" applyProtection="1">
      <alignment horizontal="center" vertical="center"/>
      <protection locked="0"/>
    </xf>
    <xf numFmtId="0" fontId="4" fillId="0" borderId="131" xfId="0" applyFont="1" applyBorder="1" applyAlignment="1" applyProtection="1">
      <alignment horizontal="center" vertical="center"/>
      <protection locked="0"/>
    </xf>
    <xf numFmtId="0" fontId="4" fillId="0" borderId="112" xfId="0" applyFont="1" applyBorder="1" applyAlignment="1" applyProtection="1">
      <alignment horizontal="center" vertical="center"/>
      <protection locked="0"/>
    </xf>
    <xf numFmtId="178" fontId="4" fillId="12" borderId="95" xfId="0" applyNumberFormat="1" applyFont="1" applyFill="1" applyBorder="1" applyAlignment="1">
      <alignment horizontal="center" vertical="center"/>
    </xf>
    <xf numFmtId="178" fontId="4" fillId="12" borderId="96" xfId="0" applyNumberFormat="1" applyFont="1" applyFill="1" applyBorder="1" applyAlignment="1">
      <alignment horizontal="center" vertical="center"/>
    </xf>
    <xf numFmtId="178" fontId="4" fillId="12" borderId="114" xfId="0" applyNumberFormat="1" applyFont="1" applyFill="1" applyBorder="1" applyAlignment="1">
      <alignment horizontal="center" vertical="center"/>
    </xf>
    <xf numFmtId="181" fontId="4" fillId="0" borderId="142" xfId="0" applyNumberFormat="1" applyFont="1" applyBorder="1" applyAlignment="1" applyProtection="1">
      <alignment horizontal="center" vertical="center"/>
      <protection locked="0"/>
    </xf>
    <xf numFmtId="178" fontId="4" fillId="12" borderId="141" xfId="0" applyNumberFormat="1" applyFont="1" applyFill="1" applyBorder="1" applyAlignment="1">
      <alignment horizontal="center" vertical="center"/>
    </xf>
    <xf numFmtId="178" fontId="4" fillId="12" borderId="143" xfId="0" applyNumberFormat="1" applyFont="1" applyFill="1" applyBorder="1" applyAlignment="1">
      <alignment horizontal="center" vertical="center"/>
    </xf>
    <xf numFmtId="178" fontId="4" fillId="12" borderId="142" xfId="0" applyNumberFormat="1" applyFont="1" applyFill="1" applyBorder="1" applyAlignment="1">
      <alignment horizontal="center" vertical="center"/>
    </xf>
    <xf numFmtId="0" fontId="25" fillId="2" borderId="164" xfId="0" applyFont="1" applyFill="1" applyBorder="1" applyAlignment="1" applyProtection="1">
      <alignment horizontal="center" vertical="center" wrapText="1"/>
      <protection locked="0"/>
    </xf>
    <xf numFmtId="0" fontId="25" fillId="2" borderId="0" xfId="0" applyFont="1" applyFill="1" applyAlignment="1" applyProtection="1">
      <alignment horizontal="center" vertical="center" wrapText="1"/>
      <protection locked="0"/>
    </xf>
    <xf numFmtId="0" fontId="25" fillId="2" borderId="69" xfId="0" applyFont="1" applyFill="1" applyBorder="1" applyAlignment="1" applyProtection="1">
      <alignment horizontal="center" vertical="center" wrapText="1"/>
      <protection locked="0"/>
    </xf>
    <xf numFmtId="0" fontId="25" fillId="2" borderId="165" xfId="0" applyFont="1" applyFill="1" applyBorder="1" applyAlignment="1" applyProtection="1">
      <alignment horizontal="center" vertical="center" wrapText="1"/>
      <protection locked="0"/>
    </xf>
    <xf numFmtId="0" fontId="25" fillId="2" borderId="166" xfId="0" applyFont="1" applyFill="1" applyBorder="1" applyAlignment="1" applyProtection="1">
      <alignment horizontal="center" vertical="center" wrapText="1"/>
      <protection locked="0"/>
    </xf>
    <xf numFmtId="0" fontId="25" fillId="2" borderId="167" xfId="0" applyFont="1" applyFill="1" applyBorder="1" applyAlignment="1" applyProtection="1">
      <alignment horizontal="center" vertical="center" wrapText="1"/>
      <protection locked="0"/>
    </xf>
    <xf numFmtId="178" fontId="4" fillId="11" borderId="141" xfId="0" applyNumberFormat="1" applyFont="1" applyFill="1" applyBorder="1" applyAlignment="1">
      <alignment horizontal="center" vertical="center"/>
    </xf>
    <xf numFmtId="178" fontId="4" fillId="11" borderId="143" xfId="0" applyNumberFormat="1" applyFont="1" applyFill="1" applyBorder="1" applyAlignment="1">
      <alignment horizontal="center" vertical="center"/>
    </xf>
    <xf numFmtId="178" fontId="4" fillId="11" borderId="142" xfId="0" applyNumberFormat="1" applyFont="1" applyFill="1" applyBorder="1" applyAlignment="1">
      <alignment horizontal="center" vertical="center"/>
    </xf>
    <xf numFmtId="0" fontId="4" fillId="0" borderId="131" xfId="0" applyFont="1" applyBorder="1" applyAlignment="1">
      <alignment horizontal="left" vertical="center"/>
    </xf>
    <xf numFmtId="0" fontId="4" fillId="0" borderId="147" xfId="0" applyFont="1" applyBorder="1" applyAlignment="1">
      <alignment horizontal="left" vertical="center"/>
    </xf>
    <xf numFmtId="0" fontId="4" fillId="0" borderId="113" xfId="0" applyFont="1" applyBorder="1" applyAlignment="1">
      <alignment horizontal="left" vertical="center"/>
    </xf>
    <xf numFmtId="0" fontId="4" fillId="2" borderId="107" xfId="0" applyFont="1" applyFill="1" applyBorder="1" applyAlignment="1">
      <alignment horizontal="center" vertical="center"/>
    </xf>
    <xf numFmtId="0" fontId="4" fillId="2" borderId="108" xfId="0" applyFont="1" applyFill="1" applyBorder="1" applyAlignment="1">
      <alignment horizontal="center" vertical="center"/>
    </xf>
    <xf numFmtId="0" fontId="4" fillId="2" borderId="109" xfId="0" applyFont="1" applyFill="1" applyBorder="1" applyAlignment="1">
      <alignment horizontal="center" vertical="center"/>
    </xf>
    <xf numFmtId="0" fontId="4" fillId="12" borderId="94" xfId="0" applyFont="1" applyFill="1" applyBorder="1" applyAlignment="1" applyProtection="1">
      <alignment horizontal="left" vertical="center"/>
      <protection locked="0"/>
    </xf>
    <xf numFmtId="180" fontId="4" fillId="0" borderId="168" xfId="1" applyNumberFormat="1" applyFont="1" applyBorder="1" applyAlignment="1">
      <alignment horizontal="center" vertical="center"/>
    </xf>
    <xf numFmtId="180" fontId="4" fillId="0" borderId="169" xfId="1" applyNumberFormat="1" applyFont="1" applyBorder="1" applyAlignment="1">
      <alignment horizontal="center" vertical="center"/>
    </xf>
    <xf numFmtId="180" fontId="4" fillId="0" borderId="171" xfId="1" applyNumberFormat="1" applyFont="1" applyBorder="1" applyAlignment="1">
      <alignment horizontal="center" vertical="center"/>
    </xf>
    <xf numFmtId="0" fontId="4" fillId="11" borderId="94" xfId="0" applyFont="1" applyFill="1" applyBorder="1" applyAlignment="1" applyProtection="1">
      <alignment horizontal="center" vertical="center"/>
      <protection locked="0"/>
    </xf>
    <xf numFmtId="0" fontId="4" fillId="2" borderId="94" xfId="0" applyFont="1" applyFill="1" applyBorder="1" applyAlignment="1">
      <alignment horizontal="left" vertical="center"/>
    </xf>
    <xf numFmtId="0" fontId="4" fillId="2" borderId="130" xfId="0" applyFont="1" applyFill="1" applyBorder="1" applyAlignment="1">
      <alignment horizontal="center" vertical="center"/>
    </xf>
    <xf numFmtId="177" fontId="4" fillId="0" borderId="104" xfId="0" applyNumberFormat="1" applyFont="1" applyBorder="1" applyAlignment="1" applyProtection="1">
      <alignment horizontal="center" vertical="center"/>
      <protection locked="0"/>
    </xf>
    <xf numFmtId="177" fontId="4" fillId="0" borderId="105" xfId="0" applyNumberFormat="1" applyFont="1" applyBorder="1" applyAlignment="1" applyProtection="1">
      <alignment horizontal="center" vertical="center"/>
      <protection locked="0"/>
    </xf>
    <xf numFmtId="0" fontId="4" fillId="2" borderId="128" xfId="0" applyFont="1" applyFill="1" applyBorder="1" applyAlignment="1">
      <alignment horizontal="center" vertical="center"/>
    </xf>
    <xf numFmtId="0" fontId="4" fillId="2" borderId="138" xfId="0" applyFont="1" applyFill="1" applyBorder="1" applyAlignment="1">
      <alignment horizontal="center" vertical="center"/>
    </xf>
    <xf numFmtId="0" fontId="4" fillId="11" borderId="94" xfId="0" applyFont="1" applyFill="1" applyBorder="1" applyAlignment="1">
      <alignment horizontal="center" vertical="center"/>
    </xf>
    <xf numFmtId="0" fontId="4" fillId="2" borderId="95" xfId="0" applyFont="1" applyFill="1" applyBorder="1" applyAlignment="1" applyProtection="1">
      <alignment horizontal="center" vertical="center"/>
      <protection locked="0"/>
    </xf>
    <xf numFmtId="0" fontId="4" fillId="2" borderId="114" xfId="0" applyFont="1" applyFill="1" applyBorder="1" applyAlignment="1" applyProtection="1">
      <alignment horizontal="center" vertical="center"/>
      <protection locked="0"/>
    </xf>
    <xf numFmtId="0" fontId="4" fillId="2" borderId="98" xfId="0" applyFont="1" applyFill="1" applyBorder="1" applyAlignment="1" applyProtection="1">
      <alignment horizontal="center" vertical="center"/>
      <protection locked="0"/>
    </xf>
    <xf numFmtId="0" fontId="4" fillId="2" borderId="115" xfId="0" applyFont="1" applyFill="1" applyBorder="1" applyAlignment="1" applyProtection="1">
      <alignment horizontal="center" vertical="center"/>
      <protection locked="0"/>
    </xf>
    <xf numFmtId="0" fontId="26" fillId="14" borderId="94" xfId="0" applyFont="1" applyFill="1" applyBorder="1" applyAlignment="1" applyProtection="1">
      <alignment horizontal="center" vertical="center"/>
      <protection locked="0"/>
    </xf>
    <xf numFmtId="177" fontId="4" fillId="0" borderId="182" xfId="0" applyNumberFormat="1" applyFont="1" applyBorder="1" applyAlignment="1" applyProtection="1">
      <alignment horizontal="center" vertical="center"/>
      <protection locked="0"/>
    </xf>
    <xf numFmtId="177" fontId="4" fillId="0" borderId="116" xfId="0" applyNumberFormat="1" applyFont="1" applyBorder="1" applyAlignment="1" applyProtection="1">
      <alignment horizontal="center" vertical="center"/>
      <protection locked="0"/>
    </xf>
    <xf numFmtId="177" fontId="4" fillId="0" borderId="114" xfId="0" applyNumberFormat="1" applyFont="1" applyBorder="1" applyAlignment="1" applyProtection="1">
      <alignment horizontal="center" vertical="center"/>
      <protection locked="0"/>
    </xf>
    <xf numFmtId="177" fontId="4" fillId="0" borderId="194" xfId="0" applyNumberFormat="1" applyFont="1" applyBorder="1" applyAlignment="1" applyProtection="1">
      <alignment horizontal="center" vertical="center"/>
      <protection locked="0"/>
    </xf>
    <xf numFmtId="177" fontId="4" fillId="0" borderId="129" xfId="0" applyNumberFormat="1" applyFont="1" applyBorder="1" applyAlignment="1" applyProtection="1">
      <alignment horizontal="center" vertical="center"/>
      <protection locked="0"/>
    </xf>
    <xf numFmtId="182" fontId="4" fillId="0" borderId="132" xfId="0" applyNumberFormat="1" applyFont="1" applyBorder="1" applyAlignment="1" applyProtection="1">
      <alignment horizontal="center" vertical="center"/>
      <protection locked="0"/>
    </xf>
    <xf numFmtId="182" fontId="4" fillId="0" borderId="111" xfId="0" applyNumberFormat="1" applyFont="1" applyBorder="1" applyAlignment="1" applyProtection="1">
      <alignment horizontal="center" vertical="center"/>
      <protection locked="0"/>
    </xf>
    <xf numFmtId="182" fontId="4" fillId="0" borderId="112" xfId="0" applyNumberFormat="1" applyFont="1" applyBorder="1" applyAlignment="1" applyProtection="1">
      <alignment horizontal="center" vertical="center"/>
      <protection locked="0"/>
    </xf>
    <xf numFmtId="0" fontId="4" fillId="2" borderId="101" xfId="0" applyFont="1" applyFill="1" applyBorder="1" applyAlignment="1">
      <alignment horizontal="center" vertical="center"/>
    </xf>
    <xf numFmtId="0" fontId="4" fillId="2" borderId="121" xfId="0" applyFont="1" applyFill="1" applyBorder="1" applyAlignment="1">
      <alignment horizontal="center" vertical="center"/>
    </xf>
    <xf numFmtId="177" fontId="4" fillId="0" borderId="130" xfId="0" applyNumberFormat="1" applyFont="1" applyBorder="1" applyAlignment="1" applyProtection="1">
      <alignment horizontal="center" vertical="center"/>
      <protection locked="0"/>
    </xf>
    <xf numFmtId="177" fontId="4" fillId="0" borderId="106" xfId="0" applyNumberFormat="1" applyFont="1" applyBorder="1" applyAlignment="1" applyProtection="1">
      <alignment horizontal="center" vertical="center"/>
      <protection locked="0"/>
    </xf>
    <xf numFmtId="177" fontId="4" fillId="0" borderId="201" xfId="0" applyNumberFormat="1" applyFont="1" applyBorder="1" applyAlignment="1">
      <alignment horizontal="center" vertical="center"/>
    </xf>
    <xf numFmtId="177" fontId="4" fillId="0" borderId="202" xfId="0" applyNumberFormat="1" applyFont="1" applyBorder="1" applyAlignment="1">
      <alignment horizontal="center" vertical="center"/>
    </xf>
    <xf numFmtId="177" fontId="4" fillId="0" borderId="199" xfId="0" applyNumberFormat="1" applyFont="1" applyBorder="1" applyAlignment="1">
      <alignment horizontal="center" vertical="center"/>
    </xf>
    <xf numFmtId="177" fontId="4" fillId="0" borderId="200" xfId="0" applyNumberFormat="1" applyFont="1" applyBorder="1" applyAlignment="1">
      <alignment horizontal="center" vertical="center"/>
    </xf>
    <xf numFmtId="177" fontId="4" fillId="0" borderId="176" xfId="0" applyNumberFormat="1" applyFont="1" applyBorder="1" applyAlignment="1">
      <alignment horizontal="center" vertical="center"/>
    </xf>
    <xf numFmtId="177" fontId="4" fillId="0" borderId="174" xfId="0" applyNumberFormat="1" applyFont="1" applyBorder="1" applyAlignment="1">
      <alignment horizontal="center" vertical="center"/>
    </xf>
    <xf numFmtId="177" fontId="4" fillId="0" borderId="173" xfId="0" applyNumberFormat="1" applyFont="1" applyBorder="1" applyAlignment="1">
      <alignment horizontal="center" vertical="center"/>
    </xf>
    <xf numFmtId="177" fontId="4" fillId="0" borderId="172" xfId="0" applyNumberFormat="1" applyFont="1" applyBorder="1" applyAlignment="1">
      <alignment horizontal="center" vertical="center"/>
    </xf>
    <xf numFmtId="177" fontId="4" fillId="0" borderId="175" xfId="0" applyNumberFormat="1" applyFont="1" applyBorder="1" applyAlignment="1">
      <alignment horizontal="center" vertical="center"/>
    </xf>
    <xf numFmtId="177" fontId="4" fillId="0" borderId="143" xfId="0" applyNumberFormat="1" applyFont="1" applyBorder="1" applyAlignment="1" applyProtection="1">
      <alignment horizontal="center" vertical="center"/>
      <protection locked="0"/>
    </xf>
    <xf numFmtId="177" fontId="4" fillId="0" borderId="144" xfId="0" applyNumberFormat="1" applyFont="1" applyBorder="1" applyAlignment="1" applyProtection="1">
      <alignment horizontal="center" vertical="center"/>
      <protection locked="0"/>
    </xf>
    <xf numFmtId="0" fontId="4" fillId="2" borderId="172" xfId="0" applyFont="1" applyFill="1" applyBorder="1" applyAlignment="1">
      <alignment horizontal="center" vertical="center"/>
    </xf>
    <xf numFmtId="0" fontId="4" fillId="2" borderId="173" xfId="0" applyFont="1" applyFill="1" applyBorder="1" applyAlignment="1">
      <alignment horizontal="center" vertical="center"/>
    </xf>
    <xf numFmtId="177" fontId="4" fillId="0" borderId="197" xfId="0" applyNumberFormat="1" applyFont="1" applyBorder="1" applyAlignment="1" applyProtection="1">
      <alignment horizontal="center" vertical="center"/>
      <protection locked="0"/>
    </xf>
    <xf numFmtId="177" fontId="4" fillId="0" borderId="198" xfId="0" applyNumberFormat="1" applyFont="1" applyBorder="1" applyAlignment="1" applyProtection="1">
      <alignment horizontal="center" vertical="center"/>
      <protection locked="0"/>
    </xf>
    <xf numFmtId="177" fontId="4" fillId="0" borderId="145" xfId="0" applyNumberFormat="1" applyFont="1" applyBorder="1" applyAlignment="1" applyProtection="1">
      <alignment horizontal="center" vertical="center"/>
      <protection locked="0"/>
    </xf>
    <xf numFmtId="177" fontId="4" fillId="0" borderId="142" xfId="0" applyNumberFormat="1" applyFont="1" applyBorder="1" applyAlignment="1" applyProtection="1">
      <alignment horizontal="center" vertical="center"/>
      <protection locked="0"/>
    </xf>
    <xf numFmtId="177" fontId="4" fillId="0" borderId="141" xfId="0" applyNumberFormat="1" applyFont="1" applyBorder="1" applyAlignment="1" applyProtection="1">
      <alignment horizontal="center" vertical="center"/>
      <protection locked="0"/>
    </xf>
    <xf numFmtId="0" fontId="4" fillId="2" borderId="141" xfId="0" applyFont="1" applyFill="1" applyBorder="1" applyAlignment="1">
      <alignment horizontal="center" vertical="center"/>
    </xf>
    <xf numFmtId="0" fontId="4" fillId="2" borderId="142" xfId="0" applyFont="1" applyFill="1" applyBorder="1" applyAlignment="1">
      <alignment horizontal="center" vertical="center"/>
    </xf>
    <xf numFmtId="177" fontId="4" fillId="0" borderId="195" xfId="0" applyNumberFormat="1" applyFont="1" applyBorder="1" applyAlignment="1" applyProtection="1">
      <alignment horizontal="center" vertical="center"/>
      <protection locked="0"/>
    </xf>
    <xf numFmtId="177" fontId="4" fillId="0" borderId="196" xfId="0" applyNumberFormat="1" applyFont="1" applyBorder="1" applyAlignment="1" applyProtection="1">
      <alignment horizontal="center" vertical="center"/>
      <protection locked="0"/>
    </xf>
    <xf numFmtId="178" fontId="13" fillId="0" borderId="104" xfId="0" applyNumberFormat="1" applyFont="1" applyBorder="1" applyAlignment="1" applyProtection="1">
      <alignment horizontal="center" vertical="center"/>
      <protection locked="0"/>
    </xf>
    <xf numFmtId="178" fontId="13" fillId="0" borderId="105" xfId="0" applyNumberFormat="1" applyFont="1" applyBorder="1" applyAlignment="1" applyProtection="1">
      <alignment horizontal="center" vertical="center"/>
      <protection locked="0"/>
    </xf>
    <xf numFmtId="178" fontId="13" fillId="0" borderId="130" xfId="0" applyNumberFormat="1" applyFont="1" applyBorder="1" applyAlignment="1" applyProtection="1">
      <alignment horizontal="center" vertical="center"/>
      <protection locked="0"/>
    </xf>
    <xf numFmtId="178" fontId="13" fillId="0" borderId="98" xfId="0" applyNumberFormat="1" applyFont="1" applyBorder="1" applyAlignment="1" applyProtection="1">
      <alignment horizontal="center" vertical="center"/>
      <protection locked="0"/>
    </xf>
    <xf numFmtId="178" fontId="13" fillId="0" borderId="99" xfId="0" applyNumberFormat="1" applyFont="1" applyBorder="1" applyAlignment="1" applyProtection="1">
      <alignment horizontal="center" vertical="center"/>
      <protection locked="0"/>
    </xf>
    <xf numFmtId="178" fontId="13" fillId="0" borderId="115" xfId="0" applyNumberFormat="1" applyFont="1" applyBorder="1" applyAlignment="1" applyProtection="1">
      <alignment horizontal="center" vertical="center"/>
      <protection locked="0"/>
    </xf>
    <xf numFmtId="178" fontId="4" fillId="0" borderId="104" xfId="0" applyNumberFormat="1" applyFont="1" applyBorder="1" applyAlignment="1" applyProtection="1">
      <alignment horizontal="center" vertical="center"/>
      <protection locked="0"/>
    </xf>
    <xf numFmtId="178" fontId="4" fillId="0" borderId="105" xfId="0" applyNumberFormat="1" applyFont="1" applyBorder="1" applyAlignment="1" applyProtection="1">
      <alignment horizontal="center" vertical="center"/>
      <protection locked="0"/>
    </xf>
    <xf numFmtId="178" fontId="4" fillId="0" borderId="106" xfId="0" applyNumberFormat="1" applyFont="1" applyBorder="1" applyAlignment="1" applyProtection="1">
      <alignment horizontal="center" vertical="center"/>
      <protection locked="0"/>
    </xf>
    <xf numFmtId="178" fontId="4" fillId="0" borderId="98" xfId="0" applyNumberFormat="1" applyFont="1" applyBorder="1" applyAlignment="1" applyProtection="1">
      <alignment horizontal="center" vertical="center"/>
      <protection locked="0"/>
    </xf>
    <xf numFmtId="178" fontId="4" fillId="0" borderId="99" xfId="0" applyNumberFormat="1" applyFont="1" applyBorder="1" applyAlignment="1" applyProtection="1">
      <alignment horizontal="center" vertical="center"/>
      <protection locked="0"/>
    </xf>
    <xf numFmtId="178" fontId="4" fillId="0" borderId="100" xfId="0" applyNumberFormat="1" applyFont="1" applyBorder="1" applyAlignment="1" applyProtection="1">
      <alignment horizontal="center" vertical="center"/>
      <protection locked="0"/>
    </xf>
    <xf numFmtId="0" fontId="10" fillId="0" borderId="129" xfId="0" applyFont="1" applyBorder="1" applyAlignment="1">
      <alignment horizontal="center" vertical="center"/>
    </xf>
    <xf numFmtId="0" fontId="10" fillId="0" borderId="105" xfId="0" applyFont="1" applyBorder="1" applyAlignment="1">
      <alignment horizontal="center" vertical="center"/>
    </xf>
    <xf numFmtId="0" fontId="10" fillId="0" borderId="117" xfId="0" applyFont="1" applyBorder="1" applyAlignment="1">
      <alignment horizontal="center" vertical="center"/>
    </xf>
    <xf numFmtId="0" fontId="10" fillId="0" borderId="99" xfId="0" applyFont="1" applyBorder="1" applyAlignment="1">
      <alignment horizontal="center" vertical="center"/>
    </xf>
    <xf numFmtId="0" fontId="10" fillId="0" borderId="130" xfId="0" applyFont="1" applyBorder="1" applyAlignment="1">
      <alignment horizontal="center" vertical="center"/>
    </xf>
    <xf numFmtId="0" fontId="10" fillId="0" borderId="115" xfId="0" applyFont="1" applyBorder="1" applyAlignment="1">
      <alignment horizontal="center" vertical="center"/>
    </xf>
    <xf numFmtId="0" fontId="4" fillId="0" borderId="104" xfId="0" applyFont="1" applyBorder="1" applyAlignment="1" applyProtection="1">
      <alignment horizontal="center" vertical="center"/>
      <protection locked="0"/>
    </xf>
    <xf numFmtId="0" fontId="4" fillId="0" borderId="105" xfId="0" applyFont="1" applyBorder="1" applyAlignment="1" applyProtection="1">
      <alignment horizontal="center" vertical="center"/>
      <protection locked="0"/>
    </xf>
    <xf numFmtId="0" fontId="4" fillId="0" borderId="106" xfId="0" applyFont="1" applyBorder="1" applyAlignment="1" applyProtection="1">
      <alignment horizontal="center" vertical="center"/>
      <protection locked="0"/>
    </xf>
    <xf numFmtId="0" fontId="4" fillId="0" borderId="98" xfId="0" applyFont="1" applyBorder="1" applyAlignment="1" applyProtection="1">
      <alignment horizontal="center" vertical="center"/>
      <protection locked="0"/>
    </xf>
    <xf numFmtId="0" fontId="4" fillId="0" borderId="99" xfId="0" applyFont="1" applyBorder="1" applyAlignment="1" applyProtection="1">
      <alignment horizontal="center" vertical="center"/>
      <protection locked="0"/>
    </xf>
    <xf numFmtId="0" fontId="4" fillId="0" borderId="100" xfId="0" applyFont="1" applyBorder="1" applyAlignment="1" applyProtection="1">
      <alignment horizontal="center" vertical="center"/>
      <protection locked="0"/>
    </xf>
    <xf numFmtId="180" fontId="4" fillId="0" borderId="152" xfId="1" applyNumberFormat="1" applyFont="1" applyBorder="1" applyAlignment="1" applyProtection="1">
      <alignment horizontal="center" vertical="center"/>
    </xf>
    <xf numFmtId="180" fontId="4" fillId="0" borderId="153" xfId="1" applyNumberFormat="1" applyFont="1" applyBorder="1" applyAlignment="1" applyProtection="1">
      <alignment horizontal="center" vertical="center"/>
    </xf>
    <xf numFmtId="180" fontId="4" fillId="0" borderId="154" xfId="1" applyNumberFormat="1" applyFont="1" applyBorder="1" applyAlignment="1" applyProtection="1">
      <alignment horizontal="center" vertical="center"/>
    </xf>
    <xf numFmtId="180" fontId="4" fillId="0" borderId="155" xfId="1" applyNumberFormat="1" applyFont="1" applyBorder="1" applyAlignment="1" applyProtection="1">
      <alignment horizontal="center" vertical="center"/>
    </xf>
    <xf numFmtId="180" fontId="4" fillId="0" borderId="177" xfId="1" applyNumberFormat="1" applyFont="1" applyBorder="1" applyAlignment="1" applyProtection="1">
      <alignment horizontal="center" vertical="center"/>
    </xf>
    <xf numFmtId="180" fontId="4" fillId="0" borderId="203" xfId="1" applyNumberFormat="1" applyFont="1" applyBorder="1" applyAlignment="1" applyProtection="1">
      <alignment horizontal="center" vertical="center"/>
    </xf>
    <xf numFmtId="180" fontId="4" fillId="0" borderId="204" xfId="1" applyNumberFormat="1" applyFont="1" applyBorder="1" applyAlignment="1" applyProtection="1">
      <alignment horizontal="center" vertical="center"/>
    </xf>
    <xf numFmtId="180" fontId="4" fillId="0" borderId="205" xfId="1" applyNumberFormat="1" applyFont="1" applyBorder="1" applyAlignment="1" applyProtection="1">
      <alignment horizontal="center" vertical="center"/>
    </xf>
    <xf numFmtId="178" fontId="4" fillId="2" borderId="110" xfId="0" applyNumberFormat="1" applyFont="1" applyFill="1" applyBorder="1" applyAlignment="1">
      <alignment horizontal="center" vertical="center"/>
    </xf>
    <xf numFmtId="178" fontId="4" fillId="2" borderId="111" xfId="0" applyNumberFormat="1" applyFont="1" applyFill="1" applyBorder="1" applyAlignment="1">
      <alignment horizontal="center" vertical="center"/>
    </xf>
    <xf numFmtId="178" fontId="4" fillId="2" borderId="112" xfId="0" applyNumberFormat="1" applyFont="1" applyFill="1" applyBorder="1" applyAlignment="1">
      <alignment horizontal="center" vertical="center"/>
    </xf>
    <xf numFmtId="0" fontId="14" fillId="2" borderId="132" xfId="0" applyFont="1" applyFill="1" applyBorder="1" applyAlignment="1">
      <alignment horizontal="center" vertical="center"/>
    </xf>
    <xf numFmtId="0" fontId="14" fillId="2" borderId="111" xfId="0" applyFont="1" applyFill="1" applyBorder="1" applyAlignment="1">
      <alignment horizontal="center" vertical="center"/>
    </xf>
    <xf numFmtId="0" fontId="14" fillId="2" borderId="131" xfId="0" applyFont="1" applyFill="1" applyBorder="1" applyAlignment="1">
      <alignment horizontal="center" vertical="center"/>
    </xf>
    <xf numFmtId="0" fontId="4" fillId="2" borderId="152" xfId="0" applyFont="1" applyFill="1" applyBorder="1" applyAlignment="1">
      <alignment horizontal="center" vertical="center"/>
    </xf>
    <xf numFmtId="0" fontId="4" fillId="2" borderId="177" xfId="0" applyFont="1" applyFill="1" applyBorder="1" applyAlignment="1">
      <alignment horizontal="center" vertical="center"/>
    </xf>
    <xf numFmtId="180" fontId="4" fillId="0" borderId="98" xfId="1" applyNumberFormat="1" applyFont="1" applyBorder="1" applyAlignment="1" applyProtection="1">
      <alignment horizontal="center" vertical="center"/>
    </xf>
    <xf numFmtId="180" fontId="4" fillId="0" borderId="99" xfId="1" applyNumberFormat="1" applyFont="1" applyBorder="1" applyAlignment="1" applyProtection="1">
      <alignment horizontal="center" vertical="center"/>
    </xf>
    <xf numFmtId="180" fontId="4" fillId="0" borderId="100" xfId="1" applyNumberFormat="1" applyFont="1" applyBorder="1" applyAlignment="1" applyProtection="1">
      <alignment horizontal="center" vertical="center"/>
    </xf>
    <xf numFmtId="0" fontId="13" fillId="0" borderId="116" xfId="0" applyFont="1" applyBorder="1" applyAlignment="1">
      <alignment horizontal="center" vertical="center"/>
    </xf>
    <xf numFmtId="0" fontId="13" fillId="0" borderId="96" xfId="0" applyFont="1" applyBorder="1" applyAlignment="1">
      <alignment horizontal="center" vertical="center"/>
    </xf>
    <xf numFmtId="0" fontId="13" fillId="0" borderId="97" xfId="0" applyFont="1" applyBorder="1" applyAlignment="1">
      <alignment horizontal="center" vertical="center"/>
    </xf>
    <xf numFmtId="0" fontId="13" fillId="0" borderId="117" xfId="0" applyFont="1" applyBorder="1" applyAlignment="1">
      <alignment horizontal="center" vertical="center"/>
    </xf>
    <xf numFmtId="0" fontId="13" fillId="0" borderId="99" xfId="0" applyFont="1" applyBorder="1" applyAlignment="1">
      <alignment horizontal="center" vertical="center"/>
    </xf>
    <xf numFmtId="0" fontId="13" fillId="0" borderId="100" xfId="0" applyFont="1" applyBorder="1" applyAlignment="1">
      <alignment horizontal="center" vertical="center"/>
    </xf>
    <xf numFmtId="9" fontId="11" fillId="0" borderId="116" xfId="1" applyFont="1" applyBorder="1" applyAlignment="1" applyProtection="1">
      <alignment horizontal="center" vertical="center"/>
    </xf>
    <xf numFmtId="9" fontId="11" fillId="0" borderId="96" xfId="1" applyFont="1" applyBorder="1" applyAlignment="1" applyProtection="1">
      <alignment horizontal="center" vertical="center"/>
    </xf>
    <xf numFmtId="9" fontId="11" fillId="0" borderId="97" xfId="1" applyFont="1" applyBorder="1" applyAlignment="1" applyProtection="1">
      <alignment horizontal="center" vertical="center"/>
    </xf>
    <xf numFmtId="9" fontId="11" fillId="0" borderId="117" xfId="1" applyFont="1" applyBorder="1" applyAlignment="1" applyProtection="1">
      <alignment horizontal="center" vertical="center"/>
    </xf>
    <xf numFmtId="9" fontId="11" fillId="0" borderId="99" xfId="1" applyFont="1" applyBorder="1" applyAlignment="1" applyProtection="1">
      <alignment horizontal="center" vertical="center"/>
    </xf>
    <xf numFmtId="9" fontId="11" fillId="0" borderId="100" xfId="1" applyFont="1" applyBorder="1" applyAlignment="1" applyProtection="1">
      <alignment horizontal="center" vertical="center"/>
    </xf>
    <xf numFmtId="0" fontId="4" fillId="13" borderId="124" xfId="0" applyFont="1" applyFill="1" applyBorder="1" applyAlignment="1">
      <alignment horizontal="center" vertical="center"/>
    </xf>
    <xf numFmtId="0" fontId="4" fillId="13" borderId="125" xfId="0" applyFont="1" applyFill="1" applyBorder="1" applyAlignment="1">
      <alignment horizontal="center" vertical="center"/>
    </xf>
    <xf numFmtId="0" fontId="4" fillId="13" borderId="126" xfId="0" applyFont="1" applyFill="1" applyBorder="1" applyAlignment="1">
      <alignment horizontal="center" vertical="center"/>
    </xf>
    <xf numFmtId="183" fontId="23" fillId="0" borderId="110" xfId="0" applyNumberFormat="1" applyFont="1" applyBorder="1" applyAlignment="1">
      <alignment horizontal="center" vertical="center"/>
    </xf>
    <xf numFmtId="183" fontId="23" fillId="0" borderId="111" xfId="0" applyNumberFormat="1" applyFont="1" applyBorder="1" applyAlignment="1">
      <alignment horizontal="center" vertical="center"/>
    </xf>
    <xf numFmtId="183" fontId="23" fillId="0" borderId="112" xfId="0" applyNumberFormat="1" applyFont="1" applyBorder="1" applyAlignment="1">
      <alignment horizontal="center" vertical="center"/>
    </xf>
    <xf numFmtId="0" fontId="4" fillId="13" borderId="127" xfId="0" applyFont="1" applyFill="1" applyBorder="1" applyAlignment="1">
      <alignment horizontal="center" vertical="center"/>
    </xf>
    <xf numFmtId="0" fontId="4" fillId="0" borderId="110" xfId="0" applyFont="1" applyBorder="1" applyAlignment="1" applyProtection="1">
      <alignment horizontal="center" vertical="center"/>
      <protection locked="0"/>
    </xf>
    <xf numFmtId="0" fontId="4" fillId="2" borderId="98" xfId="0" applyFont="1" applyFill="1" applyBorder="1" applyAlignment="1">
      <alignment horizontal="center" vertical="center"/>
    </xf>
    <xf numFmtId="0" fontId="4" fillId="2" borderId="115" xfId="0" applyFont="1" applyFill="1" applyBorder="1" applyAlignment="1">
      <alignment horizontal="center" vertical="center"/>
    </xf>
    <xf numFmtId="180" fontId="4" fillId="0" borderId="185" xfId="1" applyNumberFormat="1" applyFont="1" applyBorder="1" applyAlignment="1" applyProtection="1">
      <alignment horizontal="center" vertical="center"/>
    </xf>
    <xf numFmtId="180" fontId="4" fillId="0" borderId="186" xfId="1" applyNumberFormat="1" applyFont="1" applyBorder="1" applyAlignment="1" applyProtection="1">
      <alignment horizontal="center" vertical="center"/>
    </xf>
    <xf numFmtId="180" fontId="4" fillId="0" borderId="206" xfId="1" applyNumberFormat="1" applyFont="1" applyBorder="1" applyAlignment="1" applyProtection="1">
      <alignment horizontal="center" vertical="center"/>
    </xf>
    <xf numFmtId="177" fontId="4" fillId="0" borderId="101" xfId="1" applyNumberFormat="1" applyFont="1" applyFill="1" applyBorder="1" applyAlignment="1" applyProtection="1">
      <alignment horizontal="center" vertical="center"/>
      <protection locked="0"/>
    </xf>
    <xf numFmtId="177" fontId="4" fillId="0" borderId="102" xfId="1" applyNumberFormat="1" applyFont="1" applyFill="1" applyBorder="1" applyAlignment="1" applyProtection="1">
      <alignment horizontal="center" vertical="center"/>
      <protection locked="0"/>
    </xf>
    <xf numFmtId="177" fontId="4" fillId="0" borderId="103" xfId="1" applyNumberFormat="1" applyFont="1" applyFill="1" applyBorder="1" applyAlignment="1" applyProtection="1">
      <alignment horizontal="center" vertical="center"/>
      <protection locked="0"/>
    </xf>
    <xf numFmtId="177" fontId="4" fillId="0" borderId="122" xfId="1" applyNumberFormat="1" applyFont="1" applyFill="1" applyBorder="1" applyAlignment="1" applyProtection="1">
      <alignment horizontal="center" vertical="center"/>
      <protection locked="0"/>
    </xf>
    <xf numFmtId="177" fontId="4" fillId="0" borderId="121" xfId="1" applyNumberFormat="1" applyFont="1" applyFill="1" applyBorder="1" applyAlignment="1" applyProtection="1">
      <alignment horizontal="center" vertical="center"/>
      <protection locked="0"/>
    </xf>
    <xf numFmtId="177" fontId="4" fillId="0" borderId="178" xfId="1" applyNumberFormat="1" applyFont="1" applyFill="1" applyBorder="1" applyAlignment="1" applyProtection="1">
      <alignment horizontal="center" vertical="center"/>
      <protection locked="0"/>
    </xf>
    <xf numFmtId="177" fontId="4" fillId="0" borderId="184" xfId="1" applyNumberFormat="1" applyFont="1" applyFill="1" applyBorder="1" applyAlignment="1" applyProtection="1">
      <alignment horizontal="center" vertical="center"/>
      <protection locked="0"/>
    </xf>
    <xf numFmtId="177" fontId="4" fillId="0" borderId="193" xfId="1" applyNumberFormat="1" applyFont="1" applyFill="1" applyBorder="1" applyAlignment="1" applyProtection="1">
      <alignment horizontal="center" vertical="center"/>
      <protection locked="0"/>
    </xf>
    <xf numFmtId="190" fontId="4" fillId="0" borderId="0" xfId="0" applyNumberFormat="1" applyFont="1" applyAlignment="1">
      <alignment horizontal="center" vertical="center"/>
    </xf>
    <xf numFmtId="0" fontId="11" fillId="5" borderId="95" xfId="0" applyFont="1" applyFill="1" applyBorder="1" applyAlignment="1">
      <alignment horizontal="center" vertical="center"/>
    </xf>
    <xf numFmtId="0" fontId="11" fillId="5" borderId="96" xfId="0" applyFont="1" applyFill="1" applyBorder="1" applyAlignment="1">
      <alignment horizontal="center" vertical="center"/>
    </xf>
    <xf numFmtId="0" fontId="11" fillId="5" borderId="114" xfId="0" applyFont="1" applyFill="1" applyBorder="1" applyAlignment="1">
      <alignment horizontal="center" vertical="center"/>
    </xf>
    <xf numFmtId="0" fontId="11" fillId="5" borderId="98" xfId="0" applyFont="1" applyFill="1" applyBorder="1" applyAlignment="1">
      <alignment horizontal="center" vertical="center"/>
    </xf>
    <xf numFmtId="0" fontId="11" fillId="5" borderId="99" xfId="0" applyFont="1" applyFill="1" applyBorder="1" applyAlignment="1">
      <alignment horizontal="center" vertical="center"/>
    </xf>
    <xf numFmtId="0" fontId="11" fillId="5" borderId="115" xfId="0" applyFont="1" applyFill="1" applyBorder="1" applyAlignment="1">
      <alignment horizontal="center" vertical="center"/>
    </xf>
    <xf numFmtId="0" fontId="4" fillId="0" borderId="105" xfId="0" applyFont="1" applyBorder="1" applyAlignment="1" applyProtection="1">
      <alignment horizontal="left" vertical="center"/>
      <protection locked="0"/>
    </xf>
    <xf numFmtId="0" fontId="4" fillId="0" borderId="106" xfId="0" applyFont="1" applyBorder="1" applyAlignment="1" applyProtection="1">
      <alignment horizontal="left" vertical="center"/>
      <protection locked="0"/>
    </xf>
    <xf numFmtId="0" fontId="4" fillId="0" borderId="129" xfId="0" applyFont="1" applyBorder="1" applyAlignment="1" applyProtection="1">
      <alignment horizontal="center" vertical="center"/>
      <protection locked="0"/>
    </xf>
    <xf numFmtId="0" fontId="4" fillId="2" borderId="128" xfId="0" applyFont="1" applyFill="1" applyBorder="1" applyAlignment="1">
      <alignment horizontal="center" vertical="center" wrapText="1"/>
    </xf>
    <xf numFmtId="0" fontId="4" fillId="2" borderId="108" xfId="0" applyFont="1" applyFill="1" applyBorder="1" applyAlignment="1">
      <alignment horizontal="center" vertical="center" wrapText="1"/>
    </xf>
    <xf numFmtId="192" fontId="4" fillId="2" borderId="94" xfId="0" applyNumberFormat="1" applyFont="1" applyFill="1" applyBorder="1" applyAlignment="1">
      <alignment horizontal="center" vertical="center"/>
    </xf>
    <xf numFmtId="0" fontId="4" fillId="0" borderId="118" xfId="0" applyFont="1" applyBorder="1" applyAlignment="1" applyProtection="1">
      <alignment horizontal="center" vertical="center"/>
      <protection locked="0"/>
    </xf>
    <xf numFmtId="0" fontId="44" fillId="0" borderId="182" xfId="0"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4" fillId="0" borderId="183" xfId="0"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4" fillId="0" borderId="194" xfId="0"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4" fillId="0" borderId="119" xfId="0" applyFont="1" applyBorder="1" applyAlignment="1" applyProtection="1">
      <alignment horizontal="center" vertical="center"/>
      <protection locked="0"/>
    </xf>
    <xf numFmtId="0" fontId="4" fillId="2" borderId="102" xfId="0" applyFont="1" applyFill="1" applyBorder="1" applyAlignment="1">
      <alignment horizontal="center" vertical="center"/>
    </xf>
    <xf numFmtId="0" fontId="4" fillId="0" borderId="102" xfId="0" applyFont="1" applyBorder="1" applyAlignment="1" applyProtection="1">
      <alignment horizontal="left" vertical="center"/>
      <protection locked="0"/>
    </xf>
    <xf numFmtId="0" fontId="4" fillId="0" borderId="103" xfId="0" applyFont="1" applyBorder="1" applyAlignment="1" applyProtection="1">
      <alignment horizontal="left" vertical="center"/>
      <protection locked="0"/>
    </xf>
    <xf numFmtId="0" fontId="44" fillId="0" borderId="178" xfId="0"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4" fillId="0" borderId="184" xfId="0"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4" fillId="0" borderId="193" xfId="0"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4" fillId="0" borderId="120" xfId="0" applyFont="1" applyBorder="1" applyAlignment="1" applyProtection="1">
      <alignment horizontal="center" vertical="center"/>
      <protection locked="0"/>
    </xf>
    <xf numFmtId="0" fontId="44" fillId="0" borderId="185" xfId="0"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4" fillId="0" borderId="186" xfId="0"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4" fillId="0" borderId="206" xfId="0" applyFont="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11" fillId="0" borderId="122" xfId="0" applyFont="1" applyBorder="1" applyAlignment="1" applyProtection="1">
      <alignment horizontal="center" vertical="center"/>
      <protection locked="0"/>
    </xf>
    <xf numFmtId="0" fontId="11" fillId="0" borderId="102" xfId="0" applyFont="1" applyBorder="1" applyAlignment="1" applyProtection="1">
      <alignment horizontal="center" vertical="center"/>
      <protection locked="0"/>
    </xf>
    <xf numFmtId="192" fontId="4" fillId="5" borderId="94" xfId="0" applyNumberFormat="1" applyFont="1" applyFill="1" applyBorder="1" applyAlignment="1">
      <alignment horizontal="center" vertical="center"/>
    </xf>
    <xf numFmtId="0" fontId="4" fillId="0" borderId="95" xfId="0" applyFont="1" applyBorder="1" applyAlignment="1" applyProtection="1">
      <alignment horizontal="left" vertical="center"/>
      <protection locked="0"/>
    </xf>
    <xf numFmtId="0" fontId="4" fillId="0" borderId="96" xfId="0" applyFont="1" applyBorder="1" applyAlignment="1" applyProtection="1">
      <alignment horizontal="left" vertical="center"/>
      <protection locked="0"/>
    </xf>
    <xf numFmtId="0" fontId="4" fillId="0" borderId="97" xfId="0" applyFont="1" applyBorder="1" applyAlignment="1" applyProtection="1">
      <alignment horizontal="left" vertical="center"/>
      <protection locked="0"/>
    </xf>
    <xf numFmtId="0" fontId="4" fillId="2" borderId="148" xfId="0" applyFont="1" applyFill="1" applyBorder="1" applyAlignment="1">
      <alignment horizontal="center" vertical="center"/>
    </xf>
    <xf numFmtId="0" fontId="4" fillId="2" borderId="149" xfId="0" applyFont="1" applyFill="1" applyBorder="1" applyAlignment="1">
      <alignment horizontal="center" vertical="center"/>
    </xf>
    <xf numFmtId="0" fontId="4" fillId="0" borderId="149" xfId="0" applyFont="1" applyBorder="1" applyAlignment="1" applyProtection="1">
      <alignment horizontal="center" vertical="center"/>
      <protection locked="0"/>
    </xf>
    <xf numFmtId="177" fontId="4" fillId="0" borderId="149" xfId="0" applyNumberFormat="1" applyFont="1" applyBorder="1" applyAlignment="1" applyProtection="1">
      <alignment horizontal="center" vertical="center"/>
      <protection locked="0"/>
    </xf>
    <xf numFmtId="0" fontId="4" fillId="0" borderId="149" xfId="0" applyFont="1" applyBorder="1" applyAlignment="1" applyProtection="1">
      <alignment horizontal="left" vertical="center"/>
      <protection locked="0"/>
    </xf>
    <xf numFmtId="0" fontId="4" fillId="0" borderId="150" xfId="0" applyFont="1" applyBorder="1" applyAlignment="1" applyProtection="1">
      <alignment horizontal="left" vertical="center"/>
      <protection locked="0"/>
    </xf>
    <xf numFmtId="0" fontId="4" fillId="0" borderId="151" xfId="0" applyFont="1" applyBorder="1" applyAlignment="1" applyProtection="1">
      <alignment horizontal="center" vertical="center"/>
      <protection locked="0"/>
    </xf>
    <xf numFmtId="0" fontId="4" fillId="0" borderId="150" xfId="0" applyFont="1" applyBorder="1" applyAlignment="1" applyProtection="1">
      <alignment horizontal="center" vertical="center"/>
      <protection locked="0"/>
    </xf>
    <xf numFmtId="0" fontId="4" fillId="5" borderId="95" xfId="0" applyFont="1" applyFill="1" applyBorder="1" applyAlignment="1">
      <alignment horizontal="center" vertical="center"/>
    </xf>
    <xf numFmtId="0" fontId="4" fillId="5" borderId="114" xfId="0" applyFont="1" applyFill="1" applyBorder="1" applyAlignment="1">
      <alignment horizontal="center" vertical="center"/>
    </xf>
    <xf numFmtId="0" fontId="4" fillId="5" borderId="98" xfId="0" applyFont="1" applyFill="1" applyBorder="1" applyAlignment="1">
      <alignment horizontal="center" vertical="center"/>
    </xf>
    <xf numFmtId="0" fontId="4" fillId="5" borderId="115" xfId="0" applyFont="1" applyFill="1" applyBorder="1" applyAlignment="1">
      <alignment horizontal="center" vertical="center"/>
    </xf>
    <xf numFmtId="195" fontId="4" fillId="0" borderId="116" xfId="0" applyNumberFormat="1" applyFont="1" applyBorder="1" applyAlignment="1">
      <alignment horizontal="center" vertical="center"/>
    </xf>
    <xf numFmtId="195" fontId="4" fillId="0" borderId="96" xfId="0" applyNumberFormat="1" applyFont="1" applyBorder="1" applyAlignment="1">
      <alignment horizontal="center" vertical="center"/>
    </xf>
    <xf numFmtId="195" fontId="4" fillId="0" borderId="97" xfId="0" applyNumberFormat="1" applyFont="1" applyBorder="1" applyAlignment="1">
      <alignment horizontal="center" vertical="center"/>
    </xf>
    <xf numFmtId="195" fontId="4" fillId="0" borderId="117" xfId="0" applyNumberFormat="1" applyFont="1" applyBorder="1" applyAlignment="1">
      <alignment horizontal="center" vertical="center"/>
    </xf>
    <xf numFmtId="195" fontId="4" fillId="0" borderId="99" xfId="0" applyNumberFormat="1" applyFont="1" applyBorder="1" applyAlignment="1">
      <alignment horizontal="center" vertical="center"/>
    </xf>
    <xf numFmtId="195" fontId="4" fillId="0" borderId="100" xfId="0" applyNumberFormat="1" applyFont="1" applyBorder="1" applyAlignment="1">
      <alignment horizontal="center" vertical="center"/>
    </xf>
    <xf numFmtId="0" fontId="4" fillId="5" borderId="116" xfId="0" applyFont="1" applyFill="1" applyBorder="1" applyAlignment="1">
      <alignment horizontal="center" vertical="center"/>
    </xf>
    <xf numFmtId="0" fontId="4" fillId="5" borderId="96" xfId="0" applyFont="1" applyFill="1" applyBorder="1" applyAlignment="1">
      <alignment horizontal="center" vertical="center"/>
    </xf>
    <xf numFmtId="0" fontId="13" fillId="0" borderId="95" xfId="0" applyFont="1" applyBorder="1" applyAlignment="1">
      <alignment horizontal="center" vertical="center"/>
    </xf>
    <xf numFmtId="0" fontId="13" fillId="0" borderId="98" xfId="0" applyFont="1" applyBorder="1" applyAlignment="1">
      <alignment horizontal="center" vertical="center"/>
    </xf>
    <xf numFmtId="0" fontId="4" fillId="0" borderId="101" xfId="0" applyFont="1" applyBorder="1" applyAlignment="1" applyProtection="1">
      <alignment horizontal="left" vertical="center"/>
      <protection locked="0"/>
    </xf>
    <xf numFmtId="0" fontId="4" fillId="2" borderId="153" xfId="0" applyFont="1" applyFill="1" applyBorder="1" applyAlignment="1">
      <alignment horizontal="center" vertical="center"/>
    </xf>
    <xf numFmtId="0" fontId="4" fillId="0" borderId="153" xfId="0" applyFont="1" applyBorder="1" applyAlignment="1" applyProtection="1">
      <alignment horizontal="center" vertical="center"/>
      <protection locked="0"/>
    </xf>
    <xf numFmtId="177" fontId="4" fillId="0" borderId="153" xfId="0" applyNumberFormat="1" applyFont="1" applyBorder="1" applyAlignment="1" applyProtection="1">
      <alignment horizontal="center" vertical="center"/>
      <protection locked="0"/>
    </xf>
    <xf numFmtId="0" fontId="4" fillId="0" borderId="153" xfId="0" applyFont="1" applyBorder="1" applyAlignment="1" applyProtection="1">
      <alignment horizontal="left" vertical="center"/>
      <protection locked="0"/>
    </xf>
    <xf numFmtId="0" fontId="4" fillId="0" borderId="154" xfId="0" applyFont="1" applyBorder="1" applyAlignment="1" applyProtection="1">
      <alignment horizontal="left" vertical="center"/>
      <protection locked="0"/>
    </xf>
    <xf numFmtId="0" fontId="4" fillId="0" borderId="155" xfId="0" applyFont="1" applyBorder="1" applyAlignment="1" applyProtection="1">
      <alignment horizontal="center" vertical="center"/>
      <protection locked="0"/>
    </xf>
    <xf numFmtId="0" fontId="4" fillId="0" borderId="154" xfId="0" applyFont="1" applyBorder="1" applyAlignment="1" applyProtection="1">
      <alignment horizontal="center" vertical="center"/>
      <protection locked="0"/>
    </xf>
    <xf numFmtId="181" fontId="4" fillId="0" borderId="117" xfId="0" applyNumberFormat="1" applyFont="1" applyBorder="1" applyAlignment="1">
      <alignment horizontal="center" vertical="center"/>
    </xf>
    <xf numFmtId="181" fontId="4" fillId="0" borderId="99" xfId="0" applyNumberFormat="1" applyFont="1" applyBorder="1" applyAlignment="1">
      <alignment horizontal="center" vertical="center"/>
    </xf>
    <xf numFmtId="181" fontId="4" fillId="0" borderId="115" xfId="0" applyNumberFormat="1" applyFont="1" applyBorder="1" applyAlignment="1">
      <alignment horizontal="center" vertical="center"/>
    </xf>
    <xf numFmtId="0" fontId="4" fillId="0" borderId="98" xfId="0" applyFont="1" applyBorder="1" applyAlignment="1" applyProtection="1">
      <alignment horizontal="left" vertical="center"/>
      <protection locked="0"/>
    </xf>
    <xf numFmtId="0" fontId="4" fillId="0" borderId="99" xfId="0" applyFont="1" applyBorder="1" applyAlignment="1" applyProtection="1">
      <alignment horizontal="left" vertical="center"/>
      <protection locked="0"/>
    </xf>
    <xf numFmtId="0" fontId="4" fillId="0" borderId="100" xfId="0" applyFont="1" applyBorder="1" applyAlignment="1" applyProtection="1">
      <alignment horizontal="left" vertical="center"/>
      <protection locked="0"/>
    </xf>
    <xf numFmtId="0" fontId="4" fillId="2" borderId="95" xfId="0" applyFont="1" applyFill="1" applyBorder="1" applyAlignment="1">
      <alignment horizontal="center" vertical="center"/>
    </xf>
    <xf numFmtId="194" fontId="4" fillId="0" borderId="116" xfId="0" applyNumberFormat="1" applyFont="1" applyBorder="1" applyAlignment="1">
      <alignment horizontal="center" vertical="center"/>
    </xf>
    <xf numFmtId="194" fontId="4" fillId="0" borderId="96" xfId="0" applyNumberFormat="1" applyFont="1" applyBorder="1" applyAlignment="1">
      <alignment horizontal="center" vertical="center"/>
    </xf>
    <xf numFmtId="194" fontId="4" fillId="0" borderId="97" xfId="0" applyNumberFormat="1" applyFont="1" applyBorder="1" applyAlignment="1">
      <alignment horizontal="center" vertical="center"/>
    </xf>
    <xf numFmtId="194" fontId="4" fillId="0" borderId="117" xfId="0" applyNumberFormat="1" applyFont="1" applyBorder="1" applyAlignment="1">
      <alignment horizontal="center" vertical="center"/>
    </xf>
    <xf numFmtId="194" fontId="4" fillId="0" borderId="99" xfId="0" applyNumberFormat="1" applyFont="1" applyBorder="1" applyAlignment="1">
      <alignment horizontal="center" vertical="center"/>
    </xf>
    <xf numFmtId="194" fontId="4" fillId="0" borderId="100" xfId="0" applyNumberFormat="1" applyFont="1" applyBorder="1" applyAlignment="1">
      <alignment horizontal="center" vertical="center"/>
    </xf>
    <xf numFmtId="0" fontId="13" fillId="0" borderId="156" xfId="0" applyFont="1" applyBorder="1" applyAlignment="1" applyProtection="1">
      <alignment horizontal="center" vertical="center"/>
      <protection locked="0"/>
    </xf>
    <xf numFmtId="0" fontId="13" fillId="0" borderId="157" xfId="0" applyFont="1" applyBorder="1" applyAlignment="1" applyProtection="1">
      <alignment horizontal="center" vertical="center"/>
      <protection locked="0"/>
    </xf>
    <xf numFmtId="0" fontId="13" fillId="0" borderId="158" xfId="0" applyFont="1" applyBorder="1" applyAlignment="1" applyProtection="1">
      <alignment horizontal="center" vertical="center"/>
      <protection locked="0"/>
    </xf>
    <xf numFmtId="0" fontId="13" fillId="0" borderId="159" xfId="0" applyFont="1" applyBorder="1" applyAlignment="1" applyProtection="1">
      <alignment horizontal="center" vertical="center"/>
      <protection locked="0"/>
    </xf>
    <xf numFmtId="0" fontId="13" fillId="0" borderId="160" xfId="0" applyFont="1" applyBorder="1" applyAlignment="1" applyProtection="1">
      <alignment horizontal="center" vertical="center"/>
      <protection locked="0"/>
    </xf>
    <xf numFmtId="0" fontId="13" fillId="0" borderId="161" xfId="0" applyFont="1" applyBorder="1" applyAlignment="1" applyProtection="1">
      <alignment horizontal="center" vertical="center"/>
      <protection locked="0"/>
    </xf>
    <xf numFmtId="192" fontId="4" fillId="12" borderId="94" xfId="0" applyNumberFormat="1" applyFont="1" applyFill="1" applyBorder="1" applyAlignment="1">
      <alignment horizontal="center" vertical="center"/>
    </xf>
    <xf numFmtId="0" fontId="4" fillId="12" borderId="95" xfId="0" applyFont="1" applyFill="1" applyBorder="1" applyAlignment="1">
      <alignment horizontal="center" vertical="center"/>
    </xf>
    <xf numFmtId="0" fontId="4" fillId="12" borderId="114" xfId="0" applyFont="1" applyFill="1" applyBorder="1" applyAlignment="1">
      <alignment horizontal="center" vertical="center"/>
    </xf>
    <xf numFmtId="0" fontId="4" fillId="12" borderId="98" xfId="0" applyFont="1" applyFill="1" applyBorder="1" applyAlignment="1">
      <alignment horizontal="center" vertical="center"/>
    </xf>
    <xf numFmtId="0" fontId="4" fillId="12" borderId="115" xfId="0" applyFont="1" applyFill="1" applyBorder="1" applyAlignment="1">
      <alignment horizontal="center" vertical="center"/>
    </xf>
    <xf numFmtId="0" fontId="4" fillId="12" borderId="116" xfId="0" applyFont="1" applyFill="1" applyBorder="1" applyAlignment="1">
      <alignment horizontal="center" vertical="center"/>
    </xf>
    <xf numFmtId="0" fontId="4" fillId="12" borderId="96" xfId="0" applyFont="1" applyFill="1" applyBorder="1" applyAlignment="1">
      <alignment horizontal="center" vertical="center"/>
    </xf>
    <xf numFmtId="0" fontId="4" fillId="16" borderId="162" xfId="0" applyFont="1" applyFill="1" applyBorder="1" applyAlignment="1" applyProtection="1">
      <alignment horizontal="left" vertical="top"/>
      <protection locked="0"/>
    </xf>
    <xf numFmtId="0" fontId="4" fillId="16" borderId="139" xfId="0" applyFont="1" applyFill="1" applyBorder="1" applyAlignment="1" applyProtection="1">
      <alignment horizontal="left" vertical="top"/>
      <protection locked="0"/>
    </xf>
    <xf numFmtId="0" fontId="4" fillId="16" borderId="163" xfId="0" applyFont="1" applyFill="1" applyBorder="1" applyAlignment="1" applyProtection="1">
      <alignment horizontal="left" vertical="top"/>
      <protection locked="0"/>
    </xf>
    <xf numFmtId="0" fontId="4" fillId="16" borderId="164" xfId="0" applyFont="1" applyFill="1" applyBorder="1" applyAlignment="1" applyProtection="1">
      <alignment horizontal="left" vertical="top"/>
      <protection locked="0"/>
    </xf>
    <xf numFmtId="0" fontId="4" fillId="16" borderId="0" xfId="0" applyFont="1" applyFill="1" applyAlignment="1" applyProtection="1">
      <alignment horizontal="left" vertical="top"/>
      <protection locked="0"/>
    </xf>
    <xf numFmtId="0" fontId="4" fillId="16" borderId="69" xfId="0" applyFont="1" applyFill="1" applyBorder="1" applyAlignment="1" applyProtection="1">
      <alignment horizontal="left" vertical="top"/>
      <protection locked="0"/>
    </xf>
    <xf numFmtId="0" fontId="4" fillId="16" borderId="165" xfId="0" applyFont="1" applyFill="1" applyBorder="1" applyAlignment="1" applyProtection="1">
      <alignment horizontal="left" vertical="top"/>
      <protection locked="0"/>
    </xf>
    <xf numFmtId="0" fontId="4" fillId="16" borderId="166" xfId="0" applyFont="1" applyFill="1" applyBorder="1" applyAlignment="1" applyProtection="1">
      <alignment horizontal="left" vertical="top"/>
      <protection locked="0"/>
    </xf>
    <xf numFmtId="0" fontId="4" fillId="16" borderId="167" xfId="0" applyFont="1" applyFill="1" applyBorder="1" applyAlignment="1" applyProtection="1">
      <alignment horizontal="left" vertical="top"/>
      <protection locked="0"/>
    </xf>
    <xf numFmtId="0" fontId="4" fillId="16" borderId="162" xfId="0" applyFont="1" applyFill="1" applyBorder="1" applyAlignment="1" applyProtection="1">
      <alignment horizontal="center" vertical="top"/>
      <protection locked="0"/>
    </xf>
    <xf numFmtId="0" fontId="4" fillId="16" borderId="139" xfId="0" applyFont="1" applyFill="1" applyBorder="1" applyAlignment="1" applyProtection="1">
      <alignment horizontal="center" vertical="top"/>
      <protection locked="0"/>
    </xf>
    <xf numFmtId="0" fontId="4" fillId="16" borderId="163" xfId="0" applyFont="1" applyFill="1" applyBorder="1" applyAlignment="1" applyProtection="1">
      <alignment horizontal="center" vertical="top"/>
      <protection locked="0"/>
    </xf>
    <xf numFmtId="0" fontId="4" fillId="16" borderId="164" xfId="0" applyFont="1" applyFill="1" applyBorder="1" applyAlignment="1" applyProtection="1">
      <alignment horizontal="center" vertical="top"/>
      <protection locked="0"/>
    </xf>
    <xf numFmtId="0" fontId="4" fillId="16" borderId="0" xfId="0" applyFont="1" applyFill="1" applyAlignment="1" applyProtection="1">
      <alignment horizontal="center" vertical="top"/>
      <protection locked="0"/>
    </xf>
    <xf numFmtId="0" fontId="4" fillId="16" borderId="69" xfId="0" applyFont="1" applyFill="1" applyBorder="1" applyAlignment="1" applyProtection="1">
      <alignment horizontal="center" vertical="top"/>
      <protection locked="0"/>
    </xf>
    <xf numFmtId="0" fontId="4" fillId="16" borderId="165" xfId="0" applyFont="1" applyFill="1" applyBorder="1" applyAlignment="1" applyProtection="1">
      <alignment horizontal="center" vertical="top"/>
      <protection locked="0"/>
    </xf>
    <xf numFmtId="0" fontId="4" fillId="16" borderId="166" xfId="0" applyFont="1" applyFill="1" applyBorder="1" applyAlignment="1" applyProtection="1">
      <alignment horizontal="center" vertical="top"/>
      <protection locked="0"/>
    </xf>
    <xf numFmtId="0" fontId="4" fillId="16" borderId="167" xfId="0" applyFont="1" applyFill="1" applyBorder="1" applyAlignment="1" applyProtection="1">
      <alignment horizontal="center" vertical="top"/>
      <protection locked="0"/>
    </xf>
    <xf numFmtId="177" fontId="4" fillId="0" borderId="117" xfId="0" applyNumberFormat="1" applyFont="1" applyBorder="1" applyAlignment="1">
      <alignment horizontal="center" vertical="center"/>
    </xf>
    <xf numFmtId="177" fontId="4" fillId="0" borderId="99" xfId="0" applyNumberFormat="1" applyFont="1" applyBorder="1" applyAlignment="1">
      <alignment horizontal="center" vertical="center"/>
    </xf>
    <xf numFmtId="177" fontId="4" fillId="0" borderId="115" xfId="0" applyNumberFormat="1" applyFont="1" applyBorder="1" applyAlignment="1">
      <alignment horizontal="center" vertical="center"/>
    </xf>
    <xf numFmtId="193" fontId="4" fillId="0" borderId="116" xfId="0" applyNumberFormat="1" applyFont="1" applyBorder="1" applyAlignment="1">
      <alignment horizontal="center" vertical="center"/>
    </xf>
    <xf numFmtId="193" fontId="4" fillId="0" borderId="96" xfId="0" applyNumberFormat="1" applyFont="1" applyBorder="1" applyAlignment="1">
      <alignment horizontal="center" vertical="center"/>
    </xf>
    <xf numFmtId="193" fontId="4" fillId="0" borderId="97" xfId="0" applyNumberFormat="1" applyFont="1" applyBorder="1" applyAlignment="1">
      <alignment horizontal="center" vertical="center"/>
    </xf>
    <xf numFmtId="193" fontId="4" fillId="0" borderId="117" xfId="0" applyNumberFormat="1" applyFont="1" applyBorder="1" applyAlignment="1">
      <alignment horizontal="center" vertical="center"/>
    </xf>
    <xf numFmtId="193" fontId="4" fillId="0" borderId="99" xfId="0" applyNumberFormat="1" applyFont="1" applyBorder="1" applyAlignment="1">
      <alignment horizontal="center" vertical="center"/>
    </xf>
    <xf numFmtId="193" fontId="4" fillId="0" borderId="100" xfId="0" applyNumberFormat="1" applyFont="1" applyBorder="1" applyAlignment="1">
      <alignment horizontal="center" vertical="center"/>
    </xf>
    <xf numFmtId="0" fontId="4" fillId="2" borderId="99" xfId="0" applyFont="1" applyFill="1" applyBorder="1" applyAlignment="1">
      <alignment horizontal="center" vertical="center"/>
    </xf>
    <xf numFmtId="177" fontId="4" fillId="0" borderId="99" xfId="0" applyNumberFormat="1" applyFont="1" applyBorder="1" applyAlignment="1" applyProtection="1">
      <alignment horizontal="center" vertical="center"/>
      <protection locked="0"/>
    </xf>
    <xf numFmtId="0" fontId="4" fillId="0" borderId="117" xfId="0" applyFont="1" applyBorder="1" applyAlignment="1" applyProtection="1">
      <alignment horizontal="center" vertical="center"/>
      <protection locked="0"/>
    </xf>
    <xf numFmtId="0" fontId="30" fillId="2" borderId="94" xfId="2" applyFill="1" applyBorder="1" applyAlignment="1">
      <alignment horizontal="left" vertical="center"/>
    </xf>
    <xf numFmtId="0" fontId="4" fillId="0" borderId="94" xfId="0" applyFont="1" applyBorder="1" applyAlignment="1">
      <alignment horizontal="center" vertical="center"/>
    </xf>
    <xf numFmtId="180" fontId="4" fillId="0" borderId="94" xfId="1" applyNumberFormat="1" applyFont="1" applyBorder="1" applyAlignment="1" applyProtection="1">
      <alignment horizontal="center" vertical="center"/>
    </xf>
    <xf numFmtId="55" fontId="24" fillId="2" borderId="94" xfId="0" applyNumberFormat="1" applyFont="1" applyFill="1" applyBorder="1" applyAlignment="1">
      <alignment horizontal="center" vertical="center"/>
    </xf>
    <xf numFmtId="180" fontId="4" fillId="22" borderId="94" xfId="1" applyNumberFormat="1" applyFont="1" applyFill="1" applyBorder="1" applyAlignment="1" applyProtection="1">
      <alignment horizontal="center" vertical="center"/>
    </xf>
    <xf numFmtId="180" fontId="4" fillId="0" borderId="139" xfId="1" applyNumberFormat="1" applyFont="1" applyFill="1" applyBorder="1" applyAlignment="1" applyProtection="1">
      <alignment horizontal="center" vertical="center"/>
    </xf>
    <xf numFmtId="0" fontId="4" fillId="0" borderId="139" xfId="0" applyFont="1" applyBorder="1" applyAlignment="1">
      <alignment horizontal="left" vertical="center"/>
    </xf>
    <xf numFmtId="0" fontId="31" fillId="11" borderId="140" xfId="0" applyFont="1" applyFill="1" applyBorder="1" applyAlignment="1" applyProtection="1">
      <alignment horizontal="center" vertical="center"/>
      <protection locked="0"/>
    </xf>
    <xf numFmtId="0" fontId="31" fillId="11" borderId="147" xfId="0" applyFont="1" applyFill="1" applyBorder="1" applyAlignment="1" applyProtection="1">
      <alignment horizontal="center" vertical="center"/>
      <protection locked="0"/>
    </xf>
    <xf numFmtId="0" fontId="31" fillId="11" borderId="113" xfId="0" applyFont="1" applyFill="1" applyBorder="1" applyAlignment="1" applyProtection="1">
      <alignment horizontal="center" vertical="center"/>
      <protection locked="0"/>
    </xf>
    <xf numFmtId="0" fontId="4" fillId="11" borderId="140" xfId="0" applyFont="1" applyFill="1" applyBorder="1" applyAlignment="1" applyProtection="1">
      <alignment horizontal="center" vertical="center"/>
      <protection locked="0"/>
    </xf>
    <xf numFmtId="0" fontId="4" fillId="11" borderId="140" xfId="0" applyFont="1" applyFill="1" applyBorder="1" applyAlignment="1" applyProtection="1">
      <alignment horizontal="center" vertical="center" shrinkToFit="1"/>
      <protection locked="0"/>
    </xf>
    <xf numFmtId="0" fontId="4" fillId="11" borderId="147" xfId="0" applyFont="1" applyFill="1" applyBorder="1" applyAlignment="1" applyProtection="1">
      <alignment horizontal="center" vertical="center" shrinkToFit="1"/>
      <protection locked="0"/>
    </xf>
    <xf numFmtId="0" fontId="4" fillId="11" borderId="113" xfId="0" applyFont="1" applyFill="1" applyBorder="1" applyAlignment="1" applyProtection="1">
      <alignment horizontal="center" vertical="center" shrinkToFit="1"/>
      <protection locked="0"/>
    </xf>
    <xf numFmtId="0" fontId="30" fillId="2" borderId="110" xfId="2" applyFill="1" applyBorder="1" applyAlignment="1">
      <alignment horizontal="left" vertical="center"/>
    </xf>
    <xf numFmtId="0" fontId="30" fillId="2" borderId="111" xfId="2" applyFill="1" applyBorder="1" applyAlignment="1">
      <alignment horizontal="left" vertical="center"/>
    </xf>
    <xf numFmtId="0" fontId="30" fillId="2" borderId="131" xfId="2" applyFill="1" applyBorder="1" applyAlignment="1">
      <alignment horizontal="left" vertical="center"/>
    </xf>
    <xf numFmtId="0" fontId="4" fillId="24" borderId="94" xfId="0" applyFont="1" applyFill="1" applyBorder="1" applyAlignment="1" applyProtection="1">
      <alignment horizontal="center" vertical="center"/>
      <protection locked="0"/>
    </xf>
    <xf numFmtId="0" fontId="4" fillId="11" borderId="94" xfId="0" applyFont="1" applyFill="1" applyBorder="1" applyAlignment="1" applyProtection="1">
      <alignment horizontal="center" vertical="center" shrinkToFit="1"/>
      <protection locked="0"/>
    </xf>
    <xf numFmtId="0" fontId="31" fillId="11" borderId="94" xfId="0" applyFont="1" applyFill="1" applyBorder="1" applyAlignment="1" applyProtection="1">
      <alignment horizontal="center" vertical="center"/>
      <protection locked="0"/>
    </xf>
    <xf numFmtId="0" fontId="4" fillId="22" borderId="94" xfId="0" applyFont="1" applyFill="1" applyBorder="1" applyAlignment="1">
      <alignment horizontal="center" vertical="center"/>
    </xf>
    <xf numFmtId="0" fontId="4" fillId="24" borderId="140" xfId="0" applyFont="1" applyFill="1" applyBorder="1" applyAlignment="1" applyProtection="1">
      <alignment horizontal="center" vertical="center"/>
      <protection locked="0"/>
    </xf>
    <xf numFmtId="0" fontId="4" fillId="24" borderId="147" xfId="0" applyFont="1" applyFill="1" applyBorder="1" applyAlignment="1" applyProtection="1">
      <alignment horizontal="center" vertical="center"/>
      <protection locked="0"/>
    </xf>
    <xf numFmtId="0" fontId="4" fillId="24" borderId="113" xfId="0" applyFont="1" applyFill="1" applyBorder="1" applyAlignment="1" applyProtection="1">
      <alignment horizontal="center" vertical="center"/>
      <protection locked="0"/>
    </xf>
    <xf numFmtId="0" fontId="4" fillId="11" borderId="140" xfId="0" applyFont="1" applyFill="1" applyBorder="1" applyAlignment="1" applyProtection="1">
      <alignment horizontal="left" vertical="center" shrinkToFit="1"/>
      <protection locked="0"/>
    </xf>
    <xf numFmtId="0" fontId="4" fillId="11" borderId="147" xfId="0" applyFont="1" applyFill="1" applyBorder="1" applyAlignment="1" applyProtection="1">
      <alignment horizontal="left" vertical="center" shrinkToFit="1"/>
      <protection locked="0"/>
    </xf>
    <xf numFmtId="0" fontId="4" fillId="11" borderId="113" xfId="0" applyFont="1" applyFill="1" applyBorder="1" applyAlignment="1" applyProtection="1">
      <alignment horizontal="left" vertical="center" shrinkToFit="1"/>
      <protection locked="0"/>
    </xf>
    <xf numFmtId="0" fontId="30" fillId="2" borderId="182" xfId="2" applyFill="1" applyBorder="1" applyAlignment="1">
      <alignment horizontal="left" vertical="center"/>
    </xf>
    <xf numFmtId="0" fontId="30" fillId="2" borderId="183" xfId="2" applyFill="1" applyBorder="1" applyAlignment="1">
      <alignment horizontal="left" vertical="center"/>
    </xf>
    <xf numFmtId="0" fontId="30" fillId="2" borderId="116" xfId="2" applyFill="1" applyBorder="1" applyAlignment="1">
      <alignment horizontal="left" vertical="center"/>
    </xf>
    <xf numFmtId="10" fontId="4" fillId="0" borderId="120" xfId="1" applyNumberFormat="1" applyFont="1" applyBorder="1" applyAlignment="1" applyProtection="1">
      <alignment horizontal="center" vertical="center"/>
    </xf>
    <xf numFmtId="0" fontId="4" fillId="13" borderId="3" xfId="0" applyFont="1" applyFill="1" applyBorder="1" applyAlignment="1">
      <alignment horizontal="left" vertical="center"/>
    </xf>
    <xf numFmtId="0" fontId="4" fillId="13" borderId="191" xfId="0" applyFont="1" applyFill="1" applyBorder="1" applyAlignment="1">
      <alignment horizontal="left" vertical="center"/>
    </xf>
    <xf numFmtId="0" fontId="4" fillId="13" borderId="192" xfId="0" applyFont="1" applyFill="1" applyBorder="1" applyAlignment="1">
      <alignment horizontal="left" vertical="center"/>
    </xf>
    <xf numFmtId="0" fontId="4" fillId="0" borderId="115" xfId="0" applyFont="1" applyBorder="1" applyAlignment="1" applyProtection="1">
      <alignment horizontal="center" vertical="center"/>
      <protection locked="0"/>
    </xf>
    <xf numFmtId="0" fontId="4" fillId="0" borderId="104" xfId="0" applyFont="1" applyBorder="1" applyAlignment="1" applyProtection="1">
      <alignment horizontal="center" vertical="top" wrapText="1"/>
      <protection locked="0"/>
    </xf>
    <xf numFmtId="0" fontId="4" fillId="0" borderId="105" xfId="0" applyFont="1" applyBorder="1" applyAlignment="1" applyProtection="1">
      <alignment horizontal="center" vertical="top"/>
      <protection locked="0"/>
    </xf>
    <xf numFmtId="0" fontId="4" fillId="0" borderId="106" xfId="0" applyFont="1" applyBorder="1" applyAlignment="1" applyProtection="1">
      <alignment horizontal="center" vertical="top"/>
      <protection locked="0"/>
    </xf>
    <xf numFmtId="0" fontId="4" fillId="0" borderId="98" xfId="0" applyFont="1" applyBorder="1" applyAlignment="1" applyProtection="1">
      <alignment horizontal="center" vertical="top"/>
      <protection locked="0"/>
    </xf>
    <xf numFmtId="0" fontId="4" fillId="0" borderId="99" xfId="0" applyFont="1" applyBorder="1" applyAlignment="1" applyProtection="1">
      <alignment horizontal="center" vertical="top"/>
      <protection locked="0"/>
    </xf>
    <xf numFmtId="0" fontId="4" fillId="0" borderId="100" xfId="0" applyFont="1" applyBorder="1" applyAlignment="1" applyProtection="1">
      <alignment horizontal="center" vertical="top"/>
      <protection locked="0"/>
    </xf>
    <xf numFmtId="0" fontId="30" fillId="2" borderId="209" xfId="2" applyFill="1" applyBorder="1" applyAlignment="1">
      <alignment horizontal="left" vertical="center"/>
    </xf>
    <xf numFmtId="0" fontId="30" fillId="2" borderId="204" xfId="2" applyFill="1" applyBorder="1" applyAlignment="1">
      <alignment horizontal="left" vertical="center"/>
    </xf>
    <xf numFmtId="0" fontId="30" fillId="2" borderId="226" xfId="2" applyFill="1" applyBorder="1" applyAlignment="1">
      <alignment horizontal="left" vertical="center"/>
    </xf>
    <xf numFmtId="177" fontId="4" fillId="0" borderId="225" xfId="1" applyNumberFormat="1" applyFont="1" applyBorder="1" applyAlignment="1" applyProtection="1">
      <alignment horizontal="center" vertical="center"/>
    </xf>
    <xf numFmtId="177" fontId="4" fillId="0" borderId="215" xfId="1" applyNumberFormat="1" applyFont="1" applyBorder="1" applyAlignment="1" applyProtection="1">
      <alignment horizontal="center" vertical="center"/>
    </xf>
    <xf numFmtId="177" fontId="4" fillId="0" borderId="216" xfId="1" applyNumberFormat="1" applyFont="1" applyBorder="1" applyAlignment="1" applyProtection="1">
      <alignment horizontal="center" vertical="center"/>
    </xf>
    <xf numFmtId="0" fontId="4" fillId="2" borderId="212" xfId="0" applyFont="1" applyFill="1" applyBorder="1" applyAlignment="1">
      <alignment horizontal="left" vertical="center"/>
    </xf>
    <xf numFmtId="0" fontId="4" fillId="2" borderId="208" xfId="0" applyFont="1" applyFill="1" applyBorder="1" applyAlignment="1">
      <alignment horizontal="left" vertical="center"/>
    </xf>
    <xf numFmtId="0" fontId="4" fillId="2" borderId="228" xfId="0" applyFont="1" applyFill="1" applyBorder="1" applyAlignment="1">
      <alignment horizontal="left" vertical="center"/>
    </xf>
    <xf numFmtId="180" fontId="4" fillId="0" borderId="224" xfId="1" applyNumberFormat="1" applyFont="1" applyBorder="1" applyAlignment="1" applyProtection="1">
      <alignment horizontal="center" vertical="center"/>
    </xf>
    <xf numFmtId="180" fontId="4" fillId="0" borderId="213" xfId="1" applyNumberFormat="1" applyFont="1" applyBorder="1" applyAlignment="1" applyProtection="1">
      <alignment horizontal="center" vertical="center"/>
    </xf>
    <xf numFmtId="180" fontId="4" fillId="0" borderId="214" xfId="1" applyNumberFormat="1" applyFont="1" applyBorder="1" applyAlignment="1" applyProtection="1">
      <alignment horizontal="center" vertical="center"/>
    </xf>
    <xf numFmtId="55" fontId="24" fillId="2" borderId="219" xfId="0" applyNumberFormat="1" applyFont="1" applyFill="1" applyBorder="1" applyAlignment="1">
      <alignment horizontal="center" vertical="center"/>
    </xf>
    <xf numFmtId="55" fontId="24" fillId="2" borderId="220" xfId="0" applyNumberFormat="1" applyFont="1" applyFill="1" applyBorder="1" applyAlignment="1">
      <alignment horizontal="center" vertical="center"/>
    </xf>
    <xf numFmtId="55" fontId="24" fillId="2" borderId="223" xfId="0" applyNumberFormat="1" applyFont="1" applyFill="1" applyBorder="1" applyAlignment="1">
      <alignment horizontal="center" vertical="center"/>
    </xf>
    <xf numFmtId="192" fontId="4" fillId="2" borderId="220" xfId="0" applyNumberFormat="1" applyFont="1" applyFill="1" applyBorder="1" applyAlignment="1" applyProtection="1">
      <alignment horizontal="center" vertical="center"/>
      <protection locked="0"/>
    </xf>
    <xf numFmtId="192" fontId="4" fillId="2" borderId="222" xfId="0" applyNumberFormat="1" applyFont="1" applyFill="1" applyBorder="1" applyAlignment="1" applyProtection="1">
      <alignment horizontal="center" vertical="center"/>
      <protection locked="0"/>
    </xf>
    <xf numFmtId="192" fontId="4" fillId="2" borderId="221" xfId="0" applyNumberFormat="1" applyFont="1" applyFill="1" applyBorder="1" applyAlignment="1" applyProtection="1">
      <alignment horizontal="center" vertical="center"/>
      <protection locked="0"/>
    </xf>
    <xf numFmtId="192" fontId="4" fillId="2" borderId="223" xfId="0" applyNumberFormat="1" applyFont="1" applyFill="1" applyBorder="1" applyAlignment="1" applyProtection="1">
      <alignment horizontal="center" vertical="center"/>
      <protection locked="0"/>
    </xf>
    <xf numFmtId="0" fontId="4" fillId="2" borderId="209" xfId="0" applyFont="1" applyFill="1" applyBorder="1" applyAlignment="1">
      <alignment horizontal="left" vertical="center"/>
    </xf>
    <xf numFmtId="0" fontId="4" fillId="2" borderId="204" xfId="0" applyFont="1" applyFill="1" applyBorder="1" applyAlignment="1">
      <alignment horizontal="left" vertical="center"/>
    </xf>
    <xf numFmtId="0" fontId="4" fillId="2" borderId="226" xfId="0" applyFont="1" applyFill="1" applyBorder="1" applyAlignment="1">
      <alignment horizontal="left" vertical="center"/>
    </xf>
    <xf numFmtId="0" fontId="4" fillId="0" borderId="205" xfId="0" applyFont="1" applyBorder="1" applyAlignment="1">
      <alignment horizontal="center" vertical="center"/>
    </xf>
    <xf numFmtId="0" fontId="4" fillId="0" borderId="210" xfId="0" applyFont="1" applyBorder="1" applyAlignment="1">
      <alignment horizontal="center" vertical="center"/>
    </xf>
    <xf numFmtId="0" fontId="4" fillId="0" borderId="211" xfId="0" applyFont="1" applyBorder="1" applyAlignment="1">
      <alignment horizontal="center" vertical="center"/>
    </xf>
    <xf numFmtId="0" fontId="30" fillId="2" borderId="217" xfId="2" applyFill="1" applyBorder="1" applyAlignment="1">
      <alignment horizontal="left" vertical="center"/>
    </xf>
    <xf numFmtId="0" fontId="30" fillId="2" borderId="184" xfId="2" applyFill="1" applyBorder="1" applyAlignment="1">
      <alignment horizontal="left" vertical="center"/>
    </xf>
    <xf numFmtId="0" fontId="30" fillId="2" borderId="227" xfId="2" applyFill="1" applyBorder="1" applyAlignment="1">
      <alignment horizontal="left" vertical="center"/>
    </xf>
    <xf numFmtId="0" fontId="4" fillId="0" borderId="193" xfId="0" applyFont="1" applyBorder="1" applyAlignment="1">
      <alignment horizontal="center" vertical="center"/>
    </xf>
    <xf numFmtId="0" fontId="4" fillId="0" borderId="218" xfId="0" applyFont="1" applyBorder="1" applyAlignment="1">
      <alignment horizontal="center" vertical="center"/>
    </xf>
    <xf numFmtId="0" fontId="4" fillId="0" borderId="0" xfId="0" applyFont="1" applyAlignment="1">
      <alignment horizontal="left" vertical="center"/>
    </xf>
    <xf numFmtId="180" fontId="4" fillId="0" borderId="0" xfId="1" applyNumberFormat="1" applyFont="1" applyFill="1" applyBorder="1" applyAlignment="1" applyProtection="1">
      <alignment horizontal="center" vertical="center"/>
    </xf>
    <xf numFmtId="0" fontId="4" fillId="22" borderId="194" xfId="0" applyFont="1" applyFill="1" applyBorder="1" applyAlignment="1">
      <alignment horizontal="center" vertical="center"/>
    </xf>
    <xf numFmtId="0" fontId="4" fillId="22" borderId="146" xfId="0" applyFont="1" applyFill="1" applyBorder="1" applyAlignment="1">
      <alignment horizontal="center" vertical="center"/>
    </xf>
    <xf numFmtId="0" fontId="4" fillId="22" borderId="193" xfId="0" applyFont="1" applyFill="1" applyBorder="1" applyAlignment="1">
      <alignment horizontal="center" vertical="center"/>
    </xf>
    <xf numFmtId="0" fontId="4" fillId="22" borderId="119" xfId="0" applyFont="1" applyFill="1" applyBorder="1" applyAlignment="1">
      <alignment horizontal="center" vertical="center"/>
    </xf>
    <xf numFmtId="180" fontId="4" fillId="22" borderId="206" xfId="1" applyNumberFormat="1" applyFont="1" applyFill="1" applyBorder="1" applyAlignment="1" applyProtection="1">
      <alignment horizontal="center" vertical="center"/>
    </xf>
    <xf numFmtId="180" fontId="4" fillId="22" borderId="120" xfId="1" applyNumberFormat="1" applyFont="1" applyFill="1" applyBorder="1" applyAlignment="1" applyProtection="1">
      <alignment horizontal="center" vertical="center"/>
    </xf>
    <xf numFmtId="177" fontId="4" fillId="22" borderId="206" xfId="1" applyNumberFormat="1" applyFont="1" applyFill="1" applyBorder="1" applyAlignment="1" applyProtection="1">
      <alignment horizontal="center" vertical="center"/>
    </xf>
    <xf numFmtId="177" fontId="4" fillId="22" borderId="120" xfId="1" applyNumberFormat="1" applyFont="1" applyFill="1" applyBorder="1" applyAlignment="1" applyProtection="1">
      <alignment horizontal="center" vertical="center"/>
    </xf>
    <xf numFmtId="197" fontId="4" fillId="0" borderId="133" xfId="0" applyNumberFormat="1" applyFont="1" applyBorder="1" applyAlignment="1" applyProtection="1">
      <alignment horizontal="center" vertical="center"/>
      <protection locked="0"/>
    </xf>
    <xf numFmtId="197" fontId="4" fillId="0" borderId="134" xfId="0" applyNumberFormat="1" applyFont="1" applyBorder="1" applyAlignment="1" applyProtection="1">
      <alignment horizontal="center" vertical="center"/>
      <protection locked="0"/>
    </xf>
    <xf numFmtId="197" fontId="4" fillId="0" borderId="136" xfId="0" applyNumberFormat="1" applyFont="1" applyBorder="1" applyAlignment="1" applyProtection="1">
      <alignment horizontal="center" vertical="center"/>
      <protection locked="0"/>
    </xf>
    <xf numFmtId="197" fontId="4" fillId="0" borderId="95" xfId="0" applyNumberFormat="1" applyFont="1" applyBorder="1" applyAlignment="1" applyProtection="1">
      <alignment horizontal="center" vertical="center"/>
      <protection locked="0"/>
    </xf>
    <xf numFmtId="197" fontId="4" fillId="0" borderId="96" xfId="0" applyNumberFormat="1" applyFont="1" applyBorder="1" applyAlignment="1" applyProtection="1">
      <alignment horizontal="center" vertical="center"/>
      <protection locked="0"/>
    </xf>
    <xf numFmtId="197" fontId="4" fillId="0" borderId="97" xfId="0" applyNumberFormat="1" applyFont="1" applyBorder="1" applyAlignment="1" applyProtection="1">
      <alignment horizontal="center" vertical="center"/>
      <protection locked="0"/>
    </xf>
    <xf numFmtId="197" fontId="11" fillId="0" borderId="141" xfId="0" applyNumberFormat="1" applyFont="1" applyBorder="1" applyAlignment="1" applyProtection="1">
      <alignment horizontal="center" vertical="center"/>
      <protection locked="0"/>
    </xf>
    <xf numFmtId="197" fontId="11" fillId="0" borderId="143" xfId="0" applyNumberFormat="1" applyFont="1" applyBorder="1" applyAlignment="1" applyProtection="1">
      <alignment horizontal="center" vertical="center"/>
      <protection locked="0"/>
    </xf>
    <xf numFmtId="197" fontId="11" fillId="0" borderId="144" xfId="0" applyNumberFormat="1" applyFont="1" applyBorder="1" applyAlignment="1" applyProtection="1">
      <alignment horizontal="center" vertical="center"/>
      <protection locked="0"/>
    </xf>
    <xf numFmtId="197" fontId="4" fillId="0" borderId="140" xfId="0" applyNumberFormat="1" applyFont="1" applyBorder="1" applyAlignment="1" applyProtection="1">
      <alignment horizontal="center" vertical="center"/>
      <protection locked="0"/>
    </xf>
    <xf numFmtId="197" fontId="4" fillId="0" borderId="147" xfId="0" applyNumberFormat="1" applyFont="1" applyBorder="1" applyAlignment="1" applyProtection="1">
      <alignment horizontal="center" vertical="center"/>
      <protection locked="0"/>
    </xf>
    <xf numFmtId="197" fontId="4" fillId="0" borderId="113" xfId="0" applyNumberFormat="1" applyFont="1" applyBorder="1" applyAlignment="1" applyProtection="1">
      <alignment horizontal="center" vertical="center"/>
      <protection locked="0"/>
    </xf>
    <xf numFmtId="197" fontId="4" fillId="0" borderId="182" xfId="0" applyNumberFormat="1" applyFont="1" applyBorder="1" applyAlignment="1" applyProtection="1">
      <alignment horizontal="center" vertical="center"/>
      <protection locked="0"/>
    </xf>
    <xf numFmtId="197" fontId="4" fillId="0" borderId="183" xfId="0" applyNumberFormat="1" applyFont="1" applyBorder="1" applyAlignment="1" applyProtection="1">
      <alignment horizontal="center" vertical="center"/>
      <protection locked="0"/>
    </xf>
    <xf numFmtId="197" fontId="4" fillId="0" borderId="194" xfId="0" applyNumberFormat="1" applyFont="1" applyBorder="1" applyAlignment="1" applyProtection="1">
      <alignment horizontal="center" vertical="center"/>
      <protection locked="0"/>
    </xf>
    <xf numFmtId="197" fontId="4" fillId="0" borderId="137" xfId="0" applyNumberFormat="1" applyFont="1" applyBorder="1" applyAlignment="1" applyProtection="1">
      <alignment horizontal="center" vertical="center"/>
      <protection locked="0"/>
    </xf>
    <xf numFmtId="197" fontId="4" fillId="0" borderId="135" xfId="0" applyNumberFormat="1" applyFont="1" applyBorder="1" applyAlignment="1" applyProtection="1">
      <alignment horizontal="center" vertical="center"/>
      <protection locked="0"/>
    </xf>
    <xf numFmtId="197" fontId="4" fillId="0" borderId="116" xfId="0" applyNumberFormat="1" applyFont="1" applyBorder="1" applyAlignment="1" applyProtection="1">
      <alignment horizontal="center" vertical="center"/>
      <protection locked="0"/>
    </xf>
    <xf numFmtId="197" fontId="4" fillId="0" borderId="114" xfId="0" applyNumberFormat="1" applyFont="1" applyBorder="1" applyAlignment="1" applyProtection="1">
      <alignment horizontal="center" vertical="center"/>
      <protection locked="0"/>
    </xf>
    <xf numFmtId="178" fontId="4" fillId="11" borderId="182" xfId="0" applyNumberFormat="1" applyFont="1" applyFill="1" applyBorder="1" applyAlignment="1">
      <alignment horizontal="center" vertical="center"/>
    </xf>
    <xf numFmtId="178" fontId="4" fillId="11" borderId="183" xfId="0" applyNumberFormat="1" applyFont="1" applyFill="1" applyBorder="1" applyAlignment="1">
      <alignment horizontal="center" vertical="center"/>
    </xf>
    <xf numFmtId="178" fontId="4" fillId="11" borderId="194" xfId="0" applyNumberFormat="1" applyFont="1" applyFill="1" applyBorder="1" applyAlignment="1">
      <alignment horizontal="center" vertical="center"/>
    </xf>
    <xf numFmtId="178" fontId="11" fillId="11" borderId="141" xfId="0" applyNumberFormat="1" applyFont="1" applyFill="1" applyBorder="1" applyAlignment="1">
      <alignment horizontal="center" vertical="center"/>
    </xf>
    <xf numFmtId="178" fontId="11" fillId="11" borderId="143" xfId="0" applyNumberFormat="1" applyFont="1" applyFill="1" applyBorder="1" applyAlignment="1">
      <alignment horizontal="center" vertical="center"/>
    </xf>
    <xf numFmtId="178" fontId="11" fillId="11" borderId="142" xfId="0" applyNumberFormat="1" applyFont="1" applyFill="1" applyBorder="1" applyAlignment="1">
      <alignment horizontal="center" vertical="center"/>
    </xf>
    <xf numFmtId="197" fontId="11" fillId="0" borderId="145" xfId="0" applyNumberFormat="1" applyFont="1" applyBorder="1" applyAlignment="1" applyProtection="1">
      <alignment horizontal="center" vertical="center"/>
      <protection locked="0"/>
    </xf>
    <xf numFmtId="198" fontId="4" fillId="0" borderId="145" xfId="0" applyNumberFormat="1" applyFont="1" applyBorder="1" applyAlignment="1" applyProtection="1">
      <alignment horizontal="center" vertical="center"/>
      <protection locked="0"/>
    </xf>
    <xf numFmtId="198" fontId="4" fillId="0" borderId="143" xfId="0" applyNumberFormat="1" applyFont="1" applyBorder="1" applyAlignment="1" applyProtection="1">
      <alignment horizontal="center" vertical="center"/>
      <protection locked="0"/>
    </xf>
    <xf numFmtId="198" fontId="4" fillId="0" borderId="144" xfId="0" applyNumberFormat="1" applyFont="1" applyBorder="1" applyAlignment="1" applyProtection="1">
      <alignment horizontal="center" vertical="center"/>
      <protection locked="0"/>
    </xf>
    <xf numFmtId="0" fontId="30" fillId="2" borderId="94" xfId="2" applyFill="1" applyBorder="1" applyAlignment="1">
      <alignment horizontal="center" vertical="center" wrapText="1"/>
    </xf>
    <xf numFmtId="0" fontId="4" fillId="2" borderId="162" xfId="0" applyFont="1" applyFill="1" applyBorder="1" applyAlignment="1">
      <alignment horizontal="center" vertical="center" wrapText="1"/>
    </xf>
    <xf numFmtId="0" fontId="4" fillId="2" borderId="139" xfId="0" applyFont="1" applyFill="1" applyBorder="1" applyAlignment="1">
      <alignment horizontal="center" vertical="center" wrapText="1"/>
    </xf>
    <xf numFmtId="0" fontId="4" fillId="2" borderId="163" xfId="0" applyFont="1" applyFill="1" applyBorder="1" applyAlignment="1">
      <alignment horizontal="center" vertical="center" wrapText="1"/>
    </xf>
    <xf numFmtId="0" fontId="4" fillId="2" borderId="164"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9" xfId="0" applyFont="1" applyFill="1" applyBorder="1" applyAlignment="1">
      <alignment horizontal="center" vertical="center" wrapText="1"/>
    </xf>
    <xf numFmtId="0" fontId="4" fillId="2" borderId="165" xfId="0" applyFont="1" applyFill="1" applyBorder="1" applyAlignment="1">
      <alignment horizontal="center" vertical="center" wrapText="1"/>
    </xf>
    <xf numFmtId="0" fontId="4" fillId="2" borderId="166" xfId="0" applyFont="1" applyFill="1" applyBorder="1" applyAlignment="1">
      <alignment horizontal="center" vertical="center" wrapText="1"/>
    </xf>
    <xf numFmtId="0" fontId="4" fillId="2" borderId="167" xfId="0" applyFont="1" applyFill="1" applyBorder="1" applyAlignment="1">
      <alignment horizontal="center" vertical="center" wrapText="1"/>
    </xf>
    <xf numFmtId="198" fontId="4" fillId="0" borderId="141" xfId="0" applyNumberFormat="1" applyFont="1" applyBorder="1" applyAlignment="1" applyProtection="1">
      <alignment horizontal="center" vertical="center"/>
      <protection locked="0"/>
    </xf>
    <xf numFmtId="198" fontId="4" fillId="0" borderId="142" xfId="0" applyNumberFormat="1" applyFont="1" applyBorder="1" applyAlignment="1" applyProtection="1">
      <alignment horizontal="center" vertical="center"/>
      <protection locked="0"/>
    </xf>
    <xf numFmtId="197" fontId="11" fillId="0" borderId="142" xfId="0" applyNumberFormat="1" applyFont="1" applyBorder="1" applyAlignment="1" applyProtection="1">
      <alignment horizontal="center" vertical="center"/>
      <protection locked="0"/>
    </xf>
    <xf numFmtId="0" fontId="39" fillId="0" borderId="179" xfId="0" applyFont="1" applyBorder="1" applyAlignment="1">
      <alignment horizontal="center" vertical="center"/>
    </xf>
    <xf numFmtId="0" fontId="39" fillId="0" borderId="181" xfId="0" applyFont="1" applyBorder="1" applyAlignment="1">
      <alignment horizontal="center" vertical="center"/>
    </xf>
    <xf numFmtId="0" fontId="39" fillId="0" borderId="180" xfId="0" applyFont="1" applyBorder="1" applyAlignment="1">
      <alignment horizontal="center" vertical="center"/>
    </xf>
    <xf numFmtId="55" fontId="26" fillId="14" borderId="94" xfId="0" applyNumberFormat="1" applyFont="1" applyFill="1" applyBorder="1" applyAlignment="1" applyProtection="1">
      <alignment horizontal="center" vertical="center"/>
      <protection locked="0"/>
    </xf>
    <xf numFmtId="0" fontId="4" fillId="13" borderId="162" xfId="0" applyFont="1" applyFill="1" applyBorder="1" applyAlignment="1">
      <alignment horizontal="center" vertical="center"/>
    </xf>
    <xf numFmtId="0" fontId="4" fillId="13" borderId="139" xfId="0" applyFont="1" applyFill="1" applyBorder="1" applyAlignment="1">
      <alignment horizontal="center" vertical="center"/>
    </xf>
    <xf numFmtId="0" fontId="4" fillId="13" borderId="163" xfId="0" applyFont="1" applyFill="1" applyBorder="1" applyAlignment="1">
      <alignment horizontal="center" vertical="center"/>
    </xf>
    <xf numFmtId="0" fontId="4" fillId="0" borderId="104" xfId="0" applyFont="1" applyBorder="1" applyAlignment="1" applyProtection="1">
      <alignment horizontal="center" vertical="top"/>
      <protection locked="0"/>
    </xf>
    <xf numFmtId="0" fontId="30" fillId="2" borderId="152" xfId="2" applyFill="1" applyBorder="1" applyAlignment="1">
      <alignment horizontal="center" vertical="center"/>
    </xf>
    <xf numFmtId="0" fontId="30" fillId="2" borderId="177" xfId="2" applyFill="1" applyBorder="1" applyAlignment="1">
      <alignment horizontal="center" vertical="center"/>
    </xf>
    <xf numFmtId="0" fontId="4" fillId="0" borderId="182" xfId="0" applyFont="1" applyBorder="1" applyAlignment="1" applyProtection="1">
      <alignment horizontal="center" vertical="center"/>
      <protection locked="0"/>
    </xf>
    <xf numFmtId="0" fontId="4" fillId="0" borderId="183" xfId="0" applyFont="1" applyBorder="1" applyAlignment="1" applyProtection="1">
      <alignment horizontal="center" vertical="center"/>
      <protection locked="0"/>
    </xf>
    <xf numFmtId="0" fontId="4" fillId="0" borderId="116" xfId="0" applyFont="1" applyBorder="1" applyAlignment="1" applyProtection="1">
      <alignment horizontal="center" vertical="center"/>
      <protection locked="0"/>
    </xf>
    <xf numFmtId="0" fontId="11" fillId="0" borderId="178" xfId="0" applyFont="1" applyBorder="1" applyAlignment="1" applyProtection="1">
      <alignment horizontal="center" vertical="center"/>
      <protection locked="0"/>
    </xf>
    <xf numFmtId="0" fontId="11" fillId="0" borderId="184" xfId="0" applyFont="1" applyBorder="1" applyAlignment="1" applyProtection="1">
      <alignment horizontal="center" vertical="center"/>
      <protection locked="0"/>
    </xf>
    <xf numFmtId="0" fontId="4" fillId="0" borderId="207" xfId="0" applyFont="1" applyBorder="1" applyAlignment="1" applyProtection="1">
      <alignment horizontal="center" vertical="center"/>
      <protection locked="0"/>
    </xf>
    <xf numFmtId="0" fontId="4" fillId="0" borderId="208" xfId="0" applyFont="1" applyBorder="1" applyAlignment="1" applyProtection="1">
      <alignment horizontal="center" vertical="center"/>
      <protection locked="0"/>
    </xf>
    <xf numFmtId="0" fontId="4" fillId="0" borderId="203" xfId="0" applyFont="1" applyBorder="1" applyAlignment="1" applyProtection="1">
      <alignment horizontal="center" vertical="center"/>
      <protection locked="0"/>
    </xf>
    <xf numFmtId="0" fontId="4" fillId="0" borderId="204" xfId="0" applyFont="1" applyBorder="1" applyAlignment="1" applyProtection="1">
      <alignment horizontal="center" vertical="center"/>
      <protection locked="0"/>
    </xf>
    <xf numFmtId="55" fontId="24" fillId="2" borderId="140" xfId="0" applyNumberFormat="1" applyFont="1" applyFill="1" applyBorder="1" applyAlignment="1">
      <alignment horizontal="center" vertical="center"/>
    </xf>
    <xf numFmtId="55" fontId="24" fillId="2" borderId="147" xfId="0" applyNumberFormat="1" applyFont="1" applyFill="1" applyBorder="1" applyAlignment="1">
      <alignment horizontal="center" vertical="center"/>
    </xf>
    <xf numFmtId="55" fontId="24" fillId="2" borderId="132" xfId="0" applyNumberFormat="1" applyFont="1" applyFill="1" applyBorder="1" applyAlignment="1">
      <alignment horizontal="center" vertical="center"/>
    </xf>
    <xf numFmtId="192" fontId="40" fillId="2" borderId="140" xfId="2" applyNumberFormat="1" applyFont="1" applyFill="1" applyBorder="1" applyAlignment="1" applyProtection="1">
      <alignment horizontal="center" vertical="center"/>
      <protection locked="0"/>
    </xf>
    <xf numFmtId="192" fontId="41" fillId="2" borderId="147" xfId="2" applyNumberFormat="1" applyFont="1" applyFill="1" applyBorder="1" applyAlignment="1" applyProtection="1">
      <alignment horizontal="center" vertical="center"/>
      <protection locked="0"/>
    </xf>
    <xf numFmtId="192" fontId="41" fillId="2" borderId="113" xfId="2" applyNumberFormat="1" applyFont="1" applyFill="1" applyBorder="1" applyAlignment="1" applyProtection="1">
      <alignment horizontal="center" vertical="center"/>
      <protection locked="0"/>
    </xf>
    <xf numFmtId="0" fontId="4" fillId="0" borderId="185" xfId="0" applyFont="1" applyBorder="1" applyAlignment="1" applyProtection="1">
      <alignment horizontal="center" vertical="center"/>
      <protection locked="0"/>
    </xf>
    <xf numFmtId="0" fontId="4" fillId="0" borderId="186" xfId="0" applyFont="1" applyBorder="1" applyAlignment="1" applyProtection="1">
      <alignment horizontal="center" vertical="center"/>
      <protection locked="0"/>
    </xf>
    <xf numFmtId="0" fontId="30" fillId="2" borderId="178" xfId="2" applyFill="1" applyBorder="1" applyAlignment="1">
      <alignment horizontal="left" vertical="center"/>
    </xf>
    <xf numFmtId="0" fontId="30" fillId="2" borderId="122" xfId="2" applyFill="1" applyBorder="1" applyAlignment="1">
      <alignment horizontal="left" vertical="center"/>
    </xf>
    <xf numFmtId="0" fontId="4" fillId="0" borderId="120" xfId="1" applyNumberFormat="1" applyFont="1" applyBorder="1" applyAlignment="1" applyProtection="1">
      <alignment horizontal="center" vertical="center"/>
    </xf>
    <xf numFmtId="0" fontId="4" fillId="0" borderId="94" xfId="0" applyFont="1" applyBorder="1" applyAlignment="1" applyProtection="1">
      <alignment horizontal="center" vertical="center"/>
      <protection locked="0"/>
    </xf>
    <xf numFmtId="0" fontId="4" fillId="0" borderId="94" xfId="0" applyFont="1" applyBorder="1" applyAlignment="1" applyProtection="1">
      <alignment horizontal="left" vertical="center"/>
      <protection locked="0"/>
    </xf>
    <xf numFmtId="177" fontId="4" fillId="0" borderId="94" xfId="0" applyNumberFormat="1" applyFont="1" applyBorder="1" applyAlignment="1" applyProtection="1">
      <alignment horizontal="center" vertical="center"/>
      <protection locked="0"/>
    </xf>
    <xf numFmtId="0" fontId="30" fillId="2" borderId="162" xfId="2" applyFill="1" applyBorder="1" applyAlignment="1">
      <alignment horizontal="center" wrapText="1"/>
    </xf>
    <xf numFmtId="0" fontId="30" fillId="2" borderId="139" xfId="2" applyFill="1" applyBorder="1" applyAlignment="1">
      <alignment horizontal="center" wrapText="1"/>
    </xf>
    <xf numFmtId="0" fontId="30" fillId="2" borderId="163" xfId="2" applyFill="1" applyBorder="1" applyAlignment="1">
      <alignment horizontal="center" wrapText="1"/>
    </xf>
    <xf numFmtId="0" fontId="30" fillId="2" borderId="164" xfId="2" applyFill="1" applyBorder="1" applyAlignment="1">
      <alignment horizontal="center" wrapText="1"/>
    </xf>
    <xf numFmtId="0" fontId="30" fillId="2" borderId="0" xfId="2" applyFill="1" applyAlignment="1">
      <alignment horizontal="center" wrapText="1"/>
    </xf>
    <xf numFmtId="0" fontId="30" fillId="2" borderId="69" xfId="2" applyFill="1" applyBorder="1" applyAlignment="1">
      <alignment horizontal="center" wrapText="1"/>
    </xf>
    <xf numFmtId="197" fontId="11" fillId="0" borderId="137" xfId="0" applyNumberFormat="1" applyFont="1" applyBorder="1" applyAlignment="1" applyProtection="1">
      <alignment horizontal="center" vertical="center"/>
      <protection locked="0"/>
    </xf>
    <xf numFmtId="197" fontId="11" fillId="0" borderId="134" xfId="0" applyNumberFormat="1" applyFont="1" applyBorder="1" applyAlignment="1" applyProtection="1">
      <alignment horizontal="center" vertical="center"/>
      <protection locked="0"/>
    </xf>
    <xf numFmtId="197" fontId="11" fillId="0" borderId="135" xfId="0" applyNumberFormat="1" applyFont="1" applyBorder="1" applyAlignment="1" applyProtection="1">
      <alignment horizontal="center" vertical="center"/>
      <protection locked="0"/>
    </xf>
    <xf numFmtId="197" fontId="11" fillId="0" borderId="133" xfId="0" applyNumberFormat="1" applyFont="1" applyBorder="1" applyAlignment="1" applyProtection="1">
      <alignment horizontal="center" vertical="center"/>
      <protection locked="0"/>
    </xf>
    <xf numFmtId="197" fontId="11" fillId="0" borderId="136" xfId="0" applyNumberFormat="1" applyFont="1" applyBorder="1" applyAlignment="1" applyProtection="1">
      <alignment horizontal="center" vertical="center"/>
      <protection locked="0"/>
    </xf>
    <xf numFmtId="197" fontId="4" fillId="0" borderId="127" xfId="0" applyNumberFormat="1" applyFont="1" applyBorder="1" applyAlignment="1" applyProtection="1">
      <alignment horizontal="center" vertical="center"/>
      <protection locked="0"/>
    </xf>
    <xf numFmtId="197" fontId="4" fillId="0" borderId="125" xfId="0" applyNumberFormat="1" applyFont="1" applyBorder="1" applyAlignment="1" applyProtection="1">
      <alignment horizontal="center" vertical="center"/>
      <protection locked="0"/>
    </xf>
    <xf numFmtId="197" fontId="4" fillId="0" borderId="126" xfId="0" applyNumberFormat="1" applyFont="1" applyBorder="1" applyAlignment="1" applyProtection="1">
      <alignment horizontal="center" vertical="center"/>
      <protection locked="0"/>
    </xf>
    <xf numFmtId="197" fontId="4" fillId="0" borderId="124" xfId="0" applyNumberFormat="1" applyFont="1" applyBorder="1" applyAlignment="1" applyProtection="1">
      <alignment horizontal="center" vertical="center"/>
      <protection locked="0"/>
    </xf>
    <xf numFmtId="197" fontId="4" fillId="0" borderId="229" xfId="0" applyNumberFormat="1" applyFont="1" applyBorder="1" applyAlignment="1" applyProtection="1">
      <alignment horizontal="center" vertical="center"/>
      <protection locked="0"/>
    </xf>
    <xf numFmtId="197" fontId="4" fillId="0" borderId="132" xfId="0" applyNumberFormat="1" applyFont="1" applyBorder="1" applyAlignment="1" applyProtection="1">
      <alignment horizontal="center" vertical="center"/>
      <protection locked="0"/>
    </xf>
    <xf numFmtId="197" fontId="4" fillId="0" borderId="111" xfId="0" applyNumberFormat="1" applyFont="1" applyBorder="1" applyAlignment="1" applyProtection="1">
      <alignment horizontal="center" vertical="center"/>
      <protection locked="0"/>
    </xf>
    <xf numFmtId="197" fontId="4" fillId="0" borderId="131" xfId="0" applyNumberFormat="1" applyFont="1" applyBorder="1" applyAlignment="1" applyProtection="1">
      <alignment horizontal="center" vertical="center"/>
      <protection locked="0"/>
    </xf>
    <xf numFmtId="197" fontId="4" fillId="0" borderId="110" xfId="0" applyNumberFormat="1" applyFont="1" applyBorder="1" applyAlignment="1" applyProtection="1">
      <alignment horizontal="center" vertical="center"/>
      <protection locked="0"/>
    </xf>
    <xf numFmtId="197" fontId="4" fillId="0" borderId="112" xfId="0" applyNumberFormat="1" applyFont="1" applyBorder="1" applyAlignment="1" applyProtection="1">
      <alignment horizontal="center" vertical="center"/>
      <protection locked="0"/>
    </xf>
    <xf numFmtId="178" fontId="4" fillId="11" borderId="140" xfId="0" applyNumberFormat="1" applyFont="1" applyFill="1" applyBorder="1" applyAlignment="1">
      <alignment horizontal="center" vertical="center"/>
    </xf>
    <xf numFmtId="178" fontId="4" fillId="11" borderId="147" xfId="0" applyNumberFormat="1" applyFont="1" applyFill="1" applyBorder="1" applyAlignment="1">
      <alignment horizontal="center" vertical="center"/>
    </xf>
    <xf numFmtId="178" fontId="4" fillId="11" borderId="113" xfId="0" applyNumberFormat="1" applyFont="1" applyFill="1" applyBorder="1" applyAlignment="1">
      <alignment horizontal="center" vertical="center"/>
    </xf>
    <xf numFmtId="178" fontId="11" fillId="11" borderId="133" xfId="0" applyNumberFormat="1" applyFont="1" applyFill="1" applyBorder="1" applyAlignment="1">
      <alignment horizontal="center" vertical="center"/>
    </xf>
    <xf numFmtId="178" fontId="11" fillId="11" borderId="134" xfId="0" applyNumberFormat="1" applyFont="1" applyFill="1" applyBorder="1" applyAlignment="1">
      <alignment horizontal="center" vertical="center"/>
    </xf>
    <xf numFmtId="178" fontId="11" fillId="11" borderId="135" xfId="0" applyNumberFormat="1" applyFont="1" applyFill="1" applyBorder="1" applyAlignment="1">
      <alignment horizontal="center" vertical="center"/>
    </xf>
    <xf numFmtId="0" fontId="4" fillId="0" borderId="147" xfId="0" applyFont="1" applyBorder="1" applyAlignment="1" applyProtection="1">
      <alignment horizontal="center" vertical="center"/>
      <protection locked="0"/>
    </xf>
    <xf numFmtId="0" fontId="4" fillId="0" borderId="166" xfId="0" applyFont="1" applyBorder="1" applyAlignment="1" applyProtection="1">
      <alignment horizontal="center" vertical="center"/>
      <protection locked="0"/>
    </xf>
    <xf numFmtId="200" fontId="12" fillId="0" borderId="0" xfId="0" applyNumberFormat="1" applyFont="1" applyAlignment="1" applyProtection="1">
      <alignment horizontal="center" vertical="center"/>
      <protection locked="0"/>
    </xf>
    <xf numFmtId="0" fontId="4" fillId="0" borderId="0" xfId="0" applyFont="1" applyAlignment="1" applyProtection="1">
      <alignment horizontal="center" vertical="center"/>
      <protection locked="0"/>
    </xf>
    <xf numFmtId="0" fontId="11" fillId="25" borderId="94" xfId="0" applyFont="1" applyFill="1" applyBorder="1" applyAlignment="1" applyProtection="1">
      <alignment horizontal="center" vertical="center"/>
      <protection locked="0"/>
    </xf>
    <xf numFmtId="0" fontId="4" fillId="23" borderId="182" xfId="0" applyFont="1" applyFill="1" applyBorder="1" applyAlignment="1">
      <alignment horizontal="left" vertical="center"/>
    </xf>
    <xf numFmtId="0" fontId="4" fillId="23" borderId="183" xfId="0" applyFont="1" applyFill="1" applyBorder="1" applyAlignment="1">
      <alignment horizontal="left" vertical="center"/>
    </xf>
    <xf numFmtId="0" fontId="4" fillId="23" borderId="116" xfId="0" applyFont="1" applyFill="1" applyBorder="1" applyAlignment="1">
      <alignment horizontal="left" vertical="center"/>
    </xf>
    <xf numFmtId="0" fontId="4" fillId="23" borderId="146" xfId="0" applyFont="1" applyFill="1" applyBorder="1" applyAlignment="1">
      <alignment horizontal="center" vertical="center"/>
    </xf>
    <xf numFmtId="0" fontId="4" fillId="23" borderId="185" xfId="0" applyFont="1" applyFill="1" applyBorder="1" applyAlignment="1">
      <alignment horizontal="left" vertical="center"/>
    </xf>
    <xf numFmtId="0" fontId="4" fillId="23" borderId="186" xfId="0" applyFont="1" applyFill="1" applyBorder="1" applyAlignment="1">
      <alignment horizontal="left" vertical="center"/>
    </xf>
    <xf numFmtId="0" fontId="4" fillId="23" borderId="117" xfId="0" applyFont="1" applyFill="1" applyBorder="1" applyAlignment="1">
      <alignment horizontal="left" vertical="center"/>
    </xf>
    <xf numFmtId="180" fontId="4" fillId="23" borderId="120" xfId="1" applyNumberFormat="1" applyFont="1" applyFill="1" applyBorder="1" applyAlignment="1" applyProtection="1">
      <alignment horizontal="center" vertical="center"/>
    </xf>
    <xf numFmtId="190" fontId="4" fillId="19" borderId="169" xfId="0" applyNumberFormat="1" applyFont="1" applyFill="1" applyBorder="1" applyAlignment="1">
      <alignment horizontal="center" vertical="center"/>
    </xf>
    <xf numFmtId="190" fontId="4" fillId="19" borderId="171" xfId="0" applyNumberFormat="1" applyFont="1" applyFill="1" applyBorder="1" applyAlignment="1">
      <alignment horizontal="center" vertical="center"/>
    </xf>
    <xf numFmtId="0" fontId="4" fillId="2" borderId="102" xfId="0" applyFont="1" applyFill="1" applyBorder="1" applyAlignment="1" applyProtection="1">
      <alignment horizontal="center" vertical="center"/>
      <protection locked="0"/>
    </xf>
    <xf numFmtId="0" fontId="4" fillId="2" borderId="121" xfId="0" applyFont="1" applyFill="1" applyBorder="1" applyAlignment="1" applyProtection="1">
      <alignment horizontal="center" vertical="center"/>
      <protection locked="0"/>
    </xf>
    <xf numFmtId="0" fontId="30" fillId="13" borderId="124" xfId="2" applyFill="1" applyBorder="1" applyAlignment="1">
      <alignment horizontal="center" vertical="center"/>
    </xf>
    <xf numFmtId="0" fontId="30" fillId="13" borderId="125" xfId="2" applyFill="1" applyBorder="1" applyAlignment="1">
      <alignment horizontal="center" vertical="center"/>
    </xf>
    <xf numFmtId="0" fontId="30" fillId="13" borderId="126" xfId="2" applyFill="1" applyBorder="1" applyAlignment="1">
      <alignment horizontal="center" vertical="center"/>
    </xf>
    <xf numFmtId="56" fontId="4" fillId="0" borderId="102" xfId="0" applyNumberFormat="1" applyFont="1" applyBorder="1" applyAlignment="1" applyProtection="1">
      <alignment horizontal="left" vertical="center"/>
      <protection locked="0"/>
    </xf>
    <xf numFmtId="177" fontId="4" fillId="2" borderId="102" xfId="0" applyNumberFormat="1" applyFont="1" applyFill="1" applyBorder="1" applyAlignment="1" applyProtection="1">
      <alignment horizontal="center" vertical="center"/>
      <protection locked="0"/>
    </xf>
    <xf numFmtId="0" fontId="4" fillId="20" borderId="153" xfId="0" applyFont="1" applyFill="1" applyBorder="1" applyAlignment="1" applyProtection="1">
      <alignment horizontal="center" vertical="center"/>
      <protection locked="0"/>
    </xf>
    <xf numFmtId="177" fontId="4" fillId="21" borderId="102" xfId="0" applyNumberFormat="1" applyFont="1" applyFill="1" applyBorder="1" applyAlignment="1" applyProtection="1">
      <alignment horizontal="center" vertical="center"/>
      <protection locked="0"/>
    </xf>
    <xf numFmtId="0" fontId="4" fillId="20" borderId="102" xfId="0" applyFont="1" applyFill="1" applyBorder="1" applyAlignment="1" applyProtection="1">
      <alignment horizontal="center" vertical="center"/>
      <protection locked="0"/>
    </xf>
    <xf numFmtId="0" fontId="4" fillId="21" borderId="102" xfId="0" applyFont="1" applyFill="1" applyBorder="1" applyAlignment="1" applyProtection="1">
      <alignment horizontal="center" vertical="center"/>
      <protection locked="0"/>
    </xf>
    <xf numFmtId="184" fontId="15" fillId="3" borderId="74" xfId="0" applyNumberFormat="1" applyFont="1" applyFill="1" applyBorder="1" applyAlignment="1">
      <alignment horizontal="center" vertical="center" wrapText="1"/>
    </xf>
    <xf numFmtId="184" fontId="15" fillId="3" borderId="77" xfId="0" applyNumberFormat="1" applyFont="1" applyFill="1" applyBorder="1" applyAlignment="1">
      <alignment horizontal="center" vertical="center" wrapText="1"/>
    </xf>
    <xf numFmtId="177" fontId="15" fillId="0" borderId="71" xfId="0" applyNumberFormat="1" applyFont="1" applyBorder="1" applyAlignment="1">
      <alignment horizontal="center" vertical="center" wrapText="1"/>
    </xf>
    <xf numFmtId="177" fontId="15" fillId="0" borderId="19" xfId="0" applyNumberFormat="1" applyFont="1" applyBorder="1" applyAlignment="1">
      <alignment horizontal="center" vertical="center" wrapText="1"/>
    </xf>
    <xf numFmtId="180" fontId="15" fillId="0" borderId="71" xfId="1" applyNumberFormat="1" applyFont="1" applyFill="1" applyBorder="1" applyAlignment="1">
      <alignment horizontal="center" vertical="center" wrapText="1"/>
    </xf>
    <xf numFmtId="180" fontId="15" fillId="0" borderId="19" xfId="1" applyNumberFormat="1" applyFont="1" applyFill="1" applyBorder="1" applyAlignment="1">
      <alignment horizontal="center" vertical="center" wrapText="1"/>
    </xf>
    <xf numFmtId="0" fontId="28" fillId="17" borderId="166" xfId="0" applyFont="1" applyFill="1" applyBorder="1" applyAlignment="1">
      <alignment horizontal="center" vertical="center"/>
    </xf>
    <xf numFmtId="0" fontId="15" fillId="0" borderId="36" xfId="0" applyFont="1" applyBorder="1" applyAlignment="1">
      <alignment horizontal="center" vertical="center" wrapText="1"/>
    </xf>
    <xf numFmtId="0" fontId="15" fillId="0" borderId="37" xfId="0" applyFont="1" applyBorder="1" applyAlignment="1">
      <alignment horizontal="center" vertical="center"/>
    </xf>
    <xf numFmtId="0" fontId="15" fillId="0" borderId="38" xfId="0" applyFont="1" applyBorder="1" applyAlignment="1">
      <alignment horizontal="center" vertical="center"/>
    </xf>
    <xf numFmtId="0" fontId="14" fillId="0" borderId="69" xfId="0" applyFont="1" applyBorder="1" applyAlignment="1">
      <alignment horizontal="center" vertical="center" textRotation="255" shrinkToFit="1"/>
    </xf>
    <xf numFmtId="0" fontId="3" fillId="7" borderId="23" xfId="0" applyFont="1" applyFill="1" applyBorder="1" applyAlignment="1">
      <alignment horizontal="center" vertical="center"/>
    </xf>
    <xf numFmtId="0" fontId="3" fillId="7" borderId="75" xfId="0" applyFont="1" applyFill="1" applyBorder="1" applyAlignment="1">
      <alignment horizontal="center" vertical="center"/>
    </xf>
    <xf numFmtId="188" fontId="15" fillId="0" borderId="70" xfId="0" applyNumberFormat="1" applyFont="1" applyBorder="1" applyAlignment="1">
      <alignment horizontal="center" vertical="center"/>
    </xf>
    <xf numFmtId="188" fontId="15" fillId="0" borderId="21" xfId="0" applyNumberFormat="1" applyFont="1" applyBorder="1" applyAlignment="1">
      <alignment horizontal="center" vertical="center"/>
    </xf>
    <xf numFmtId="188" fontId="15" fillId="0" borderId="71" xfId="0" applyNumberFormat="1" applyFont="1" applyBorder="1" applyAlignment="1">
      <alignment horizontal="center" vertical="center"/>
    </xf>
    <xf numFmtId="188" fontId="15" fillId="0" borderId="19" xfId="0" applyNumberFormat="1" applyFont="1" applyBorder="1" applyAlignment="1">
      <alignment horizontal="center" vertical="center"/>
    </xf>
    <xf numFmtId="177" fontId="15" fillId="0" borderId="72" xfId="0" applyNumberFormat="1" applyFont="1" applyBorder="1" applyAlignment="1">
      <alignment horizontal="center" vertical="center" wrapText="1"/>
    </xf>
    <xf numFmtId="177" fontId="15" fillId="0" borderId="20" xfId="0" applyNumberFormat="1" applyFont="1" applyBorder="1" applyAlignment="1">
      <alignment horizontal="center" vertical="center" wrapText="1"/>
    </xf>
    <xf numFmtId="177" fontId="15" fillId="5" borderId="73" xfId="0" applyNumberFormat="1" applyFont="1" applyFill="1" applyBorder="1" applyAlignment="1">
      <alignment horizontal="center" vertical="center" wrapText="1"/>
    </xf>
    <xf numFmtId="177" fontId="15" fillId="5" borderId="76" xfId="0" applyNumberFormat="1" applyFont="1" applyFill="1" applyBorder="1" applyAlignment="1">
      <alignment horizontal="center" vertical="center" wrapText="1"/>
    </xf>
  </cellXfs>
  <cellStyles count="3">
    <cellStyle name="パーセント" xfId="1" builtinId="5"/>
    <cellStyle name="ハイパーリンク" xfId="2" builtinId="8"/>
    <cellStyle name="標準" xfId="0" builtinId="0"/>
  </cellStyles>
  <dxfs count="196">
    <dxf>
      <font>
        <color rgb="FF9C5700"/>
      </font>
      <fill>
        <patternFill>
          <bgColor rgb="FFFFEB9C"/>
        </patternFill>
      </fill>
    </dxf>
    <dxf>
      <font>
        <b/>
        <i/>
        <color rgb="FF002060"/>
      </font>
    </dxf>
    <dxf>
      <font>
        <color rgb="FF006100"/>
      </font>
      <fill>
        <patternFill>
          <bgColor rgb="FFC6EFCE"/>
        </patternFill>
      </fill>
    </dxf>
    <dxf>
      <font>
        <b/>
        <i/>
        <color rgb="FF002060"/>
      </font>
    </dxf>
    <dxf>
      <font>
        <color rgb="FF9C5700"/>
      </font>
      <fill>
        <patternFill>
          <bgColor rgb="FFFFEB9C"/>
        </patternFill>
      </fill>
    </dxf>
    <dxf>
      <font>
        <color rgb="FF006100"/>
      </font>
      <fill>
        <patternFill>
          <bgColor rgb="FFC6EFCE"/>
        </patternFill>
      </fill>
    </dxf>
    <dxf>
      <font>
        <b/>
        <i val="0"/>
        <color theme="9" tint="-0.499984740745262"/>
      </font>
      <fill>
        <patternFill>
          <fgColor theme="9" tint="0.79995117038483843"/>
          <bgColor theme="9" tint="0.79998168889431442"/>
        </patternFill>
      </fill>
    </dxf>
    <dxf>
      <font>
        <b/>
        <i val="0"/>
        <color rgb="FF00518E"/>
      </font>
      <fill>
        <patternFill>
          <bgColor theme="8" tint="0.79998168889431442"/>
        </patternFill>
      </fill>
    </dxf>
    <dxf>
      <font>
        <color rgb="FF006100"/>
      </font>
      <fill>
        <patternFill>
          <bgColor rgb="FFC6EFCE"/>
        </patternFill>
      </fill>
    </dxf>
    <dxf>
      <font>
        <color rgb="FF00518E"/>
      </font>
      <fill>
        <patternFill>
          <bgColor theme="8" tint="0.79998168889431442"/>
        </patternFill>
      </fill>
    </dxf>
    <dxf>
      <font>
        <b val="0"/>
        <i val="0"/>
        <color theme="8" tint="-0.499984740745262"/>
      </font>
      <fill>
        <patternFill>
          <bgColor theme="8" tint="-0.499984740745262"/>
        </patternFill>
      </fill>
    </dxf>
    <dxf>
      <fill>
        <patternFill>
          <bgColor rgb="FFFFFFF0"/>
        </patternFill>
      </fill>
    </dxf>
    <dxf>
      <fill>
        <patternFill>
          <bgColor rgb="FFFFFF00"/>
        </patternFill>
      </fill>
    </dxf>
    <dxf>
      <fill>
        <patternFill>
          <bgColor rgb="FFFFFF00"/>
        </patternFill>
      </fill>
    </dxf>
    <dxf>
      <font>
        <color theme="8" tint="-0.499984740745262"/>
      </font>
      <fill>
        <patternFill>
          <bgColor theme="8" tint="-0.499984740745262"/>
        </patternFill>
      </fill>
    </dxf>
    <dxf>
      <fill>
        <patternFill>
          <bgColor rgb="FFFFFFF0"/>
        </patternFill>
      </fill>
    </dxf>
    <dxf>
      <fill>
        <patternFill>
          <bgColor rgb="FFFFFFF0"/>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b val="0"/>
        <i val="0"/>
        <color theme="8" tint="-0.499984740745262"/>
      </font>
      <fill>
        <patternFill>
          <bgColor theme="8" tint="-0.499984740745262"/>
        </patternFill>
      </fill>
    </dxf>
    <dxf>
      <fill>
        <patternFill>
          <bgColor rgb="FFFFFFF0"/>
        </patternFill>
      </fill>
    </dxf>
    <dxf>
      <fill>
        <patternFill>
          <bgColor rgb="FFFFFF00"/>
        </patternFill>
      </fill>
    </dxf>
    <dxf>
      <fill>
        <patternFill>
          <bgColor rgb="FFFFFF00"/>
        </patternFill>
      </fill>
    </dxf>
    <dxf>
      <font>
        <color theme="8" tint="-0.499984740745262"/>
      </font>
      <fill>
        <patternFill>
          <bgColor theme="8" tint="-0.499984740745262"/>
        </patternFill>
      </fill>
    </dxf>
    <dxf>
      <font>
        <color rgb="FF9C0006"/>
      </font>
      <fill>
        <patternFill>
          <bgColor rgb="FFFFC7CE"/>
        </patternFill>
      </fill>
    </dxf>
    <dxf>
      <font>
        <color rgb="FF9C5700"/>
      </font>
      <fill>
        <patternFill>
          <bgColor rgb="FFFFEB9C"/>
        </patternFill>
      </fill>
    </dxf>
    <dxf>
      <fill>
        <patternFill>
          <bgColor rgb="FFFFFFF0"/>
        </patternFill>
      </fill>
    </dxf>
    <dxf>
      <fill>
        <patternFill>
          <bgColor rgb="FFFFFFF0"/>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b val="0"/>
        <i val="0"/>
        <color theme="8" tint="-0.499984740745262"/>
      </font>
      <fill>
        <patternFill>
          <bgColor theme="8" tint="-0.499984740745262"/>
        </patternFill>
      </fill>
    </dxf>
    <dxf>
      <fill>
        <patternFill>
          <bgColor rgb="FFFFFFF0"/>
        </patternFill>
      </fill>
    </dxf>
    <dxf>
      <fill>
        <patternFill>
          <bgColor rgb="FFFFFF00"/>
        </patternFill>
      </fill>
    </dxf>
    <dxf>
      <fill>
        <patternFill>
          <bgColor rgb="FFFFFF00"/>
        </patternFill>
      </fill>
    </dxf>
    <dxf>
      <font>
        <color theme="8" tint="-0.499984740745262"/>
      </font>
      <fill>
        <patternFill>
          <bgColor theme="8" tint="-0.499984740745262"/>
        </patternFill>
      </fill>
    </dxf>
    <dxf>
      <fill>
        <patternFill>
          <bgColor rgb="FFFFFFF0"/>
        </patternFill>
      </fill>
    </dxf>
    <dxf>
      <fill>
        <patternFill>
          <bgColor rgb="FFFFFFF0"/>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b val="0"/>
        <i val="0"/>
        <color theme="8" tint="-0.499984740745262"/>
      </font>
      <fill>
        <patternFill>
          <bgColor theme="8" tint="-0.499984740745262"/>
        </patternFill>
      </fill>
    </dxf>
    <dxf>
      <fill>
        <patternFill>
          <bgColor rgb="FFFFFFF0"/>
        </patternFill>
      </fill>
    </dxf>
    <dxf>
      <fill>
        <patternFill>
          <bgColor rgb="FFFFFF00"/>
        </patternFill>
      </fill>
    </dxf>
    <dxf>
      <fill>
        <patternFill>
          <bgColor rgb="FFFFFF00"/>
        </patternFill>
      </fill>
    </dxf>
    <dxf>
      <font>
        <color theme="8" tint="-0.499984740745262"/>
      </font>
      <fill>
        <patternFill>
          <bgColor theme="8" tint="-0.499984740745262"/>
        </patternFill>
      </fill>
    </dxf>
    <dxf>
      <font>
        <color rgb="FF9C0006"/>
      </font>
      <fill>
        <patternFill>
          <bgColor rgb="FFFFC7CE"/>
        </patternFill>
      </fill>
    </dxf>
    <dxf>
      <font>
        <color rgb="FF9C5700"/>
      </font>
      <fill>
        <patternFill>
          <bgColor rgb="FFFFEB9C"/>
        </patternFill>
      </fill>
    </dxf>
    <dxf>
      <fill>
        <patternFill>
          <bgColor rgb="FFFFFFF0"/>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b val="0"/>
        <i val="0"/>
        <color theme="8" tint="-0.499984740745262"/>
      </font>
      <fill>
        <patternFill>
          <bgColor theme="8" tint="-0.499984740745262"/>
        </patternFill>
      </fill>
    </dxf>
    <dxf>
      <fill>
        <patternFill>
          <bgColor rgb="FFFFFFF0"/>
        </patternFill>
      </fill>
    </dxf>
    <dxf>
      <fill>
        <patternFill>
          <bgColor rgb="FFFFFF00"/>
        </patternFill>
      </fill>
    </dxf>
    <dxf>
      <fill>
        <patternFill>
          <bgColor rgb="FFFFFF00"/>
        </patternFill>
      </fill>
    </dxf>
    <dxf>
      <font>
        <color theme="8" tint="-0.499984740745262"/>
      </font>
      <fill>
        <patternFill>
          <bgColor theme="8" tint="-0.499984740745262"/>
        </patternFill>
      </fill>
    </dxf>
    <dxf>
      <fill>
        <patternFill>
          <bgColor rgb="FFFFFFF0"/>
        </patternFill>
      </fill>
    </dxf>
    <dxf>
      <fill>
        <patternFill>
          <bgColor rgb="FFFFFFF0"/>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b val="0"/>
        <i val="0"/>
        <color theme="8" tint="-0.499984740745262"/>
      </font>
      <fill>
        <patternFill>
          <bgColor theme="8" tint="-0.499984740745262"/>
        </patternFill>
      </fill>
    </dxf>
    <dxf>
      <fill>
        <patternFill>
          <bgColor rgb="FFFFFFF0"/>
        </patternFill>
      </fill>
    </dxf>
    <dxf>
      <fill>
        <patternFill>
          <bgColor rgb="FFFFFF00"/>
        </patternFill>
      </fill>
    </dxf>
    <dxf>
      <fill>
        <patternFill>
          <bgColor rgb="FFFFFF00"/>
        </patternFill>
      </fill>
    </dxf>
    <dxf>
      <fill>
        <patternFill>
          <bgColor rgb="FFFFFFF0"/>
        </patternFill>
      </fill>
    </dxf>
    <dxf>
      <font>
        <color theme="8" tint="-0.499984740745262"/>
      </font>
      <fill>
        <patternFill>
          <bgColor theme="8" tint="-0.499984740745262"/>
        </patternFill>
      </fill>
    </dxf>
    <dxf>
      <font>
        <color rgb="FF9C0006"/>
      </font>
      <fill>
        <patternFill>
          <bgColor rgb="FFFFC7CE"/>
        </patternFill>
      </fill>
    </dxf>
    <dxf>
      <font>
        <color rgb="FF9C5700"/>
      </font>
      <fill>
        <patternFill>
          <bgColor rgb="FFFFEB9C"/>
        </patternFill>
      </fill>
    </dxf>
    <dxf>
      <fill>
        <patternFill>
          <bgColor rgb="FFFFFFF0"/>
        </patternFill>
      </fill>
    </dxf>
    <dxf>
      <fill>
        <patternFill>
          <bgColor rgb="FFFFFFF0"/>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ill>
        <patternFill>
          <bgColor rgb="FFFFFFF0"/>
        </patternFill>
      </fill>
    </dxf>
    <dxf>
      <font>
        <b val="0"/>
        <i val="0"/>
        <color theme="8" tint="-0.499984740745262"/>
      </font>
      <fill>
        <patternFill>
          <bgColor theme="8" tint="-0.499984740745262"/>
        </patternFill>
      </fill>
    </dxf>
    <dxf>
      <fill>
        <patternFill>
          <bgColor rgb="FFFFFFF0"/>
        </patternFill>
      </fill>
    </dxf>
    <dxf>
      <fill>
        <patternFill>
          <bgColor rgb="FFFFFF00"/>
        </patternFill>
      </fill>
    </dxf>
    <dxf>
      <fill>
        <patternFill>
          <bgColor rgb="FFFFFF00"/>
        </patternFill>
      </fill>
    </dxf>
    <dxf>
      <font>
        <color theme="8" tint="-0.499984740745262"/>
      </font>
      <fill>
        <patternFill>
          <bgColor theme="8" tint="-0.499984740745262"/>
        </patternFill>
      </fill>
    </dxf>
    <dxf>
      <fill>
        <patternFill>
          <bgColor rgb="FFFFFFF0"/>
        </patternFill>
      </fill>
    </dxf>
    <dxf>
      <fill>
        <patternFill>
          <bgColor rgb="FFFFFFF0"/>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b/>
        <i val="0"/>
        <color rgb="FF0070C0"/>
      </font>
      <fill>
        <patternFill patternType="none">
          <bgColor auto="1"/>
        </patternFill>
      </fill>
    </dxf>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
      <font>
        <b/>
        <i val="0"/>
        <color theme="7"/>
      </font>
      <fill>
        <patternFill patternType="none">
          <bgColor auto="1"/>
        </patternFill>
      </fill>
    </dxf>
    <dxf>
      <font>
        <b/>
        <i val="0"/>
        <color rgb="FFFF0000"/>
      </font>
      <fill>
        <patternFill patternType="none">
          <bgColor auto="1"/>
        </patternFill>
      </fill>
    </dxf>
    <dxf>
      <font>
        <b/>
        <i val="0"/>
        <color rgb="FFFF0000"/>
      </font>
    </dxf>
    <dxf>
      <font>
        <b val="0"/>
        <i val="0"/>
        <color theme="8" tint="-0.499984740745262"/>
      </font>
      <fill>
        <patternFill>
          <bgColor theme="8" tint="-0.499984740745262"/>
        </patternFill>
      </fill>
    </dxf>
    <dxf>
      <fill>
        <patternFill>
          <bgColor rgb="FFFFFFF0"/>
        </patternFill>
      </fill>
    </dxf>
    <dxf>
      <fill>
        <patternFill>
          <bgColor rgb="FFFFFF00"/>
        </patternFill>
      </fill>
    </dxf>
    <dxf>
      <fill>
        <patternFill>
          <bgColor rgb="FFFFFF00"/>
        </patternFill>
      </fill>
    </dxf>
    <dxf>
      <font>
        <color theme="8" tint="-0.499984740745262"/>
      </font>
      <fill>
        <patternFill>
          <bgColor theme="8" tint="-0.499984740745262"/>
        </patternFill>
      </fill>
    </dxf>
    <dxf>
      <fill>
        <patternFill>
          <bgColor rgb="FFFFFFF0"/>
        </patternFill>
      </fill>
    </dxf>
    <dxf>
      <fill>
        <patternFill>
          <bgColor rgb="FFFFFFF0"/>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b val="0"/>
        <i val="0"/>
        <color theme="8" tint="-0.499984740745262"/>
      </font>
      <fill>
        <patternFill>
          <bgColor theme="8" tint="-0.499984740745262"/>
        </patternFill>
      </fill>
    </dxf>
    <dxf>
      <fill>
        <patternFill>
          <bgColor rgb="FFFFFFF0"/>
        </patternFill>
      </fill>
    </dxf>
    <dxf>
      <fill>
        <patternFill>
          <bgColor rgb="FFFFFF00"/>
        </patternFill>
      </fill>
    </dxf>
    <dxf>
      <fill>
        <patternFill>
          <bgColor rgb="FFFFFF00"/>
        </patternFill>
      </fill>
    </dxf>
    <dxf>
      <font>
        <color theme="8" tint="-0.499984740745262"/>
      </font>
      <fill>
        <patternFill>
          <bgColor theme="8" tint="-0.499984740745262"/>
        </patternFill>
      </fill>
    </dxf>
    <dxf>
      <fill>
        <patternFill>
          <bgColor rgb="FFFFFFF0"/>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FFCBFA"/>
      <color rgb="FFFFFFCC"/>
      <color rgb="FFFFFFF0"/>
      <color rgb="FF336699"/>
      <color rgb="FFFFFFF5"/>
      <color rgb="FFFFFF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22/11/relationships/FeaturePropertyBag" Target="featurePropertyBag/featurePropertyBag.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fmlaLink="宇都宮!$BZ$3" lockText="1" noThreeD="1"/>
</file>

<file path=xl/ctrlProps/ctrlProp2.xml><?xml version="1.0" encoding="utf-8"?>
<formControlPr xmlns="http://schemas.microsoft.com/office/spreadsheetml/2009/9/main" objectType="CheckBox" fmlaLink="宇都宮!$BZ$4" lockText="1" noThreeD="1"/>
</file>

<file path=xl/ctrlProps/ctrlProp3.xml><?xml version="1.0" encoding="utf-8"?>
<formControlPr xmlns="http://schemas.microsoft.com/office/spreadsheetml/2009/9/main" objectType="CheckBox" fmlaLink="宇都宮!$BZ$5" lockText="1" noThreeD="1"/>
</file>

<file path=xl/ctrlProps/ctrlProp4.xml><?xml version="1.0" encoding="utf-8"?>
<formControlPr xmlns="http://schemas.microsoft.com/office/spreadsheetml/2009/9/main" objectType="CheckBox" fmlaLink="宇都宮!$BZ$6" lockText="1" noThreeD="1"/>
</file>

<file path=xl/ctrlProps/ctrlProp5.xml><?xml version="1.0" encoding="utf-8"?>
<formControlPr xmlns="http://schemas.microsoft.com/office/spreadsheetml/2009/9/main" objectType="CheckBox" fmlaLink="宇都宮!$BZ$7" lockText="1" noThreeD="1"/>
</file>

<file path=xl/ctrlProps/ctrlProp6.xml><?xml version="1.0" encoding="utf-8"?>
<formControlPr xmlns="http://schemas.microsoft.com/office/spreadsheetml/2009/9/main" objectType="CheckBox" fmlaLink="宇都宮!$BZ$8" lockText="1" noThreeD="1"/>
</file>

<file path=xl/ctrlProps/ctrlProp7.xml><?xml version="1.0" encoding="utf-8"?>
<formControlPr xmlns="http://schemas.microsoft.com/office/spreadsheetml/2009/9/main" objectType="CheckBox" fmlaLink="宇都宮!$BZ$9" lockText="1" noThreeD="1"/>
</file>

<file path=xl/ctrlProps/ctrlProp8.xml><?xml version="1.0" encoding="utf-8"?>
<formControlPr xmlns="http://schemas.microsoft.com/office/spreadsheetml/2009/9/main" objectType="CheckBox" fmlaLink="宇都宮!$BZ$10" lockText="1" noThreeD="1"/>
</file>

<file path=xl/ctrlProps/ctrlProp9.xml><?xml version="1.0" encoding="utf-8"?>
<formControlPr xmlns="http://schemas.microsoft.com/office/spreadsheetml/2009/9/main" objectType="CheckBox" fmlaLink="宇都宮!$BZ$11" lockText="1" noThreeD="1"/>
</file>

<file path=xl/ctrlProps/ctrlProp10.xml><?xml version="1.0" encoding="utf-8"?>
<formControlPr xmlns="http://schemas.microsoft.com/office/spreadsheetml/2009/9/main" objectType="CheckBox" fmlaLink="宇都宮!$BZ$12" lockText="1" noThreeD="1"/>
</file>

<file path=xl/ctrlProps/ctrlProp11.xml><?xml version="1.0" encoding="utf-8"?>
<formControlPr xmlns="http://schemas.microsoft.com/office/spreadsheetml/2009/9/main" objectType="CheckBox" fmlaLink="宇都宮!$BZ$13" lockText="1" noThreeD="1"/>
</file>

<file path=xl/ctrlProps/ctrlProp12.xml><?xml version="1.0" encoding="utf-8"?>
<formControlPr xmlns="http://schemas.microsoft.com/office/spreadsheetml/2009/9/main" objectType="CheckBox" fmlaLink="宇都宮!$BZ$14" lockText="1" noThreeD="1"/>
</file>

<file path=xl/ctrlProps/ctrlProp13.xml><?xml version="1.0" encoding="utf-8"?>
<formControlPr xmlns="http://schemas.microsoft.com/office/spreadsheetml/2009/9/main" objectType="CheckBox" fmlaLink="宇都宮!$BZ$15" lockText="1" noThreeD="1"/>
</file>

<file path=xl/ctrlProps/ctrlProp14.xml><?xml version="1.0" encoding="utf-8"?>
<formControlPr xmlns="http://schemas.microsoft.com/office/spreadsheetml/2009/9/main" objectType="CheckBox" fmlaLink="宇都宮!$BZ$16" lockText="1" noThreeD="1"/>
</file>

<file path=xl/ctrlProps/ctrlProp15.xml><?xml version="1.0" encoding="utf-8"?>
<formControlPr xmlns="http://schemas.microsoft.com/office/spreadsheetml/2009/9/main" objectType="CheckBox" fmlaLink="宇都宮!$BZ$19" lockText="1" noThreeD="1"/>
</file>

<file path=xl/ctrlProps/ctrlProp16.xml><?xml version="1.0" encoding="utf-8"?>
<formControlPr xmlns="http://schemas.microsoft.com/office/spreadsheetml/2009/9/main" objectType="CheckBox" fmlaLink="宇都宮!$BZ$20" lockText="1" noThreeD="1"/>
</file>

<file path=xl/ctrlProps/ctrlProp17.xml><?xml version="1.0" encoding="utf-8"?>
<formControlPr xmlns="http://schemas.microsoft.com/office/spreadsheetml/2009/9/main" objectType="CheckBox" fmlaLink="宇都宮!$BZ$21" lockText="1" noThreeD="1"/>
</file>

<file path=xl/ctrlProps/ctrlProp18.xml><?xml version="1.0" encoding="utf-8"?>
<formControlPr xmlns="http://schemas.microsoft.com/office/spreadsheetml/2009/9/main" objectType="CheckBox" fmlaLink="宇都宮!$BZ$22" lockText="1" noThreeD="1"/>
</file>

<file path=xl/ctrlProps/ctrlProp19.xml><?xml version="1.0" encoding="utf-8"?>
<formControlPr xmlns="http://schemas.microsoft.com/office/spreadsheetml/2009/9/main" objectType="CheckBox" fmlaLink="宇都宮!$BZ$23" lockText="1" noThreeD="1"/>
</file>

<file path=xl/ctrlProps/ctrlProp20.xml><?xml version="1.0" encoding="utf-8"?>
<formControlPr xmlns="http://schemas.microsoft.com/office/spreadsheetml/2009/9/main" objectType="CheckBox" fmlaLink="宇都宮!$BZ$24" lockText="1" noThreeD="1"/>
</file>

<file path=xl/ctrlProps/ctrlProp21.xml><?xml version="1.0" encoding="utf-8"?>
<formControlPr xmlns="http://schemas.microsoft.com/office/spreadsheetml/2009/9/main" objectType="CheckBox" fmlaLink="宇都宮!$BZ$25" lockText="1" noThreeD="1"/>
</file>

<file path=xl/ctrlProps/ctrlProp22.xml><?xml version="1.0" encoding="utf-8"?>
<formControlPr xmlns="http://schemas.microsoft.com/office/spreadsheetml/2009/9/main" objectType="CheckBox" fmlaLink="宇都宮!$BZ$26" lockText="1" noThreeD="1"/>
</file>

<file path=xl/ctrlProps/ctrlProp23.xml><?xml version="1.0" encoding="utf-8"?>
<formControlPr xmlns="http://schemas.microsoft.com/office/spreadsheetml/2009/9/main" objectType="CheckBox" fmlaLink="宇都宮!$BZ$27" lockText="1" noThreeD="1"/>
</file>

<file path=xl/ctrlProps/ctrlProp24.xml><?xml version="1.0" encoding="utf-8"?>
<formControlPr xmlns="http://schemas.microsoft.com/office/spreadsheetml/2009/9/main" objectType="CheckBox" fmlaLink="宇都宮!$BZ$28" lockText="1" noThreeD="1"/>
</file>

<file path=xl/ctrlProps/ctrlProp25.xml><?xml version="1.0" encoding="utf-8"?>
<formControlPr xmlns="http://schemas.microsoft.com/office/spreadsheetml/2009/9/main" objectType="CheckBox" fmlaLink="宇都宮!$BZ$29" lockText="1" noThreeD="1"/>
</file>

<file path=xl/ctrlProps/ctrlProp26.xml><?xml version="1.0" encoding="utf-8"?>
<formControlPr xmlns="http://schemas.microsoft.com/office/spreadsheetml/2009/9/main" objectType="CheckBox" fmlaLink="宇都宮!$BZ$30" lockText="1" noThreeD="1"/>
</file>

<file path=xl/ctrlProps/ctrlProp27.xml><?xml version="1.0" encoding="utf-8"?>
<formControlPr xmlns="http://schemas.microsoft.com/office/spreadsheetml/2009/9/main" objectType="CheckBox" fmlaLink="宇都宮!$BZ$31" lockText="1" noThreeD="1"/>
</file>

<file path=xl/ctrlProps/ctrlProp28.xml><?xml version="1.0" encoding="utf-8"?>
<formControlPr xmlns="http://schemas.microsoft.com/office/spreadsheetml/2009/9/main" objectType="CheckBox" fmlaLink="宇都宮!$BZ$32" lockText="1" noThreeD="1"/>
</file>

<file path=xl/ctrlProps/ctrlProp29.xml><?xml version="1.0" encoding="utf-8"?>
<formControlPr xmlns="http://schemas.microsoft.com/office/spreadsheetml/2009/9/main" objectType="CheckBox" fmlaLink="宇都宮!$BZ$33" lockText="1" noThreeD="1"/>
</file>

<file path=xl/ctrlProps/ctrlProp30.xml><?xml version="1.0" encoding="utf-8"?>
<formControlPr xmlns="http://schemas.microsoft.com/office/spreadsheetml/2009/9/main" objectType="CheckBox" fmlaLink="宇都宮!$BZ$36" lockText="1" noThreeD="1"/>
</file>

<file path=xl/ctrlProps/ctrlProp31.xml><?xml version="1.0" encoding="utf-8"?>
<formControlPr xmlns="http://schemas.microsoft.com/office/spreadsheetml/2009/9/main" objectType="CheckBox" fmlaLink="宇都宮!$BQ$37" lockText="1" noThreeD="1"/>
</file>

<file path=xl/ctrlProps/ctrlProp32.xml><?xml version="1.0" encoding="utf-8"?>
<formControlPr xmlns="http://schemas.microsoft.com/office/spreadsheetml/2009/9/main" objectType="CheckBox" fmlaLink="宇都宮!$BZ$37" lockText="1" noThreeD="1"/>
</file>

<file path=xl/ctrlProps/ctrlProp33.xml><?xml version="1.0" encoding="utf-8"?>
<formControlPr xmlns="http://schemas.microsoft.com/office/spreadsheetml/2009/9/main" objectType="CheckBox" fmlaLink="宇都宮!$BQ$38" lockText="1" noThreeD="1"/>
</file>

<file path=xl/ctrlProps/ctrlProp34.xml><?xml version="1.0" encoding="utf-8"?>
<formControlPr xmlns="http://schemas.microsoft.com/office/spreadsheetml/2009/9/main" objectType="CheckBox" fmlaLink="宇都宮!$BZ$38" lockText="1" noThreeD="1"/>
</file>

<file path=xl/ctrlProps/ctrlProp35.xml><?xml version="1.0" encoding="utf-8"?>
<formControlPr xmlns="http://schemas.microsoft.com/office/spreadsheetml/2009/9/main" objectType="CheckBox" fmlaLink="宇都宮!$BQ$39" lockText="1" noThreeD="1"/>
</file>

<file path=xl/ctrlProps/ctrlProp36.xml><?xml version="1.0" encoding="utf-8"?>
<formControlPr xmlns="http://schemas.microsoft.com/office/spreadsheetml/2009/9/main" objectType="CheckBox" fmlaLink="宇都宮!$BZ$39" lockText="1" noThreeD="1"/>
</file>

<file path=xl/ctrlProps/ctrlProp37.xml><?xml version="1.0" encoding="utf-8"?>
<formControlPr xmlns="http://schemas.microsoft.com/office/spreadsheetml/2009/9/main" objectType="CheckBox" fmlaLink="宇都宮!$BQ$40" lockText="1" noThreeD="1"/>
</file>

<file path=xl/ctrlProps/ctrlProp38.xml><?xml version="1.0" encoding="utf-8"?>
<formControlPr xmlns="http://schemas.microsoft.com/office/spreadsheetml/2009/9/main" objectType="CheckBox" fmlaLink="宇都宮!$BZ$40" lockText="1" noThreeD="1"/>
</file>

<file path=xl/ctrlProps/ctrlProp39.xml><?xml version="1.0" encoding="utf-8"?>
<formControlPr xmlns="http://schemas.microsoft.com/office/spreadsheetml/2009/9/main" objectType="CheckBox" fmlaLink="宇都宮!$BQ$41" lockText="1" noThreeD="1"/>
</file>

<file path=xl/ctrlProps/ctrlProp40.xml><?xml version="1.0" encoding="utf-8"?>
<formControlPr xmlns="http://schemas.microsoft.com/office/spreadsheetml/2009/9/main" objectType="CheckBox" fmlaLink="宇都宮!$BZ$41" lockText="1" noThreeD="1"/>
</file>

<file path=xl/ctrlProps/ctrlProp41.xml><?xml version="1.0" encoding="utf-8"?>
<formControlPr xmlns="http://schemas.microsoft.com/office/spreadsheetml/2009/9/main" objectType="CheckBox" fmlaLink="宇都宮!$BQ$42" lockText="1" noThreeD="1"/>
</file>

<file path=xl/ctrlProps/ctrlProp42.xml><?xml version="1.0" encoding="utf-8"?>
<formControlPr xmlns="http://schemas.microsoft.com/office/spreadsheetml/2009/9/main" objectType="CheckBox" fmlaLink="宇都宮!$BZ$42" lockText="1" noThreeD="1"/>
</file>

<file path=xl/ctrlProps/ctrlProp43.xml><?xml version="1.0" encoding="utf-8"?>
<formControlPr xmlns="http://schemas.microsoft.com/office/spreadsheetml/2009/9/main" objectType="CheckBox" fmlaLink="南中丸!$BW$3" lockText="1" noThreeD="1"/>
</file>

<file path=xl/ctrlProps/ctrlProp44.xml><?xml version="1.0" encoding="utf-8"?>
<formControlPr xmlns="http://schemas.microsoft.com/office/spreadsheetml/2009/9/main" objectType="CheckBox" fmlaLink="南中丸!$BW$4" lockText="1" noThreeD="1"/>
</file>

<file path=xl/ctrlProps/ctrlProp45.xml><?xml version="1.0" encoding="utf-8"?>
<formControlPr xmlns="http://schemas.microsoft.com/office/spreadsheetml/2009/9/main" objectType="CheckBox" fmlaLink="南中丸!$BW$5" lockText="1" noThreeD="1"/>
</file>

<file path=xl/ctrlProps/ctrlProp46.xml><?xml version="1.0" encoding="utf-8"?>
<formControlPr xmlns="http://schemas.microsoft.com/office/spreadsheetml/2009/9/main" objectType="CheckBox" fmlaLink="南中丸!$BW$6" lockText="1" noThreeD="1"/>
</file>

<file path=xl/ctrlProps/ctrlProp47.xml><?xml version="1.0" encoding="utf-8"?>
<formControlPr xmlns="http://schemas.microsoft.com/office/spreadsheetml/2009/9/main" objectType="CheckBox" fmlaLink="南中丸!$BW$7" lockText="1" noThreeD="1"/>
</file>

<file path=xl/ctrlProps/ctrlProp48.xml><?xml version="1.0" encoding="utf-8"?>
<formControlPr xmlns="http://schemas.microsoft.com/office/spreadsheetml/2009/9/main" objectType="CheckBox" fmlaLink="南中丸!$BW$8" lockText="1" noThreeD="1"/>
</file>

<file path=xl/ctrlProps/ctrlProp49.xml><?xml version="1.0" encoding="utf-8"?>
<formControlPr xmlns="http://schemas.microsoft.com/office/spreadsheetml/2009/9/main" objectType="CheckBox" fmlaLink="南中丸!$BW$9" lockText="1" noThreeD="1"/>
</file>

<file path=xl/ctrlProps/ctrlProp50.xml><?xml version="1.0" encoding="utf-8"?>
<formControlPr xmlns="http://schemas.microsoft.com/office/spreadsheetml/2009/9/main" objectType="CheckBox" fmlaLink="南中丸!$BW$10" lockText="1" noThreeD="1"/>
</file>

<file path=xl/ctrlProps/ctrlProp51.xml><?xml version="1.0" encoding="utf-8"?>
<formControlPr xmlns="http://schemas.microsoft.com/office/spreadsheetml/2009/9/main" objectType="CheckBox" fmlaLink="南中丸!$BW$11" lockText="1" noThreeD="1"/>
</file>

<file path=xl/ctrlProps/ctrlProp52.xml><?xml version="1.0" encoding="utf-8"?>
<formControlPr xmlns="http://schemas.microsoft.com/office/spreadsheetml/2009/9/main" objectType="CheckBox" fmlaLink="南中丸!$BW$12" lockText="1" noThreeD="1"/>
</file>

<file path=xl/ctrlProps/ctrlProp53.xml><?xml version="1.0" encoding="utf-8"?>
<formControlPr xmlns="http://schemas.microsoft.com/office/spreadsheetml/2009/9/main" objectType="CheckBox" fmlaLink="南中丸!$BW$13" lockText="1" noThreeD="1"/>
</file>

<file path=xl/ctrlProps/ctrlProp54.xml><?xml version="1.0" encoding="utf-8"?>
<formControlPr xmlns="http://schemas.microsoft.com/office/spreadsheetml/2009/9/main" objectType="CheckBox" fmlaLink="南中丸!$BW$14" lockText="1" noThreeD="1"/>
</file>

<file path=xl/ctrlProps/ctrlProp55.xml><?xml version="1.0" encoding="utf-8"?>
<formControlPr xmlns="http://schemas.microsoft.com/office/spreadsheetml/2009/9/main" objectType="CheckBox" fmlaLink="南中丸!$BW$15" lockText="1" noThreeD="1"/>
</file>

<file path=xl/ctrlProps/ctrlProp56.xml><?xml version="1.0" encoding="utf-8"?>
<formControlPr xmlns="http://schemas.microsoft.com/office/spreadsheetml/2009/9/main" objectType="CheckBox" fmlaLink="南中丸!$BW$16" lockText="1" noThreeD="1"/>
</file>

<file path=xl/ctrlProps/ctrlProp57.xml><?xml version="1.0" encoding="utf-8"?>
<formControlPr xmlns="http://schemas.microsoft.com/office/spreadsheetml/2009/9/main" objectType="CheckBox" fmlaLink="南中丸!$BW$19" lockText="1" noThreeD="1"/>
</file>

<file path=xl/ctrlProps/ctrlProp58.xml><?xml version="1.0" encoding="utf-8"?>
<formControlPr xmlns="http://schemas.microsoft.com/office/spreadsheetml/2009/9/main" objectType="CheckBox" fmlaLink="南中丸!$BW$20" lockText="1" noThreeD="1"/>
</file>

<file path=xl/ctrlProps/ctrlProp59.xml><?xml version="1.0" encoding="utf-8"?>
<formControlPr xmlns="http://schemas.microsoft.com/office/spreadsheetml/2009/9/main" objectType="CheckBox" fmlaLink="南中丸!$BW$21" lockText="1" noThreeD="1"/>
</file>

<file path=xl/ctrlProps/ctrlProp60.xml><?xml version="1.0" encoding="utf-8"?>
<formControlPr xmlns="http://schemas.microsoft.com/office/spreadsheetml/2009/9/main" objectType="CheckBox" fmlaLink="南中丸!$BW$22" lockText="1" noThreeD="1"/>
</file>

<file path=xl/ctrlProps/ctrlProp61.xml><?xml version="1.0" encoding="utf-8"?>
<formControlPr xmlns="http://schemas.microsoft.com/office/spreadsheetml/2009/9/main" objectType="CheckBox" fmlaLink="南中丸!$BW$23" lockText="1" noThreeD="1"/>
</file>

<file path=xl/ctrlProps/ctrlProp62.xml><?xml version="1.0" encoding="utf-8"?>
<formControlPr xmlns="http://schemas.microsoft.com/office/spreadsheetml/2009/9/main" objectType="CheckBox" fmlaLink="南中丸!$BW$24" lockText="1" noThreeD="1"/>
</file>

<file path=xl/ctrlProps/ctrlProp63.xml><?xml version="1.0" encoding="utf-8"?>
<formControlPr xmlns="http://schemas.microsoft.com/office/spreadsheetml/2009/9/main" objectType="CheckBox" fmlaLink="南中丸!$BW$25" lockText="1" noThreeD="1"/>
</file>

<file path=xl/ctrlProps/ctrlProp64.xml><?xml version="1.0" encoding="utf-8"?>
<formControlPr xmlns="http://schemas.microsoft.com/office/spreadsheetml/2009/9/main" objectType="CheckBox" fmlaLink="南中丸!$BW$26" lockText="1" noThreeD="1"/>
</file>

<file path=xl/ctrlProps/ctrlProp65.xml><?xml version="1.0" encoding="utf-8"?>
<formControlPr xmlns="http://schemas.microsoft.com/office/spreadsheetml/2009/9/main" objectType="CheckBox" fmlaLink="南中丸!$BW$27" lockText="1" noThreeD="1"/>
</file>

<file path=xl/ctrlProps/ctrlProp66.xml><?xml version="1.0" encoding="utf-8"?>
<formControlPr xmlns="http://schemas.microsoft.com/office/spreadsheetml/2009/9/main" objectType="CheckBox" fmlaLink="南中丸!$BW$28" lockText="1" noThreeD="1"/>
</file>

<file path=xl/ctrlProps/ctrlProp67.xml><?xml version="1.0" encoding="utf-8"?>
<formControlPr xmlns="http://schemas.microsoft.com/office/spreadsheetml/2009/9/main" objectType="CheckBox" fmlaLink="南中丸!$BW$29" lockText="1" noThreeD="1"/>
</file>

<file path=xl/ctrlProps/ctrlProp68.xml><?xml version="1.0" encoding="utf-8"?>
<formControlPr xmlns="http://schemas.microsoft.com/office/spreadsheetml/2009/9/main" objectType="CheckBox" fmlaLink="南中丸!$BW$30" lockText="1" noThreeD="1"/>
</file>

<file path=xl/ctrlProps/ctrlProp69.xml><?xml version="1.0" encoding="utf-8"?>
<formControlPr xmlns="http://schemas.microsoft.com/office/spreadsheetml/2009/9/main" objectType="CheckBox" fmlaLink="南中丸!$BW$31" lockText="1" noThreeD="1"/>
</file>

<file path=xl/ctrlProps/ctrlProp70.xml><?xml version="1.0" encoding="utf-8"?>
<formControlPr xmlns="http://schemas.microsoft.com/office/spreadsheetml/2009/9/main" objectType="CheckBox" fmlaLink="南中丸!$BW$32" lockText="1" noThreeD="1"/>
</file>

<file path=xl/ctrlProps/ctrlProp71.xml><?xml version="1.0" encoding="utf-8"?>
<formControlPr xmlns="http://schemas.microsoft.com/office/spreadsheetml/2009/9/main" objectType="CheckBox" fmlaLink="南中丸!$BW$33" lockText="1" noThreeD="1"/>
</file>

<file path=xl/ctrlProps/ctrlProp72.xml><?xml version="1.0" encoding="utf-8"?>
<formControlPr xmlns="http://schemas.microsoft.com/office/spreadsheetml/2009/9/main" objectType="CheckBox" fmlaLink="南中丸!$BW$36" lockText="1" noThreeD="1"/>
</file>

<file path=xl/ctrlProps/ctrlProp73.xml><?xml version="1.0" encoding="utf-8"?>
<formControlPr xmlns="http://schemas.microsoft.com/office/spreadsheetml/2009/9/main" objectType="CheckBox" fmlaLink="南中丸!$BQ$37" lockText="1" noThreeD="1"/>
</file>

<file path=xl/ctrlProps/ctrlProp74.xml><?xml version="1.0" encoding="utf-8"?>
<formControlPr xmlns="http://schemas.microsoft.com/office/spreadsheetml/2009/9/main" objectType="CheckBox" fmlaLink="南中丸!$BW$37" lockText="1" noThreeD="1"/>
</file>

<file path=xl/ctrlProps/ctrlProp75.xml><?xml version="1.0" encoding="utf-8"?>
<formControlPr xmlns="http://schemas.microsoft.com/office/spreadsheetml/2009/9/main" objectType="CheckBox" fmlaLink="南中丸!$BQ$38" lockText="1" noThreeD="1"/>
</file>

<file path=xl/ctrlProps/ctrlProp76.xml><?xml version="1.0" encoding="utf-8"?>
<formControlPr xmlns="http://schemas.microsoft.com/office/spreadsheetml/2009/9/main" objectType="CheckBox" fmlaLink="南中丸!$BW$38" lockText="1" noThreeD="1"/>
</file>

<file path=xl/ctrlProps/ctrlProp77.xml><?xml version="1.0" encoding="utf-8"?>
<formControlPr xmlns="http://schemas.microsoft.com/office/spreadsheetml/2009/9/main" objectType="CheckBox" fmlaLink="南中丸!$BQ$39" lockText="1" noThreeD="1"/>
</file>

<file path=xl/ctrlProps/ctrlProp78.xml><?xml version="1.0" encoding="utf-8"?>
<formControlPr xmlns="http://schemas.microsoft.com/office/spreadsheetml/2009/9/main" objectType="CheckBox" fmlaLink="南中丸!$BW$39" lockText="1" noThreeD="1"/>
</file>

<file path=xl/ctrlProps/ctrlProp79.xml><?xml version="1.0" encoding="utf-8"?>
<formControlPr xmlns="http://schemas.microsoft.com/office/spreadsheetml/2009/9/main" objectType="CheckBox" fmlaLink="南中丸!$BQ$40" lockText="1" noThreeD="1"/>
</file>

<file path=xl/ctrlProps/ctrlProp80.xml><?xml version="1.0" encoding="utf-8"?>
<formControlPr xmlns="http://schemas.microsoft.com/office/spreadsheetml/2009/9/main" objectType="CheckBox" fmlaLink="南中丸!$BW$40" lockText="1" noThreeD="1"/>
</file>

<file path=xl/ctrlProps/ctrlProp81.xml><?xml version="1.0" encoding="utf-8"?>
<formControlPr xmlns="http://schemas.microsoft.com/office/spreadsheetml/2009/9/main" objectType="CheckBox" fmlaLink="南中丸!$BQ$41" lockText="1" noThreeD="1"/>
</file>

<file path=xl/ctrlProps/ctrlProp82.xml><?xml version="1.0" encoding="utf-8"?>
<formControlPr xmlns="http://schemas.microsoft.com/office/spreadsheetml/2009/9/main" objectType="CheckBox" fmlaLink="南中丸!$BW$41" lockText="1" noThreeD="1"/>
</file>

<file path=xl/ctrlProps/ctrlProp83.xml><?xml version="1.0" encoding="utf-8"?>
<formControlPr xmlns="http://schemas.microsoft.com/office/spreadsheetml/2009/9/main" objectType="CheckBox" fmlaLink="南中丸!$BQ$42" lockText="1" noThreeD="1"/>
</file>

<file path=xl/ctrlProps/ctrlProp84.xml><?xml version="1.0" encoding="utf-8"?>
<formControlPr xmlns="http://schemas.microsoft.com/office/spreadsheetml/2009/9/main" objectType="CheckBox" fmlaLink="南中丸!$BW$42" lockText="1" noThreeD="1"/>
</file>

<file path=xl/ctrlProps/ctrlProp85.xml><?xml version="1.0" encoding="utf-8"?>
<formControlPr xmlns="http://schemas.microsoft.com/office/spreadsheetml/2009/9/main" objectType="CheckBox" fmlaLink="春日部!$BW$3" lockText="1" noThreeD="1"/>
</file>

<file path=xl/ctrlProps/ctrlProp86.xml><?xml version="1.0" encoding="utf-8"?>
<formControlPr xmlns="http://schemas.microsoft.com/office/spreadsheetml/2009/9/main" objectType="CheckBox" fmlaLink="春日部!$BW$4" lockText="1" noThreeD="1"/>
</file>

<file path=xl/ctrlProps/ctrlProp87.xml><?xml version="1.0" encoding="utf-8"?>
<formControlPr xmlns="http://schemas.microsoft.com/office/spreadsheetml/2009/9/main" objectType="CheckBox" fmlaLink="春日部!$BW$5" lockText="1" noThreeD="1"/>
</file>

<file path=xl/ctrlProps/ctrlProp88.xml><?xml version="1.0" encoding="utf-8"?>
<formControlPr xmlns="http://schemas.microsoft.com/office/spreadsheetml/2009/9/main" objectType="CheckBox" fmlaLink="春日部!$BW$6" lockText="1" noThreeD="1"/>
</file>

<file path=xl/ctrlProps/ctrlProp89.xml><?xml version="1.0" encoding="utf-8"?>
<formControlPr xmlns="http://schemas.microsoft.com/office/spreadsheetml/2009/9/main" objectType="CheckBox" fmlaLink="春日部!$BW$7" lockText="1" noThreeD="1"/>
</file>

<file path=xl/ctrlProps/ctrlProp90.xml><?xml version="1.0" encoding="utf-8"?>
<formControlPr xmlns="http://schemas.microsoft.com/office/spreadsheetml/2009/9/main" objectType="CheckBox" fmlaLink="春日部!$BW$8" lockText="1" noThreeD="1"/>
</file>

<file path=xl/ctrlProps/ctrlProp91.xml><?xml version="1.0" encoding="utf-8"?>
<formControlPr xmlns="http://schemas.microsoft.com/office/spreadsheetml/2009/9/main" objectType="CheckBox" fmlaLink="春日部!$BW$9" lockText="1" noThreeD="1"/>
</file>

<file path=xl/ctrlProps/ctrlProp92.xml><?xml version="1.0" encoding="utf-8"?>
<formControlPr xmlns="http://schemas.microsoft.com/office/spreadsheetml/2009/9/main" objectType="CheckBox" fmlaLink="春日部!$BW$10" lockText="1" noThreeD="1"/>
</file>

<file path=xl/ctrlProps/ctrlProp93.xml><?xml version="1.0" encoding="utf-8"?>
<formControlPr xmlns="http://schemas.microsoft.com/office/spreadsheetml/2009/9/main" objectType="CheckBox" fmlaLink="春日部!$BW$11" lockText="1" noThreeD="1"/>
</file>

<file path=xl/ctrlProps/ctrlProp94.xml><?xml version="1.0" encoding="utf-8"?>
<formControlPr xmlns="http://schemas.microsoft.com/office/spreadsheetml/2009/9/main" objectType="CheckBox" fmlaLink="春日部!$BW$12" lockText="1" noThreeD="1"/>
</file>

<file path=xl/ctrlProps/ctrlProp95.xml><?xml version="1.0" encoding="utf-8"?>
<formControlPr xmlns="http://schemas.microsoft.com/office/spreadsheetml/2009/9/main" objectType="CheckBox" fmlaLink="春日部!$BW$13" lockText="1" noThreeD="1"/>
</file>

<file path=xl/ctrlProps/ctrlProp96.xml><?xml version="1.0" encoding="utf-8"?>
<formControlPr xmlns="http://schemas.microsoft.com/office/spreadsheetml/2009/9/main" objectType="CheckBox" fmlaLink="春日部!$BW$14" lockText="1" noThreeD="1"/>
</file>

<file path=xl/ctrlProps/ctrlProp97.xml><?xml version="1.0" encoding="utf-8"?>
<formControlPr xmlns="http://schemas.microsoft.com/office/spreadsheetml/2009/9/main" objectType="CheckBox" fmlaLink="春日部!$BW$15" lockText="1" noThreeD="1"/>
</file>

<file path=xl/ctrlProps/ctrlProp98.xml><?xml version="1.0" encoding="utf-8"?>
<formControlPr xmlns="http://schemas.microsoft.com/office/spreadsheetml/2009/9/main" objectType="CheckBox" fmlaLink="春日部!$BW$16" lockText="1" noThreeD="1"/>
</file>

<file path=xl/ctrlProps/ctrlProp99.xml><?xml version="1.0" encoding="utf-8"?>
<formControlPr xmlns="http://schemas.microsoft.com/office/spreadsheetml/2009/9/main" objectType="CheckBox" fmlaLink="春日部!$BW$19" lockText="1" noThreeD="1"/>
</file>

<file path=xl/ctrlProps/ctrlProp100.xml><?xml version="1.0" encoding="utf-8"?>
<formControlPr xmlns="http://schemas.microsoft.com/office/spreadsheetml/2009/9/main" objectType="CheckBox" fmlaLink="春日部!$BW$20" lockText="1" noThreeD="1"/>
</file>

<file path=xl/ctrlProps/ctrlProp101.xml><?xml version="1.0" encoding="utf-8"?>
<formControlPr xmlns="http://schemas.microsoft.com/office/spreadsheetml/2009/9/main" objectType="CheckBox" fmlaLink="春日部!$BW$21" lockText="1" noThreeD="1"/>
</file>

<file path=xl/ctrlProps/ctrlProp102.xml><?xml version="1.0" encoding="utf-8"?>
<formControlPr xmlns="http://schemas.microsoft.com/office/spreadsheetml/2009/9/main" objectType="CheckBox" fmlaLink="春日部!$BW$22" lockText="1" noThreeD="1"/>
</file>

<file path=xl/ctrlProps/ctrlProp103.xml><?xml version="1.0" encoding="utf-8"?>
<formControlPr xmlns="http://schemas.microsoft.com/office/spreadsheetml/2009/9/main" objectType="CheckBox" fmlaLink="春日部!$BW$23" lockText="1" noThreeD="1"/>
</file>

<file path=xl/ctrlProps/ctrlProp104.xml><?xml version="1.0" encoding="utf-8"?>
<formControlPr xmlns="http://schemas.microsoft.com/office/spreadsheetml/2009/9/main" objectType="CheckBox" fmlaLink="春日部!$BW$24" lockText="1" noThreeD="1"/>
</file>

<file path=xl/ctrlProps/ctrlProp105.xml><?xml version="1.0" encoding="utf-8"?>
<formControlPr xmlns="http://schemas.microsoft.com/office/spreadsheetml/2009/9/main" objectType="CheckBox" fmlaLink="春日部!$BW$25" lockText="1" noThreeD="1"/>
</file>

<file path=xl/ctrlProps/ctrlProp106.xml><?xml version="1.0" encoding="utf-8"?>
<formControlPr xmlns="http://schemas.microsoft.com/office/spreadsheetml/2009/9/main" objectType="CheckBox" fmlaLink="春日部!$BW$26" lockText="1" noThreeD="1"/>
</file>

<file path=xl/ctrlProps/ctrlProp107.xml><?xml version="1.0" encoding="utf-8"?>
<formControlPr xmlns="http://schemas.microsoft.com/office/spreadsheetml/2009/9/main" objectType="CheckBox" fmlaLink="春日部!$BW$27" lockText="1" noThreeD="1"/>
</file>

<file path=xl/ctrlProps/ctrlProp108.xml><?xml version="1.0" encoding="utf-8"?>
<formControlPr xmlns="http://schemas.microsoft.com/office/spreadsheetml/2009/9/main" objectType="CheckBox" fmlaLink="春日部!$BW$28" lockText="1" noThreeD="1"/>
</file>

<file path=xl/ctrlProps/ctrlProp109.xml><?xml version="1.0" encoding="utf-8"?>
<formControlPr xmlns="http://schemas.microsoft.com/office/spreadsheetml/2009/9/main" objectType="CheckBox" fmlaLink="春日部!$BW$29" lockText="1" noThreeD="1"/>
</file>

<file path=xl/ctrlProps/ctrlProp110.xml><?xml version="1.0" encoding="utf-8"?>
<formControlPr xmlns="http://schemas.microsoft.com/office/spreadsheetml/2009/9/main" objectType="CheckBox" fmlaLink="春日部!$BW$30" lockText="1" noThreeD="1"/>
</file>

<file path=xl/ctrlProps/ctrlProp111.xml><?xml version="1.0" encoding="utf-8"?>
<formControlPr xmlns="http://schemas.microsoft.com/office/spreadsheetml/2009/9/main" objectType="CheckBox" fmlaLink="春日部!$BW$31" lockText="1" noThreeD="1"/>
</file>

<file path=xl/ctrlProps/ctrlProp112.xml><?xml version="1.0" encoding="utf-8"?>
<formControlPr xmlns="http://schemas.microsoft.com/office/spreadsheetml/2009/9/main" objectType="CheckBox" fmlaLink="春日部!$BW$32" lockText="1" noThreeD="1"/>
</file>

<file path=xl/ctrlProps/ctrlProp113.xml><?xml version="1.0" encoding="utf-8"?>
<formControlPr xmlns="http://schemas.microsoft.com/office/spreadsheetml/2009/9/main" objectType="CheckBox" fmlaLink="春日部!$BW$33" lockText="1" noThreeD="1"/>
</file>

<file path=xl/ctrlProps/ctrlProp114.xml><?xml version="1.0" encoding="utf-8"?>
<formControlPr xmlns="http://schemas.microsoft.com/office/spreadsheetml/2009/9/main" objectType="CheckBox" fmlaLink="春日部!$BW$36" lockText="1" noThreeD="1"/>
</file>

<file path=xl/ctrlProps/ctrlProp115.xml><?xml version="1.0" encoding="utf-8"?>
<formControlPr xmlns="http://schemas.microsoft.com/office/spreadsheetml/2009/9/main" objectType="CheckBox" fmlaLink="春日部!$BQ$37" lockText="1" noThreeD="1"/>
</file>

<file path=xl/ctrlProps/ctrlProp116.xml><?xml version="1.0" encoding="utf-8"?>
<formControlPr xmlns="http://schemas.microsoft.com/office/spreadsheetml/2009/9/main" objectType="CheckBox" fmlaLink="春日部!$BW$37" lockText="1" noThreeD="1"/>
</file>

<file path=xl/ctrlProps/ctrlProp117.xml><?xml version="1.0" encoding="utf-8"?>
<formControlPr xmlns="http://schemas.microsoft.com/office/spreadsheetml/2009/9/main" objectType="CheckBox" fmlaLink="春日部!$BQ$38" lockText="1" noThreeD="1"/>
</file>

<file path=xl/ctrlProps/ctrlProp118.xml><?xml version="1.0" encoding="utf-8"?>
<formControlPr xmlns="http://schemas.microsoft.com/office/spreadsheetml/2009/9/main" objectType="CheckBox" fmlaLink="春日部!$BW$38" lockText="1" noThreeD="1"/>
</file>

<file path=xl/ctrlProps/ctrlProp119.xml><?xml version="1.0" encoding="utf-8"?>
<formControlPr xmlns="http://schemas.microsoft.com/office/spreadsheetml/2009/9/main" objectType="CheckBox" fmlaLink="春日部!$BQ$39" lockText="1" noThreeD="1"/>
</file>

<file path=xl/ctrlProps/ctrlProp120.xml><?xml version="1.0" encoding="utf-8"?>
<formControlPr xmlns="http://schemas.microsoft.com/office/spreadsheetml/2009/9/main" objectType="CheckBox" fmlaLink="春日部!$BW$39" lockText="1" noThreeD="1"/>
</file>

<file path=xl/ctrlProps/ctrlProp121.xml><?xml version="1.0" encoding="utf-8"?>
<formControlPr xmlns="http://schemas.microsoft.com/office/spreadsheetml/2009/9/main" objectType="CheckBox" fmlaLink="春日部!$BQ$40" lockText="1" noThreeD="1"/>
</file>

<file path=xl/ctrlProps/ctrlProp122.xml><?xml version="1.0" encoding="utf-8"?>
<formControlPr xmlns="http://schemas.microsoft.com/office/spreadsheetml/2009/9/main" objectType="CheckBox" fmlaLink="春日部!$BW$40" lockText="1" noThreeD="1"/>
</file>

<file path=xl/ctrlProps/ctrlProp123.xml><?xml version="1.0" encoding="utf-8"?>
<formControlPr xmlns="http://schemas.microsoft.com/office/spreadsheetml/2009/9/main" objectType="CheckBox" fmlaLink="春日部!$BQ$41" lockText="1" noThreeD="1"/>
</file>

<file path=xl/ctrlProps/ctrlProp124.xml><?xml version="1.0" encoding="utf-8"?>
<formControlPr xmlns="http://schemas.microsoft.com/office/spreadsheetml/2009/9/main" objectType="CheckBox" fmlaLink="春日部!$BW$41" lockText="1" noThreeD="1"/>
</file>

<file path=xl/ctrlProps/ctrlProp125.xml><?xml version="1.0" encoding="utf-8"?>
<formControlPr xmlns="http://schemas.microsoft.com/office/spreadsheetml/2009/9/main" objectType="CheckBox" fmlaLink="春日部!$BQ$42" lockText="1" noThreeD="1"/>
</file>

<file path=xl/ctrlProps/ctrlProp126.xml><?xml version="1.0" encoding="utf-8"?>
<formControlPr xmlns="http://schemas.microsoft.com/office/spreadsheetml/2009/9/main" objectType="CheckBox" fmlaLink="春日部!$BW$42" lockText="1" noThreeD="1"/>
</file>

<file path=xl/ctrlProps/ctrlProp127.xml><?xml version="1.0" encoding="utf-8"?>
<formControlPr xmlns="http://schemas.microsoft.com/office/spreadsheetml/2009/9/main" objectType="CheckBox" fmlaLink="上西郷!$BW$3" lockText="1" noThreeD="1"/>
</file>

<file path=xl/ctrlProps/ctrlProp128.xml><?xml version="1.0" encoding="utf-8"?>
<formControlPr xmlns="http://schemas.microsoft.com/office/spreadsheetml/2009/9/main" objectType="CheckBox" fmlaLink="上西郷!$BW$4" lockText="1" noThreeD="1"/>
</file>

<file path=xl/ctrlProps/ctrlProp129.xml><?xml version="1.0" encoding="utf-8"?>
<formControlPr xmlns="http://schemas.microsoft.com/office/spreadsheetml/2009/9/main" objectType="CheckBox" fmlaLink="上西郷!$BW$5" lockText="1" noThreeD="1"/>
</file>

<file path=xl/ctrlProps/ctrlProp130.xml><?xml version="1.0" encoding="utf-8"?>
<formControlPr xmlns="http://schemas.microsoft.com/office/spreadsheetml/2009/9/main" objectType="CheckBox" fmlaLink="上西郷!$BW$6" lockText="1" noThreeD="1"/>
</file>

<file path=xl/ctrlProps/ctrlProp131.xml><?xml version="1.0" encoding="utf-8"?>
<formControlPr xmlns="http://schemas.microsoft.com/office/spreadsheetml/2009/9/main" objectType="CheckBox" fmlaLink="上西郷!$BW$7" lockText="1" noThreeD="1"/>
</file>

<file path=xl/ctrlProps/ctrlProp132.xml><?xml version="1.0" encoding="utf-8"?>
<formControlPr xmlns="http://schemas.microsoft.com/office/spreadsheetml/2009/9/main" objectType="CheckBox" fmlaLink="上西郷!$BW$8" lockText="1" noThreeD="1"/>
</file>

<file path=xl/ctrlProps/ctrlProp133.xml><?xml version="1.0" encoding="utf-8"?>
<formControlPr xmlns="http://schemas.microsoft.com/office/spreadsheetml/2009/9/main" objectType="CheckBox" fmlaLink="上西郷!$BW$9" lockText="1" noThreeD="1"/>
</file>

<file path=xl/ctrlProps/ctrlProp134.xml><?xml version="1.0" encoding="utf-8"?>
<formControlPr xmlns="http://schemas.microsoft.com/office/spreadsheetml/2009/9/main" objectType="CheckBox" fmlaLink="上西郷!$BW$10" lockText="1" noThreeD="1"/>
</file>

<file path=xl/ctrlProps/ctrlProp135.xml><?xml version="1.0" encoding="utf-8"?>
<formControlPr xmlns="http://schemas.microsoft.com/office/spreadsheetml/2009/9/main" objectType="CheckBox" fmlaLink="上西郷!$BW$11" lockText="1" noThreeD="1"/>
</file>

<file path=xl/ctrlProps/ctrlProp136.xml><?xml version="1.0" encoding="utf-8"?>
<formControlPr xmlns="http://schemas.microsoft.com/office/spreadsheetml/2009/9/main" objectType="CheckBox" fmlaLink="上西郷!$BW$12" lockText="1" noThreeD="1"/>
</file>

<file path=xl/ctrlProps/ctrlProp137.xml><?xml version="1.0" encoding="utf-8"?>
<formControlPr xmlns="http://schemas.microsoft.com/office/spreadsheetml/2009/9/main" objectType="CheckBox" fmlaLink="上西郷!$BW$13" lockText="1" noThreeD="1"/>
</file>

<file path=xl/ctrlProps/ctrlProp138.xml><?xml version="1.0" encoding="utf-8"?>
<formControlPr xmlns="http://schemas.microsoft.com/office/spreadsheetml/2009/9/main" objectType="CheckBox" fmlaLink="上西郷!$BW$14" lockText="1" noThreeD="1"/>
</file>

<file path=xl/ctrlProps/ctrlProp139.xml><?xml version="1.0" encoding="utf-8"?>
<formControlPr xmlns="http://schemas.microsoft.com/office/spreadsheetml/2009/9/main" objectType="CheckBox" fmlaLink="上西郷!$BW$15" lockText="1" noThreeD="1"/>
</file>

<file path=xl/ctrlProps/ctrlProp140.xml><?xml version="1.0" encoding="utf-8"?>
<formControlPr xmlns="http://schemas.microsoft.com/office/spreadsheetml/2009/9/main" objectType="CheckBox" fmlaLink="上西郷!$BW$16" lockText="1" noThreeD="1"/>
</file>

<file path=xl/ctrlProps/ctrlProp141.xml><?xml version="1.0" encoding="utf-8"?>
<formControlPr xmlns="http://schemas.microsoft.com/office/spreadsheetml/2009/9/main" objectType="CheckBox" fmlaLink="上西郷!$BW$19" lockText="1" noThreeD="1"/>
</file>

<file path=xl/ctrlProps/ctrlProp142.xml><?xml version="1.0" encoding="utf-8"?>
<formControlPr xmlns="http://schemas.microsoft.com/office/spreadsheetml/2009/9/main" objectType="CheckBox" fmlaLink="上西郷!$BW$20" lockText="1" noThreeD="1"/>
</file>

<file path=xl/ctrlProps/ctrlProp143.xml><?xml version="1.0" encoding="utf-8"?>
<formControlPr xmlns="http://schemas.microsoft.com/office/spreadsheetml/2009/9/main" objectType="CheckBox" fmlaLink="上西郷!$BW$21" lockText="1" noThreeD="1"/>
</file>

<file path=xl/ctrlProps/ctrlProp144.xml><?xml version="1.0" encoding="utf-8"?>
<formControlPr xmlns="http://schemas.microsoft.com/office/spreadsheetml/2009/9/main" objectType="CheckBox" fmlaLink="上西郷!$BW$22" lockText="1" noThreeD="1"/>
</file>

<file path=xl/ctrlProps/ctrlProp145.xml><?xml version="1.0" encoding="utf-8"?>
<formControlPr xmlns="http://schemas.microsoft.com/office/spreadsheetml/2009/9/main" objectType="CheckBox" fmlaLink="上西郷!$BW$23" lockText="1" noThreeD="1"/>
</file>

<file path=xl/ctrlProps/ctrlProp146.xml><?xml version="1.0" encoding="utf-8"?>
<formControlPr xmlns="http://schemas.microsoft.com/office/spreadsheetml/2009/9/main" objectType="CheckBox" fmlaLink="上西郷!$BW$24" lockText="1" noThreeD="1"/>
</file>

<file path=xl/ctrlProps/ctrlProp147.xml><?xml version="1.0" encoding="utf-8"?>
<formControlPr xmlns="http://schemas.microsoft.com/office/spreadsheetml/2009/9/main" objectType="CheckBox" fmlaLink="上西郷!$BW$25" lockText="1" noThreeD="1"/>
</file>

<file path=xl/ctrlProps/ctrlProp148.xml><?xml version="1.0" encoding="utf-8"?>
<formControlPr xmlns="http://schemas.microsoft.com/office/spreadsheetml/2009/9/main" objectType="CheckBox" fmlaLink="上西郷!$BW$26" lockText="1" noThreeD="1"/>
</file>

<file path=xl/ctrlProps/ctrlProp149.xml><?xml version="1.0" encoding="utf-8"?>
<formControlPr xmlns="http://schemas.microsoft.com/office/spreadsheetml/2009/9/main" objectType="CheckBox" fmlaLink="上西郷!$BW$27" lockText="1" noThreeD="1"/>
</file>

<file path=xl/ctrlProps/ctrlProp150.xml><?xml version="1.0" encoding="utf-8"?>
<formControlPr xmlns="http://schemas.microsoft.com/office/spreadsheetml/2009/9/main" objectType="CheckBox" fmlaLink="上西郷!$BW$28" lockText="1" noThreeD="1"/>
</file>

<file path=xl/ctrlProps/ctrlProp151.xml><?xml version="1.0" encoding="utf-8"?>
<formControlPr xmlns="http://schemas.microsoft.com/office/spreadsheetml/2009/9/main" objectType="CheckBox" fmlaLink="上西郷!$BW$29" lockText="1" noThreeD="1"/>
</file>

<file path=xl/ctrlProps/ctrlProp152.xml><?xml version="1.0" encoding="utf-8"?>
<formControlPr xmlns="http://schemas.microsoft.com/office/spreadsheetml/2009/9/main" objectType="CheckBox" fmlaLink="上西郷!$BW$30" lockText="1" noThreeD="1"/>
</file>

<file path=xl/ctrlProps/ctrlProp153.xml><?xml version="1.0" encoding="utf-8"?>
<formControlPr xmlns="http://schemas.microsoft.com/office/spreadsheetml/2009/9/main" objectType="CheckBox" fmlaLink="上西郷!$BW$31" lockText="1" noThreeD="1"/>
</file>

<file path=xl/ctrlProps/ctrlProp154.xml><?xml version="1.0" encoding="utf-8"?>
<formControlPr xmlns="http://schemas.microsoft.com/office/spreadsheetml/2009/9/main" objectType="CheckBox" fmlaLink="上西郷!$BW$32" lockText="1" noThreeD="1"/>
</file>

<file path=xl/ctrlProps/ctrlProp155.xml><?xml version="1.0" encoding="utf-8"?>
<formControlPr xmlns="http://schemas.microsoft.com/office/spreadsheetml/2009/9/main" objectType="CheckBox" fmlaLink="上西郷!$BW$33" lockText="1" noThreeD="1"/>
</file>

<file path=xl/ctrlProps/ctrlProp156.xml><?xml version="1.0" encoding="utf-8"?>
<formControlPr xmlns="http://schemas.microsoft.com/office/spreadsheetml/2009/9/main" objectType="CheckBox" fmlaLink="上西郷!$BW$36" lockText="1" noThreeD="1"/>
</file>

<file path=xl/ctrlProps/ctrlProp157.xml><?xml version="1.0" encoding="utf-8"?>
<formControlPr xmlns="http://schemas.microsoft.com/office/spreadsheetml/2009/9/main" objectType="CheckBox" fmlaLink="上西郷!$BQ$37" lockText="1" noThreeD="1"/>
</file>

<file path=xl/ctrlProps/ctrlProp158.xml><?xml version="1.0" encoding="utf-8"?>
<formControlPr xmlns="http://schemas.microsoft.com/office/spreadsheetml/2009/9/main" objectType="CheckBox" fmlaLink="上西郷!$BW$37" lockText="1" noThreeD="1"/>
</file>

<file path=xl/ctrlProps/ctrlProp159.xml><?xml version="1.0" encoding="utf-8"?>
<formControlPr xmlns="http://schemas.microsoft.com/office/spreadsheetml/2009/9/main" objectType="CheckBox" fmlaLink="上西郷!$BQ$38" lockText="1" noThreeD="1"/>
</file>

<file path=xl/ctrlProps/ctrlProp160.xml><?xml version="1.0" encoding="utf-8"?>
<formControlPr xmlns="http://schemas.microsoft.com/office/spreadsheetml/2009/9/main" objectType="CheckBox" fmlaLink="上西郷!$BW$38" lockText="1" noThreeD="1"/>
</file>

<file path=xl/ctrlProps/ctrlProp161.xml><?xml version="1.0" encoding="utf-8"?>
<formControlPr xmlns="http://schemas.microsoft.com/office/spreadsheetml/2009/9/main" objectType="CheckBox" fmlaLink="上西郷!$BQ$39" lockText="1" noThreeD="1"/>
</file>

<file path=xl/ctrlProps/ctrlProp162.xml><?xml version="1.0" encoding="utf-8"?>
<formControlPr xmlns="http://schemas.microsoft.com/office/spreadsheetml/2009/9/main" objectType="CheckBox" fmlaLink="上西郷!$BW$39" lockText="1" noThreeD="1"/>
</file>

<file path=xl/ctrlProps/ctrlProp163.xml><?xml version="1.0" encoding="utf-8"?>
<formControlPr xmlns="http://schemas.microsoft.com/office/spreadsheetml/2009/9/main" objectType="CheckBox" fmlaLink="上西郷!$BQ$40" lockText="1" noThreeD="1"/>
</file>

<file path=xl/ctrlProps/ctrlProp164.xml><?xml version="1.0" encoding="utf-8"?>
<formControlPr xmlns="http://schemas.microsoft.com/office/spreadsheetml/2009/9/main" objectType="CheckBox" fmlaLink="上西郷!$BW$40" lockText="1" noThreeD="1"/>
</file>

<file path=xl/ctrlProps/ctrlProp165.xml><?xml version="1.0" encoding="utf-8"?>
<formControlPr xmlns="http://schemas.microsoft.com/office/spreadsheetml/2009/9/main" objectType="CheckBox" fmlaLink="上西郷!$BQ$41" lockText="1" noThreeD="1"/>
</file>

<file path=xl/ctrlProps/ctrlProp166.xml><?xml version="1.0" encoding="utf-8"?>
<formControlPr xmlns="http://schemas.microsoft.com/office/spreadsheetml/2009/9/main" objectType="CheckBox" fmlaLink="上西郷!$BW$41" lockText="1" noThreeD="1"/>
</file>

<file path=xl/ctrlProps/ctrlProp167.xml><?xml version="1.0" encoding="utf-8"?>
<formControlPr xmlns="http://schemas.microsoft.com/office/spreadsheetml/2009/9/main" objectType="CheckBox" fmlaLink="上西郷!$BQ$42" lockText="1" noThreeD="1"/>
</file>

<file path=xl/ctrlProps/ctrlProp168.xml><?xml version="1.0" encoding="utf-8"?>
<formControlPr xmlns="http://schemas.microsoft.com/office/spreadsheetml/2009/9/main" objectType="CheckBox" fmlaLink="上西郷!$BW$42" lockText="1" noThreeD="1"/>
</file>

<file path=xl/ctrlProps/ctrlProp169.xml><?xml version="1.0" encoding="utf-8"?>
<formControlPr xmlns="http://schemas.microsoft.com/office/spreadsheetml/2009/9/main" objectType="CheckBox" fmlaLink="気賀!$BW$3" lockText="1" noThreeD="1"/>
</file>

<file path=xl/ctrlProps/ctrlProp170.xml><?xml version="1.0" encoding="utf-8"?>
<formControlPr xmlns="http://schemas.microsoft.com/office/spreadsheetml/2009/9/main" objectType="CheckBox" fmlaLink="気賀!$BW$4" lockText="1" noThreeD="1"/>
</file>

<file path=xl/ctrlProps/ctrlProp171.xml><?xml version="1.0" encoding="utf-8"?>
<formControlPr xmlns="http://schemas.microsoft.com/office/spreadsheetml/2009/9/main" objectType="CheckBox" fmlaLink="気賀!$BW$5" lockText="1" noThreeD="1"/>
</file>

<file path=xl/ctrlProps/ctrlProp172.xml><?xml version="1.0" encoding="utf-8"?>
<formControlPr xmlns="http://schemas.microsoft.com/office/spreadsheetml/2009/9/main" objectType="CheckBox" fmlaLink="気賀!$BW$6" lockText="1" noThreeD="1"/>
</file>

<file path=xl/ctrlProps/ctrlProp173.xml><?xml version="1.0" encoding="utf-8"?>
<formControlPr xmlns="http://schemas.microsoft.com/office/spreadsheetml/2009/9/main" objectType="CheckBox" fmlaLink="気賀!$BW$7" lockText="1" noThreeD="1"/>
</file>

<file path=xl/ctrlProps/ctrlProp174.xml><?xml version="1.0" encoding="utf-8"?>
<formControlPr xmlns="http://schemas.microsoft.com/office/spreadsheetml/2009/9/main" objectType="CheckBox" fmlaLink="気賀!$BW$8" lockText="1" noThreeD="1"/>
</file>

<file path=xl/ctrlProps/ctrlProp175.xml><?xml version="1.0" encoding="utf-8"?>
<formControlPr xmlns="http://schemas.microsoft.com/office/spreadsheetml/2009/9/main" objectType="CheckBox" fmlaLink="気賀!$BW$9" lockText="1" noThreeD="1"/>
</file>

<file path=xl/ctrlProps/ctrlProp176.xml><?xml version="1.0" encoding="utf-8"?>
<formControlPr xmlns="http://schemas.microsoft.com/office/spreadsheetml/2009/9/main" objectType="CheckBox" fmlaLink="気賀!$BW$10" lockText="1" noThreeD="1"/>
</file>

<file path=xl/ctrlProps/ctrlProp177.xml><?xml version="1.0" encoding="utf-8"?>
<formControlPr xmlns="http://schemas.microsoft.com/office/spreadsheetml/2009/9/main" objectType="CheckBox" fmlaLink="気賀!$BW$11" lockText="1" noThreeD="1"/>
</file>

<file path=xl/ctrlProps/ctrlProp178.xml><?xml version="1.0" encoding="utf-8"?>
<formControlPr xmlns="http://schemas.microsoft.com/office/spreadsheetml/2009/9/main" objectType="CheckBox" fmlaLink="気賀!$BW$12" lockText="1" noThreeD="1"/>
</file>

<file path=xl/ctrlProps/ctrlProp179.xml><?xml version="1.0" encoding="utf-8"?>
<formControlPr xmlns="http://schemas.microsoft.com/office/spreadsheetml/2009/9/main" objectType="CheckBox" fmlaLink="気賀!$BW$13" lockText="1" noThreeD="1"/>
</file>

<file path=xl/ctrlProps/ctrlProp180.xml><?xml version="1.0" encoding="utf-8"?>
<formControlPr xmlns="http://schemas.microsoft.com/office/spreadsheetml/2009/9/main" objectType="CheckBox" fmlaLink="気賀!$BW$14" lockText="1" noThreeD="1"/>
</file>

<file path=xl/ctrlProps/ctrlProp181.xml><?xml version="1.0" encoding="utf-8"?>
<formControlPr xmlns="http://schemas.microsoft.com/office/spreadsheetml/2009/9/main" objectType="CheckBox" fmlaLink="気賀!$BW$15" lockText="1" noThreeD="1"/>
</file>

<file path=xl/ctrlProps/ctrlProp182.xml><?xml version="1.0" encoding="utf-8"?>
<formControlPr xmlns="http://schemas.microsoft.com/office/spreadsheetml/2009/9/main" objectType="CheckBox" fmlaLink="気賀!$BW$16" lockText="1" noThreeD="1"/>
</file>

<file path=xl/ctrlProps/ctrlProp183.xml><?xml version="1.0" encoding="utf-8"?>
<formControlPr xmlns="http://schemas.microsoft.com/office/spreadsheetml/2009/9/main" objectType="CheckBox" fmlaLink="気賀!$BW$19" lockText="1" noThreeD="1"/>
</file>

<file path=xl/ctrlProps/ctrlProp184.xml><?xml version="1.0" encoding="utf-8"?>
<formControlPr xmlns="http://schemas.microsoft.com/office/spreadsheetml/2009/9/main" objectType="CheckBox" fmlaLink="気賀!$BW$20" lockText="1" noThreeD="1"/>
</file>

<file path=xl/ctrlProps/ctrlProp185.xml><?xml version="1.0" encoding="utf-8"?>
<formControlPr xmlns="http://schemas.microsoft.com/office/spreadsheetml/2009/9/main" objectType="CheckBox" fmlaLink="気賀!$BW$21" lockText="1" noThreeD="1"/>
</file>

<file path=xl/ctrlProps/ctrlProp186.xml><?xml version="1.0" encoding="utf-8"?>
<formControlPr xmlns="http://schemas.microsoft.com/office/spreadsheetml/2009/9/main" objectType="CheckBox" fmlaLink="気賀!$BW$22" lockText="1" noThreeD="1"/>
</file>

<file path=xl/ctrlProps/ctrlProp187.xml><?xml version="1.0" encoding="utf-8"?>
<formControlPr xmlns="http://schemas.microsoft.com/office/spreadsheetml/2009/9/main" objectType="CheckBox" fmlaLink="気賀!$BW$23" lockText="1" noThreeD="1"/>
</file>

<file path=xl/ctrlProps/ctrlProp188.xml><?xml version="1.0" encoding="utf-8"?>
<formControlPr xmlns="http://schemas.microsoft.com/office/spreadsheetml/2009/9/main" objectType="CheckBox" fmlaLink="気賀!$BW$24" lockText="1" noThreeD="1"/>
</file>

<file path=xl/ctrlProps/ctrlProp189.xml><?xml version="1.0" encoding="utf-8"?>
<formControlPr xmlns="http://schemas.microsoft.com/office/spreadsheetml/2009/9/main" objectType="CheckBox" fmlaLink="気賀!$BW$25" lockText="1" noThreeD="1"/>
</file>

<file path=xl/ctrlProps/ctrlProp190.xml><?xml version="1.0" encoding="utf-8"?>
<formControlPr xmlns="http://schemas.microsoft.com/office/spreadsheetml/2009/9/main" objectType="CheckBox" fmlaLink="気賀!$BW$26" lockText="1" noThreeD="1"/>
</file>

<file path=xl/ctrlProps/ctrlProp191.xml><?xml version="1.0" encoding="utf-8"?>
<formControlPr xmlns="http://schemas.microsoft.com/office/spreadsheetml/2009/9/main" objectType="CheckBox" fmlaLink="気賀!$BW$27" lockText="1" noThreeD="1"/>
</file>

<file path=xl/ctrlProps/ctrlProp192.xml><?xml version="1.0" encoding="utf-8"?>
<formControlPr xmlns="http://schemas.microsoft.com/office/spreadsheetml/2009/9/main" objectType="CheckBox" fmlaLink="気賀!$BW$28" lockText="1" noThreeD="1"/>
</file>

<file path=xl/ctrlProps/ctrlProp193.xml><?xml version="1.0" encoding="utf-8"?>
<formControlPr xmlns="http://schemas.microsoft.com/office/spreadsheetml/2009/9/main" objectType="CheckBox" fmlaLink="気賀!$BW$29" lockText="1" noThreeD="1"/>
</file>

<file path=xl/ctrlProps/ctrlProp194.xml><?xml version="1.0" encoding="utf-8"?>
<formControlPr xmlns="http://schemas.microsoft.com/office/spreadsheetml/2009/9/main" objectType="CheckBox" fmlaLink="気賀!$BW$30" lockText="1" noThreeD="1"/>
</file>

<file path=xl/ctrlProps/ctrlProp195.xml><?xml version="1.0" encoding="utf-8"?>
<formControlPr xmlns="http://schemas.microsoft.com/office/spreadsheetml/2009/9/main" objectType="CheckBox" fmlaLink="気賀!$BW$31" lockText="1" noThreeD="1"/>
</file>

<file path=xl/ctrlProps/ctrlProp196.xml><?xml version="1.0" encoding="utf-8"?>
<formControlPr xmlns="http://schemas.microsoft.com/office/spreadsheetml/2009/9/main" objectType="CheckBox" fmlaLink="気賀!$BW$32" lockText="1" noThreeD="1"/>
</file>

<file path=xl/ctrlProps/ctrlProp197.xml><?xml version="1.0" encoding="utf-8"?>
<formControlPr xmlns="http://schemas.microsoft.com/office/spreadsheetml/2009/9/main" objectType="CheckBox" fmlaLink="気賀!$BW$33" lockText="1" noThreeD="1"/>
</file>

<file path=xl/ctrlProps/ctrlProp198.xml><?xml version="1.0" encoding="utf-8"?>
<formControlPr xmlns="http://schemas.microsoft.com/office/spreadsheetml/2009/9/main" objectType="CheckBox" fmlaLink="気賀!$BW$36" lockText="1" noThreeD="1"/>
</file>

<file path=xl/ctrlProps/ctrlProp199.xml><?xml version="1.0" encoding="utf-8"?>
<formControlPr xmlns="http://schemas.microsoft.com/office/spreadsheetml/2009/9/main" objectType="CheckBox" fmlaLink="気賀!$BQ$37" lockText="1" noThreeD="1"/>
</file>

<file path=xl/ctrlProps/ctrlProp200.xml><?xml version="1.0" encoding="utf-8"?>
<formControlPr xmlns="http://schemas.microsoft.com/office/spreadsheetml/2009/9/main" objectType="CheckBox" fmlaLink="気賀!$BW$37" lockText="1" noThreeD="1"/>
</file>

<file path=xl/ctrlProps/ctrlProp201.xml><?xml version="1.0" encoding="utf-8"?>
<formControlPr xmlns="http://schemas.microsoft.com/office/spreadsheetml/2009/9/main" objectType="CheckBox" fmlaLink="気賀!$BQ$38" lockText="1" noThreeD="1"/>
</file>

<file path=xl/ctrlProps/ctrlProp202.xml><?xml version="1.0" encoding="utf-8"?>
<formControlPr xmlns="http://schemas.microsoft.com/office/spreadsheetml/2009/9/main" objectType="CheckBox" fmlaLink="気賀!$BW$38" lockText="1" noThreeD="1"/>
</file>

<file path=xl/ctrlProps/ctrlProp203.xml><?xml version="1.0" encoding="utf-8"?>
<formControlPr xmlns="http://schemas.microsoft.com/office/spreadsheetml/2009/9/main" objectType="CheckBox" fmlaLink="気賀!$BQ$39" lockText="1" noThreeD="1"/>
</file>

<file path=xl/ctrlProps/ctrlProp204.xml><?xml version="1.0" encoding="utf-8"?>
<formControlPr xmlns="http://schemas.microsoft.com/office/spreadsheetml/2009/9/main" objectType="CheckBox" fmlaLink="気賀!$BW$39" lockText="1" noThreeD="1"/>
</file>

<file path=xl/ctrlProps/ctrlProp205.xml><?xml version="1.0" encoding="utf-8"?>
<formControlPr xmlns="http://schemas.microsoft.com/office/spreadsheetml/2009/9/main" objectType="CheckBox" fmlaLink="気賀!$BQ$40" lockText="1" noThreeD="1"/>
</file>

<file path=xl/ctrlProps/ctrlProp206.xml><?xml version="1.0" encoding="utf-8"?>
<formControlPr xmlns="http://schemas.microsoft.com/office/spreadsheetml/2009/9/main" objectType="CheckBox" fmlaLink="気賀!$BW$40" lockText="1" noThreeD="1"/>
</file>

<file path=xl/ctrlProps/ctrlProp207.xml><?xml version="1.0" encoding="utf-8"?>
<formControlPr xmlns="http://schemas.microsoft.com/office/spreadsheetml/2009/9/main" objectType="CheckBox" fmlaLink="気賀!$BQ$41" lockText="1" noThreeD="1"/>
</file>

<file path=xl/ctrlProps/ctrlProp208.xml><?xml version="1.0" encoding="utf-8"?>
<formControlPr xmlns="http://schemas.microsoft.com/office/spreadsheetml/2009/9/main" objectType="CheckBox" fmlaLink="気賀!$BW$41" lockText="1" noThreeD="1"/>
</file>

<file path=xl/ctrlProps/ctrlProp209.xml><?xml version="1.0" encoding="utf-8"?>
<formControlPr xmlns="http://schemas.microsoft.com/office/spreadsheetml/2009/9/main" objectType="CheckBox" fmlaLink="気賀!$BQ$42" lockText="1" noThreeD="1"/>
</file>

<file path=xl/ctrlProps/ctrlProp210.xml><?xml version="1.0" encoding="utf-8"?>
<formControlPr xmlns="http://schemas.microsoft.com/office/spreadsheetml/2009/9/main" objectType="CheckBox" fmlaLink="気賀!$BW$42" lockText="1" noThreeD="1"/>
</file>

<file path=xl/ctrlProps/ctrlProp211.xml><?xml version="1.0" encoding="utf-8"?>
<formControlPr xmlns="http://schemas.microsoft.com/office/spreadsheetml/2009/9/main" objectType="CheckBox" fmlaLink="高丘!$BW$3" lockText="1" noThreeD="1"/>
</file>

<file path=xl/ctrlProps/ctrlProp212.xml><?xml version="1.0" encoding="utf-8"?>
<formControlPr xmlns="http://schemas.microsoft.com/office/spreadsheetml/2009/9/main" objectType="CheckBox" fmlaLink="高丘!$BW$4" lockText="1" noThreeD="1"/>
</file>

<file path=xl/ctrlProps/ctrlProp213.xml><?xml version="1.0" encoding="utf-8"?>
<formControlPr xmlns="http://schemas.microsoft.com/office/spreadsheetml/2009/9/main" objectType="CheckBox" fmlaLink="高丘!$BW$5" lockText="1" noThreeD="1"/>
</file>

<file path=xl/ctrlProps/ctrlProp214.xml><?xml version="1.0" encoding="utf-8"?>
<formControlPr xmlns="http://schemas.microsoft.com/office/spreadsheetml/2009/9/main" objectType="CheckBox" fmlaLink="高丘!$BW$6" lockText="1" noThreeD="1"/>
</file>

<file path=xl/ctrlProps/ctrlProp215.xml><?xml version="1.0" encoding="utf-8"?>
<formControlPr xmlns="http://schemas.microsoft.com/office/spreadsheetml/2009/9/main" objectType="CheckBox" fmlaLink="高丘!$BW$7" lockText="1" noThreeD="1"/>
</file>

<file path=xl/ctrlProps/ctrlProp216.xml><?xml version="1.0" encoding="utf-8"?>
<formControlPr xmlns="http://schemas.microsoft.com/office/spreadsheetml/2009/9/main" objectType="CheckBox" fmlaLink="高丘!$BW$8" lockText="1" noThreeD="1"/>
</file>

<file path=xl/ctrlProps/ctrlProp217.xml><?xml version="1.0" encoding="utf-8"?>
<formControlPr xmlns="http://schemas.microsoft.com/office/spreadsheetml/2009/9/main" objectType="CheckBox" fmlaLink="高丘!$BW$9" lockText="1" noThreeD="1"/>
</file>

<file path=xl/ctrlProps/ctrlProp218.xml><?xml version="1.0" encoding="utf-8"?>
<formControlPr xmlns="http://schemas.microsoft.com/office/spreadsheetml/2009/9/main" objectType="CheckBox" fmlaLink="高丘!$BW$10" lockText="1" noThreeD="1"/>
</file>

<file path=xl/ctrlProps/ctrlProp219.xml><?xml version="1.0" encoding="utf-8"?>
<formControlPr xmlns="http://schemas.microsoft.com/office/spreadsheetml/2009/9/main" objectType="CheckBox" fmlaLink="高丘!$BW$11" lockText="1" noThreeD="1"/>
</file>

<file path=xl/ctrlProps/ctrlProp220.xml><?xml version="1.0" encoding="utf-8"?>
<formControlPr xmlns="http://schemas.microsoft.com/office/spreadsheetml/2009/9/main" objectType="CheckBox" fmlaLink="高丘!$BW$12" lockText="1" noThreeD="1"/>
</file>

<file path=xl/ctrlProps/ctrlProp221.xml><?xml version="1.0" encoding="utf-8"?>
<formControlPr xmlns="http://schemas.microsoft.com/office/spreadsheetml/2009/9/main" objectType="CheckBox" fmlaLink="高丘!$BW$13" lockText="1" noThreeD="1"/>
</file>

<file path=xl/ctrlProps/ctrlProp222.xml><?xml version="1.0" encoding="utf-8"?>
<formControlPr xmlns="http://schemas.microsoft.com/office/spreadsheetml/2009/9/main" objectType="CheckBox" fmlaLink="高丘!$BW$14" lockText="1" noThreeD="1"/>
</file>

<file path=xl/ctrlProps/ctrlProp223.xml><?xml version="1.0" encoding="utf-8"?>
<formControlPr xmlns="http://schemas.microsoft.com/office/spreadsheetml/2009/9/main" objectType="CheckBox" fmlaLink="高丘!$BW$15" lockText="1" noThreeD="1"/>
</file>

<file path=xl/ctrlProps/ctrlProp224.xml><?xml version="1.0" encoding="utf-8"?>
<formControlPr xmlns="http://schemas.microsoft.com/office/spreadsheetml/2009/9/main" objectType="CheckBox" fmlaLink="高丘!$BW$16" lockText="1" noThreeD="1"/>
</file>

<file path=xl/ctrlProps/ctrlProp225.xml><?xml version="1.0" encoding="utf-8"?>
<formControlPr xmlns="http://schemas.microsoft.com/office/spreadsheetml/2009/9/main" objectType="CheckBox" fmlaLink="高丘!$BW$19" lockText="1" noThreeD="1"/>
</file>

<file path=xl/ctrlProps/ctrlProp226.xml><?xml version="1.0" encoding="utf-8"?>
<formControlPr xmlns="http://schemas.microsoft.com/office/spreadsheetml/2009/9/main" objectType="CheckBox" fmlaLink="高丘!$BW$20" lockText="1" noThreeD="1"/>
</file>

<file path=xl/ctrlProps/ctrlProp227.xml><?xml version="1.0" encoding="utf-8"?>
<formControlPr xmlns="http://schemas.microsoft.com/office/spreadsheetml/2009/9/main" objectType="CheckBox" fmlaLink="高丘!$BW$21" lockText="1" noThreeD="1"/>
</file>

<file path=xl/ctrlProps/ctrlProp228.xml><?xml version="1.0" encoding="utf-8"?>
<formControlPr xmlns="http://schemas.microsoft.com/office/spreadsheetml/2009/9/main" objectType="CheckBox" fmlaLink="高丘!$BW$22" lockText="1" noThreeD="1"/>
</file>

<file path=xl/ctrlProps/ctrlProp229.xml><?xml version="1.0" encoding="utf-8"?>
<formControlPr xmlns="http://schemas.microsoft.com/office/spreadsheetml/2009/9/main" objectType="CheckBox" fmlaLink="高丘!$BW$23" lockText="1" noThreeD="1"/>
</file>

<file path=xl/ctrlProps/ctrlProp230.xml><?xml version="1.0" encoding="utf-8"?>
<formControlPr xmlns="http://schemas.microsoft.com/office/spreadsheetml/2009/9/main" objectType="CheckBox" fmlaLink="高丘!$BW$24" lockText="1" noThreeD="1"/>
</file>

<file path=xl/ctrlProps/ctrlProp231.xml><?xml version="1.0" encoding="utf-8"?>
<formControlPr xmlns="http://schemas.microsoft.com/office/spreadsheetml/2009/9/main" objectType="CheckBox" fmlaLink="高丘!$BW$25" lockText="1" noThreeD="1"/>
</file>

<file path=xl/ctrlProps/ctrlProp232.xml><?xml version="1.0" encoding="utf-8"?>
<formControlPr xmlns="http://schemas.microsoft.com/office/spreadsheetml/2009/9/main" objectType="CheckBox" fmlaLink="高丘!$BW$26" lockText="1" noThreeD="1"/>
</file>

<file path=xl/ctrlProps/ctrlProp233.xml><?xml version="1.0" encoding="utf-8"?>
<formControlPr xmlns="http://schemas.microsoft.com/office/spreadsheetml/2009/9/main" objectType="CheckBox" fmlaLink="高丘!$BW$27" lockText="1" noThreeD="1"/>
</file>

<file path=xl/ctrlProps/ctrlProp234.xml><?xml version="1.0" encoding="utf-8"?>
<formControlPr xmlns="http://schemas.microsoft.com/office/spreadsheetml/2009/9/main" objectType="CheckBox" fmlaLink="高丘!$BW$28" lockText="1" noThreeD="1"/>
</file>

<file path=xl/ctrlProps/ctrlProp235.xml><?xml version="1.0" encoding="utf-8"?>
<formControlPr xmlns="http://schemas.microsoft.com/office/spreadsheetml/2009/9/main" objectType="CheckBox" fmlaLink="高丘!$BW$29" lockText="1" noThreeD="1"/>
</file>

<file path=xl/ctrlProps/ctrlProp236.xml><?xml version="1.0" encoding="utf-8"?>
<formControlPr xmlns="http://schemas.microsoft.com/office/spreadsheetml/2009/9/main" objectType="CheckBox" fmlaLink="高丘!$BW$30" lockText="1" noThreeD="1"/>
</file>

<file path=xl/ctrlProps/ctrlProp237.xml><?xml version="1.0" encoding="utf-8"?>
<formControlPr xmlns="http://schemas.microsoft.com/office/spreadsheetml/2009/9/main" objectType="CheckBox" fmlaLink="高丘!$BW$31" lockText="1" noThreeD="1"/>
</file>

<file path=xl/ctrlProps/ctrlProp238.xml><?xml version="1.0" encoding="utf-8"?>
<formControlPr xmlns="http://schemas.microsoft.com/office/spreadsheetml/2009/9/main" objectType="CheckBox" fmlaLink="高丘!$BW$32" lockText="1" noThreeD="1"/>
</file>

<file path=xl/ctrlProps/ctrlProp239.xml><?xml version="1.0" encoding="utf-8"?>
<formControlPr xmlns="http://schemas.microsoft.com/office/spreadsheetml/2009/9/main" objectType="CheckBox" fmlaLink="高丘!$BW$33" lockText="1" noThreeD="1"/>
</file>

<file path=xl/ctrlProps/ctrlProp240.xml><?xml version="1.0" encoding="utf-8"?>
<formControlPr xmlns="http://schemas.microsoft.com/office/spreadsheetml/2009/9/main" objectType="CheckBox" fmlaLink="高丘!$BW$36" lockText="1" noThreeD="1"/>
</file>

<file path=xl/ctrlProps/ctrlProp241.xml><?xml version="1.0" encoding="utf-8"?>
<formControlPr xmlns="http://schemas.microsoft.com/office/spreadsheetml/2009/9/main" objectType="CheckBox" fmlaLink="高丘!$BQ$37" lockText="1" noThreeD="1"/>
</file>

<file path=xl/ctrlProps/ctrlProp242.xml><?xml version="1.0" encoding="utf-8"?>
<formControlPr xmlns="http://schemas.microsoft.com/office/spreadsheetml/2009/9/main" objectType="CheckBox" fmlaLink="高丘!$BW$37" lockText="1" noThreeD="1"/>
</file>

<file path=xl/ctrlProps/ctrlProp243.xml><?xml version="1.0" encoding="utf-8"?>
<formControlPr xmlns="http://schemas.microsoft.com/office/spreadsheetml/2009/9/main" objectType="CheckBox" fmlaLink="高丘!$BQ$38" lockText="1" noThreeD="1"/>
</file>

<file path=xl/ctrlProps/ctrlProp244.xml><?xml version="1.0" encoding="utf-8"?>
<formControlPr xmlns="http://schemas.microsoft.com/office/spreadsheetml/2009/9/main" objectType="CheckBox" fmlaLink="高丘!$BW$38" lockText="1" noThreeD="1"/>
</file>

<file path=xl/ctrlProps/ctrlProp245.xml><?xml version="1.0" encoding="utf-8"?>
<formControlPr xmlns="http://schemas.microsoft.com/office/spreadsheetml/2009/9/main" objectType="CheckBox" fmlaLink="高丘!$BQ$39" lockText="1" noThreeD="1"/>
</file>

<file path=xl/ctrlProps/ctrlProp246.xml><?xml version="1.0" encoding="utf-8"?>
<formControlPr xmlns="http://schemas.microsoft.com/office/spreadsheetml/2009/9/main" objectType="CheckBox" fmlaLink="高丘!$BW$39" lockText="1" noThreeD="1"/>
</file>

<file path=xl/ctrlProps/ctrlProp247.xml><?xml version="1.0" encoding="utf-8"?>
<formControlPr xmlns="http://schemas.microsoft.com/office/spreadsheetml/2009/9/main" objectType="CheckBox" fmlaLink="高丘!$BQ$40" lockText="1" noThreeD="1"/>
</file>

<file path=xl/ctrlProps/ctrlProp248.xml><?xml version="1.0" encoding="utf-8"?>
<formControlPr xmlns="http://schemas.microsoft.com/office/spreadsheetml/2009/9/main" objectType="CheckBox" fmlaLink="高丘!$BW$40" lockText="1" noThreeD="1"/>
</file>

<file path=xl/ctrlProps/ctrlProp249.xml><?xml version="1.0" encoding="utf-8"?>
<formControlPr xmlns="http://schemas.microsoft.com/office/spreadsheetml/2009/9/main" objectType="CheckBox" fmlaLink="高丘!$BQ$41" lockText="1" noThreeD="1"/>
</file>

<file path=xl/ctrlProps/ctrlProp250.xml><?xml version="1.0" encoding="utf-8"?>
<formControlPr xmlns="http://schemas.microsoft.com/office/spreadsheetml/2009/9/main" objectType="CheckBox" fmlaLink="高丘!$BW$41" lockText="1" noThreeD="1"/>
</file>

<file path=xl/ctrlProps/ctrlProp251.xml><?xml version="1.0" encoding="utf-8"?>
<formControlPr xmlns="http://schemas.microsoft.com/office/spreadsheetml/2009/9/main" objectType="CheckBox" fmlaLink="高丘!$BQ$42" lockText="1" noThreeD="1"/>
</file>

<file path=xl/ctrlProps/ctrlProp252.xml><?xml version="1.0" encoding="utf-8"?>
<formControlPr xmlns="http://schemas.microsoft.com/office/spreadsheetml/2009/9/main" objectType="CheckBox" fmlaLink="高丘!$BW$42" lockText="1" noThreeD="1"/>
</file>

<file path=xl/ctrlProps/ctrlProp253.xml><?xml version="1.0" encoding="utf-8"?>
<formControlPr xmlns="http://schemas.microsoft.com/office/spreadsheetml/2009/9/main" objectType="CheckBox" fmlaLink="萩丘ⅰ!$BW$3" lockText="1" noThreeD="1"/>
</file>

<file path=xl/ctrlProps/ctrlProp254.xml><?xml version="1.0" encoding="utf-8"?>
<formControlPr xmlns="http://schemas.microsoft.com/office/spreadsheetml/2009/9/main" objectType="CheckBox" fmlaLink="萩丘ⅰ!$BW$4" lockText="1" noThreeD="1"/>
</file>

<file path=xl/ctrlProps/ctrlProp255.xml><?xml version="1.0" encoding="utf-8"?>
<formControlPr xmlns="http://schemas.microsoft.com/office/spreadsheetml/2009/9/main" objectType="CheckBox" fmlaLink="萩丘ⅰ!$BW$5" lockText="1" noThreeD="1"/>
</file>

<file path=xl/ctrlProps/ctrlProp256.xml><?xml version="1.0" encoding="utf-8"?>
<formControlPr xmlns="http://schemas.microsoft.com/office/spreadsheetml/2009/9/main" objectType="CheckBox" fmlaLink="萩丘ⅰ!$BW$6" lockText="1" noThreeD="1"/>
</file>

<file path=xl/ctrlProps/ctrlProp257.xml><?xml version="1.0" encoding="utf-8"?>
<formControlPr xmlns="http://schemas.microsoft.com/office/spreadsheetml/2009/9/main" objectType="CheckBox" fmlaLink="萩丘ⅰ!$BW$7" lockText="1" noThreeD="1"/>
</file>

<file path=xl/ctrlProps/ctrlProp258.xml><?xml version="1.0" encoding="utf-8"?>
<formControlPr xmlns="http://schemas.microsoft.com/office/spreadsheetml/2009/9/main" objectType="CheckBox" fmlaLink="萩丘ⅰ!$BW$8" lockText="1" noThreeD="1"/>
</file>

<file path=xl/ctrlProps/ctrlProp259.xml><?xml version="1.0" encoding="utf-8"?>
<formControlPr xmlns="http://schemas.microsoft.com/office/spreadsheetml/2009/9/main" objectType="CheckBox" fmlaLink="萩丘ⅰ!$BW$9" lockText="1" noThreeD="1"/>
</file>

<file path=xl/ctrlProps/ctrlProp260.xml><?xml version="1.0" encoding="utf-8"?>
<formControlPr xmlns="http://schemas.microsoft.com/office/spreadsheetml/2009/9/main" objectType="CheckBox" fmlaLink="萩丘ⅰ!$BW$10" lockText="1" noThreeD="1"/>
</file>

<file path=xl/ctrlProps/ctrlProp261.xml><?xml version="1.0" encoding="utf-8"?>
<formControlPr xmlns="http://schemas.microsoft.com/office/spreadsheetml/2009/9/main" objectType="CheckBox" fmlaLink="萩丘ⅰ!$BW$11" lockText="1" noThreeD="1"/>
</file>

<file path=xl/ctrlProps/ctrlProp262.xml><?xml version="1.0" encoding="utf-8"?>
<formControlPr xmlns="http://schemas.microsoft.com/office/spreadsheetml/2009/9/main" objectType="CheckBox" fmlaLink="萩丘ⅰ!$BW$12" lockText="1" noThreeD="1"/>
</file>

<file path=xl/ctrlProps/ctrlProp263.xml><?xml version="1.0" encoding="utf-8"?>
<formControlPr xmlns="http://schemas.microsoft.com/office/spreadsheetml/2009/9/main" objectType="CheckBox" fmlaLink="萩丘ⅰ!$BW$13" lockText="1" noThreeD="1"/>
</file>

<file path=xl/ctrlProps/ctrlProp264.xml><?xml version="1.0" encoding="utf-8"?>
<formControlPr xmlns="http://schemas.microsoft.com/office/spreadsheetml/2009/9/main" objectType="CheckBox" fmlaLink="萩丘ⅰ!$BW$14" lockText="1" noThreeD="1"/>
</file>

<file path=xl/ctrlProps/ctrlProp265.xml><?xml version="1.0" encoding="utf-8"?>
<formControlPr xmlns="http://schemas.microsoft.com/office/spreadsheetml/2009/9/main" objectType="CheckBox" fmlaLink="萩丘ⅰ!$BW$15" lockText="1" noThreeD="1"/>
</file>

<file path=xl/ctrlProps/ctrlProp266.xml><?xml version="1.0" encoding="utf-8"?>
<formControlPr xmlns="http://schemas.microsoft.com/office/spreadsheetml/2009/9/main" objectType="CheckBox" fmlaLink="萩丘ⅰ!$BW$16" lockText="1" noThreeD="1"/>
</file>

<file path=xl/ctrlProps/ctrlProp267.xml><?xml version="1.0" encoding="utf-8"?>
<formControlPr xmlns="http://schemas.microsoft.com/office/spreadsheetml/2009/9/main" objectType="CheckBox" fmlaLink="萩丘ⅰ!$BW$19" lockText="1" noThreeD="1"/>
</file>

<file path=xl/ctrlProps/ctrlProp268.xml><?xml version="1.0" encoding="utf-8"?>
<formControlPr xmlns="http://schemas.microsoft.com/office/spreadsheetml/2009/9/main" objectType="CheckBox" fmlaLink="萩丘ⅰ!$BW$20" lockText="1" noThreeD="1"/>
</file>

<file path=xl/ctrlProps/ctrlProp269.xml><?xml version="1.0" encoding="utf-8"?>
<formControlPr xmlns="http://schemas.microsoft.com/office/spreadsheetml/2009/9/main" objectType="CheckBox" fmlaLink="萩丘ⅰ!$BW$21" lockText="1" noThreeD="1"/>
</file>

<file path=xl/ctrlProps/ctrlProp270.xml><?xml version="1.0" encoding="utf-8"?>
<formControlPr xmlns="http://schemas.microsoft.com/office/spreadsheetml/2009/9/main" objectType="CheckBox" fmlaLink="萩丘ⅰ!$BW$22" lockText="1" noThreeD="1"/>
</file>

<file path=xl/ctrlProps/ctrlProp271.xml><?xml version="1.0" encoding="utf-8"?>
<formControlPr xmlns="http://schemas.microsoft.com/office/spreadsheetml/2009/9/main" objectType="CheckBox" fmlaLink="萩丘ⅰ!$BW$23" lockText="1" noThreeD="1"/>
</file>

<file path=xl/ctrlProps/ctrlProp272.xml><?xml version="1.0" encoding="utf-8"?>
<formControlPr xmlns="http://schemas.microsoft.com/office/spreadsheetml/2009/9/main" objectType="CheckBox" fmlaLink="萩丘ⅰ!$BW$24" lockText="1" noThreeD="1"/>
</file>

<file path=xl/ctrlProps/ctrlProp273.xml><?xml version="1.0" encoding="utf-8"?>
<formControlPr xmlns="http://schemas.microsoft.com/office/spreadsheetml/2009/9/main" objectType="CheckBox" fmlaLink="萩丘ⅰ!$BW$25" lockText="1" noThreeD="1"/>
</file>

<file path=xl/ctrlProps/ctrlProp274.xml><?xml version="1.0" encoding="utf-8"?>
<formControlPr xmlns="http://schemas.microsoft.com/office/spreadsheetml/2009/9/main" objectType="CheckBox" fmlaLink="萩丘ⅰ!$BW$26" lockText="1" noThreeD="1"/>
</file>

<file path=xl/ctrlProps/ctrlProp275.xml><?xml version="1.0" encoding="utf-8"?>
<formControlPr xmlns="http://schemas.microsoft.com/office/spreadsheetml/2009/9/main" objectType="CheckBox" fmlaLink="萩丘ⅰ!$BW$27" lockText="1" noThreeD="1"/>
</file>

<file path=xl/ctrlProps/ctrlProp276.xml><?xml version="1.0" encoding="utf-8"?>
<formControlPr xmlns="http://schemas.microsoft.com/office/spreadsheetml/2009/9/main" objectType="CheckBox" fmlaLink="萩丘ⅰ!$BW$28" lockText="1" noThreeD="1"/>
</file>

<file path=xl/ctrlProps/ctrlProp277.xml><?xml version="1.0" encoding="utf-8"?>
<formControlPr xmlns="http://schemas.microsoft.com/office/spreadsheetml/2009/9/main" objectType="CheckBox" fmlaLink="萩丘ⅰ!$BW$29" lockText="1" noThreeD="1"/>
</file>

<file path=xl/ctrlProps/ctrlProp278.xml><?xml version="1.0" encoding="utf-8"?>
<formControlPr xmlns="http://schemas.microsoft.com/office/spreadsheetml/2009/9/main" objectType="CheckBox" fmlaLink="萩丘ⅰ!$BW$30" lockText="1" noThreeD="1"/>
</file>

<file path=xl/ctrlProps/ctrlProp279.xml><?xml version="1.0" encoding="utf-8"?>
<formControlPr xmlns="http://schemas.microsoft.com/office/spreadsheetml/2009/9/main" objectType="CheckBox" fmlaLink="萩丘ⅰ!$BW$31" lockText="1" noThreeD="1"/>
</file>

<file path=xl/ctrlProps/ctrlProp280.xml><?xml version="1.0" encoding="utf-8"?>
<formControlPr xmlns="http://schemas.microsoft.com/office/spreadsheetml/2009/9/main" objectType="CheckBox" fmlaLink="萩丘ⅰ!$BW$32" lockText="1" noThreeD="1"/>
</file>

<file path=xl/ctrlProps/ctrlProp281.xml><?xml version="1.0" encoding="utf-8"?>
<formControlPr xmlns="http://schemas.microsoft.com/office/spreadsheetml/2009/9/main" objectType="CheckBox" fmlaLink="萩丘ⅰ!$BW$33" lockText="1" noThreeD="1"/>
</file>

<file path=xl/ctrlProps/ctrlProp282.xml><?xml version="1.0" encoding="utf-8"?>
<formControlPr xmlns="http://schemas.microsoft.com/office/spreadsheetml/2009/9/main" objectType="CheckBox" fmlaLink="萩丘ⅰ!$BW$36" lockText="1" noThreeD="1"/>
</file>

<file path=xl/ctrlProps/ctrlProp283.xml><?xml version="1.0" encoding="utf-8"?>
<formControlPr xmlns="http://schemas.microsoft.com/office/spreadsheetml/2009/9/main" objectType="CheckBox" fmlaLink="萩丘ⅰ!$BQ$37" lockText="1" noThreeD="1"/>
</file>

<file path=xl/ctrlProps/ctrlProp284.xml><?xml version="1.0" encoding="utf-8"?>
<formControlPr xmlns="http://schemas.microsoft.com/office/spreadsheetml/2009/9/main" objectType="CheckBox" fmlaLink="萩丘ⅰ!$BW$37" lockText="1" noThreeD="1"/>
</file>

<file path=xl/ctrlProps/ctrlProp285.xml><?xml version="1.0" encoding="utf-8"?>
<formControlPr xmlns="http://schemas.microsoft.com/office/spreadsheetml/2009/9/main" objectType="CheckBox" fmlaLink="萩丘ⅰ!$BQ$38" lockText="1" noThreeD="1"/>
</file>

<file path=xl/ctrlProps/ctrlProp286.xml><?xml version="1.0" encoding="utf-8"?>
<formControlPr xmlns="http://schemas.microsoft.com/office/spreadsheetml/2009/9/main" objectType="CheckBox" fmlaLink="萩丘ⅰ!$BW$38" lockText="1" noThreeD="1"/>
</file>

<file path=xl/ctrlProps/ctrlProp287.xml><?xml version="1.0" encoding="utf-8"?>
<formControlPr xmlns="http://schemas.microsoft.com/office/spreadsheetml/2009/9/main" objectType="CheckBox" fmlaLink="萩丘ⅰ!$BQ$39" lockText="1" noThreeD="1"/>
</file>

<file path=xl/ctrlProps/ctrlProp288.xml><?xml version="1.0" encoding="utf-8"?>
<formControlPr xmlns="http://schemas.microsoft.com/office/spreadsheetml/2009/9/main" objectType="CheckBox" fmlaLink="萩丘ⅰ!$BW$39" lockText="1" noThreeD="1"/>
</file>

<file path=xl/ctrlProps/ctrlProp289.xml><?xml version="1.0" encoding="utf-8"?>
<formControlPr xmlns="http://schemas.microsoft.com/office/spreadsheetml/2009/9/main" objectType="CheckBox" fmlaLink="萩丘ⅰ!$BQ$40" lockText="1" noThreeD="1"/>
</file>

<file path=xl/ctrlProps/ctrlProp290.xml><?xml version="1.0" encoding="utf-8"?>
<formControlPr xmlns="http://schemas.microsoft.com/office/spreadsheetml/2009/9/main" objectType="CheckBox" fmlaLink="萩丘ⅰ!$BW$40" lockText="1" noThreeD="1"/>
</file>

<file path=xl/ctrlProps/ctrlProp291.xml><?xml version="1.0" encoding="utf-8"?>
<formControlPr xmlns="http://schemas.microsoft.com/office/spreadsheetml/2009/9/main" objectType="CheckBox" fmlaLink="萩丘ⅰ!$BQ$41" lockText="1" noThreeD="1"/>
</file>

<file path=xl/ctrlProps/ctrlProp292.xml><?xml version="1.0" encoding="utf-8"?>
<formControlPr xmlns="http://schemas.microsoft.com/office/spreadsheetml/2009/9/main" objectType="CheckBox" fmlaLink="萩丘ⅰ!$BW$41" lockText="1" noThreeD="1"/>
</file>

<file path=xl/ctrlProps/ctrlProp293.xml><?xml version="1.0" encoding="utf-8"?>
<formControlPr xmlns="http://schemas.microsoft.com/office/spreadsheetml/2009/9/main" objectType="CheckBox" fmlaLink="萩丘ⅰ!$BQ$42" lockText="1" noThreeD="1"/>
</file>

<file path=xl/ctrlProps/ctrlProp294.xml><?xml version="1.0" encoding="utf-8"?>
<formControlPr xmlns="http://schemas.microsoft.com/office/spreadsheetml/2009/9/main" objectType="CheckBox" fmlaLink="萩丘ⅰ!$BW$42" lockText="1" noThreeD="1"/>
</file>

<file path=xl/ctrlProps/ctrlProp295.xml><?xml version="1.0" encoding="utf-8"?>
<formControlPr xmlns="http://schemas.microsoft.com/office/spreadsheetml/2009/9/main" objectType="CheckBox" fmlaLink="萩丘ⅱ!$BW$3" lockText="1" noThreeD="1"/>
</file>

<file path=xl/ctrlProps/ctrlProp296.xml><?xml version="1.0" encoding="utf-8"?>
<formControlPr xmlns="http://schemas.microsoft.com/office/spreadsheetml/2009/9/main" objectType="CheckBox" fmlaLink="萩丘ⅱ!$BW$4" lockText="1" noThreeD="1"/>
</file>

<file path=xl/ctrlProps/ctrlProp297.xml><?xml version="1.0" encoding="utf-8"?>
<formControlPr xmlns="http://schemas.microsoft.com/office/spreadsheetml/2009/9/main" objectType="CheckBox" fmlaLink="萩丘ⅱ!$BW$5" lockText="1" noThreeD="1"/>
</file>

<file path=xl/ctrlProps/ctrlProp298.xml><?xml version="1.0" encoding="utf-8"?>
<formControlPr xmlns="http://schemas.microsoft.com/office/spreadsheetml/2009/9/main" objectType="CheckBox" fmlaLink="萩丘ⅱ!$BW$6" lockText="1" noThreeD="1"/>
</file>

<file path=xl/ctrlProps/ctrlProp299.xml><?xml version="1.0" encoding="utf-8"?>
<formControlPr xmlns="http://schemas.microsoft.com/office/spreadsheetml/2009/9/main" objectType="CheckBox" fmlaLink="萩丘ⅱ!$BW$7" lockText="1" noThreeD="1"/>
</file>

<file path=xl/ctrlProps/ctrlProp300.xml><?xml version="1.0" encoding="utf-8"?>
<formControlPr xmlns="http://schemas.microsoft.com/office/spreadsheetml/2009/9/main" objectType="CheckBox" fmlaLink="萩丘ⅱ!$BW$8" lockText="1" noThreeD="1"/>
</file>

<file path=xl/ctrlProps/ctrlProp301.xml><?xml version="1.0" encoding="utf-8"?>
<formControlPr xmlns="http://schemas.microsoft.com/office/spreadsheetml/2009/9/main" objectType="CheckBox" fmlaLink="萩丘ⅱ!$BW$9" lockText="1" noThreeD="1"/>
</file>

<file path=xl/ctrlProps/ctrlProp302.xml><?xml version="1.0" encoding="utf-8"?>
<formControlPr xmlns="http://schemas.microsoft.com/office/spreadsheetml/2009/9/main" objectType="CheckBox" fmlaLink="萩丘ⅱ!$BW$10" lockText="1" noThreeD="1"/>
</file>

<file path=xl/ctrlProps/ctrlProp303.xml><?xml version="1.0" encoding="utf-8"?>
<formControlPr xmlns="http://schemas.microsoft.com/office/spreadsheetml/2009/9/main" objectType="CheckBox" fmlaLink="萩丘ⅱ!$BW$11" lockText="1" noThreeD="1"/>
</file>

<file path=xl/ctrlProps/ctrlProp304.xml><?xml version="1.0" encoding="utf-8"?>
<formControlPr xmlns="http://schemas.microsoft.com/office/spreadsheetml/2009/9/main" objectType="CheckBox" fmlaLink="萩丘ⅱ!$BW$12" lockText="1" noThreeD="1"/>
</file>

<file path=xl/ctrlProps/ctrlProp305.xml><?xml version="1.0" encoding="utf-8"?>
<formControlPr xmlns="http://schemas.microsoft.com/office/spreadsheetml/2009/9/main" objectType="CheckBox" fmlaLink="萩丘ⅱ!$BW$13" lockText="1" noThreeD="1"/>
</file>

<file path=xl/ctrlProps/ctrlProp306.xml><?xml version="1.0" encoding="utf-8"?>
<formControlPr xmlns="http://schemas.microsoft.com/office/spreadsheetml/2009/9/main" objectType="CheckBox" fmlaLink="萩丘ⅱ!$BW$14" lockText="1" noThreeD="1"/>
</file>

<file path=xl/ctrlProps/ctrlProp307.xml><?xml version="1.0" encoding="utf-8"?>
<formControlPr xmlns="http://schemas.microsoft.com/office/spreadsheetml/2009/9/main" objectType="CheckBox" fmlaLink="萩丘ⅱ!$BW$15" lockText="1" noThreeD="1"/>
</file>

<file path=xl/ctrlProps/ctrlProp308.xml><?xml version="1.0" encoding="utf-8"?>
<formControlPr xmlns="http://schemas.microsoft.com/office/spreadsheetml/2009/9/main" objectType="CheckBox" fmlaLink="萩丘ⅱ!$BW$16" lockText="1" noThreeD="1"/>
</file>

<file path=xl/ctrlProps/ctrlProp309.xml><?xml version="1.0" encoding="utf-8"?>
<formControlPr xmlns="http://schemas.microsoft.com/office/spreadsheetml/2009/9/main" objectType="CheckBox" fmlaLink="萩丘ⅱ!$BW$19" lockText="1" noThreeD="1"/>
</file>

<file path=xl/ctrlProps/ctrlProp310.xml><?xml version="1.0" encoding="utf-8"?>
<formControlPr xmlns="http://schemas.microsoft.com/office/spreadsheetml/2009/9/main" objectType="CheckBox" fmlaLink="萩丘ⅱ!$BW$20" lockText="1" noThreeD="1"/>
</file>

<file path=xl/ctrlProps/ctrlProp311.xml><?xml version="1.0" encoding="utf-8"?>
<formControlPr xmlns="http://schemas.microsoft.com/office/spreadsheetml/2009/9/main" objectType="CheckBox" fmlaLink="萩丘ⅱ!$BW$21" lockText="1" noThreeD="1"/>
</file>

<file path=xl/ctrlProps/ctrlProp312.xml><?xml version="1.0" encoding="utf-8"?>
<formControlPr xmlns="http://schemas.microsoft.com/office/spreadsheetml/2009/9/main" objectType="CheckBox" fmlaLink="萩丘ⅱ!$BW$22" lockText="1" noThreeD="1"/>
</file>

<file path=xl/ctrlProps/ctrlProp313.xml><?xml version="1.0" encoding="utf-8"?>
<formControlPr xmlns="http://schemas.microsoft.com/office/spreadsheetml/2009/9/main" objectType="CheckBox" fmlaLink="萩丘ⅱ!$BW$23" lockText="1" noThreeD="1"/>
</file>

<file path=xl/ctrlProps/ctrlProp314.xml><?xml version="1.0" encoding="utf-8"?>
<formControlPr xmlns="http://schemas.microsoft.com/office/spreadsheetml/2009/9/main" objectType="CheckBox" fmlaLink="萩丘ⅱ!$BW$24" lockText="1" noThreeD="1"/>
</file>

<file path=xl/ctrlProps/ctrlProp315.xml><?xml version="1.0" encoding="utf-8"?>
<formControlPr xmlns="http://schemas.microsoft.com/office/spreadsheetml/2009/9/main" objectType="CheckBox" fmlaLink="萩丘ⅱ!$BW$25" lockText="1" noThreeD="1"/>
</file>

<file path=xl/ctrlProps/ctrlProp316.xml><?xml version="1.0" encoding="utf-8"?>
<formControlPr xmlns="http://schemas.microsoft.com/office/spreadsheetml/2009/9/main" objectType="CheckBox" fmlaLink="萩丘ⅱ!$BW$26" lockText="1" noThreeD="1"/>
</file>

<file path=xl/ctrlProps/ctrlProp317.xml><?xml version="1.0" encoding="utf-8"?>
<formControlPr xmlns="http://schemas.microsoft.com/office/spreadsheetml/2009/9/main" objectType="CheckBox" fmlaLink="萩丘ⅱ!$BW$27" lockText="1" noThreeD="1"/>
</file>

<file path=xl/ctrlProps/ctrlProp318.xml><?xml version="1.0" encoding="utf-8"?>
<formControlPr xmlns="http://schemas.microsoft.com/office/spreadsheetml/2009/9/main" objectType="CheckBox" fmlaLink="萩丘ⅱ!$BW$28" lockText="1" noThreeD="1"/>
</file>

<file path=xl/ctrlProps/ctrlProp319.xml><?xml version="1.0" encoding="utf-8"?>
<formControlPr xmlns="http://schemas.microsoft.com/office/spreadsheetml/2009/9/main" objectType="CheckBox" fmlaLink="萩丘ⅱ!$BW$29" lockText="1" noThreeD="1"/>
</file>

<file path=xl/ctrlProps/ctrlProp320.xml><?xml version="1.0" encoding="utf-8"?>
<formControlPr xmlns="http://schemas.microsoft.com/office/spreadsheetml/2009/9/main" objectType="CheckBox" fmlaLink="萩丘ⅱ!$BW$30" lockText="1" noThreeD="1"/>
</file>

<file path=xl/ctrlProps/ctrlProp321.xml><?xml version="1.0" encoding="utf-8"?>
<formControlPr xmlns="http://schemas.microsoft.com/office/spreadsheetml/2009/9/main" objectType="CheckBox" fmlaLink="萩丘ⅱ!$BW$31" lockText="1" noThreeD="1"/>
</file>

<file path=xl/ctrlProps/ctrlProp322.xml><?xml version="1.0" encoding="utf-8"?>
<formControlPr xmlns="http://schemas.microsoft.com/office/spreadsheetml/2009/9/main" objectType="CheckBox" fmlaLink="萩丘ⅱ!$BW$32" lockText="1" noThreeD="1"/>
</file>

<file path=xl/ctrlProps/ctrlProp323.xml><?xml version="1.0" encoding="utf-8"?>
<formControlPr xmlns="http://schemas.microsoft.com/office/spreadsheetml/2009/9/main" objectType="CheckBox" fmlaLink="萩丘ⅱ!$BW$33" lockText="1" noThreeD="1"/>
</file>

<file path=xl/ctrlProps/ctrlProp324.xml><?xml version="1.0" encoding="utf-8"?>
<formControlPr xmlns="http://schemas.microsoft.com/office/spreadsheetml/2009/9/main" objectType="CheckBox" fmlaLink="萩丘ⅱ!$BW$36" lockText="1" noThreeD="1"/>
</file>

<file path=xl/ctrlProps/ctrlProp325.xml><?xml version="1.0" encoding="utf-8"?>
<formControlPr xmlns="http://schemas.microsoft.com/office/spreadsheetml/2009/9/main" objectType="CheckBox" fmlaLink="萩丘ⅱ!$BQ$37" lockText="1" noThreeD="1"/>
</file>

<file path=xl/ctrlProps/ctrlProp326.xml><?xml version="1.0" encoding="utf-8"?>
<formControlPr xmlns="http://schemas.microsoft.com/office/spreadsheetml/2009/9/main" objectType="CheckBox" fmlaLink="萩丘ⅱ!$BW$37" lockText="1" noThreeD="1"/>
</file>

<file path=xl/ctrlProps/ctrlProp327.xml><?xml version="1.0" encoding="utf-8"?>
<formControlPr xmlns="http://schemas.microsoft.com/office/spreadsheetml/2009/9/main" objectType="CheckBox" fmlaLink="萩丘ⅱ!$BQ$38" lockText="1" noThreeD="1"/>
</file>

<file path=xl/ctrlProps/ctrlProp328.xml><?xml version="1.0" encoding="utf-8"?>
<formControlPr xmlns="http://schemas.microsoft.com/office/spreadsheetml/2009/9/main" objectType="CheckBox" fmlaLink="萩丘ⅱ!$BW$38" lockText="1" noThreeD="1"/>
</file>

<file path=xl/ctrlProps/ctrlProp329.xml><?xml version="1.0" encoding="utf-8"?>
<formControlPr xmlns="http://schemas.microsoft.com/office/spreadsheetml/2009/9/main" objectType="CheckBox" fmlaLink="萩丘ⅱ!$BQ$39" lockText="1" noThreeD="1"/>
</file>

<file path=xl/ctrlProps/ctrlProp330.xml><?xml version="1.0" encoding="utf-8"?>
<formControlPr xmlns="http://schemas.microsoft.com/office/spreadsheetml/2009/9/main" objectType="CheckBox" fmlaLink="萩丘ⅱ!$BW$39" lockText="1" noThreeD="1"/>
</file>

<file path=xl/ctrlProps/ctrlProp331.xml><?xml version="1.0" encoding="utf-8"?>
<formControlPr xmlns="http://schemas.microsoft.com/office/spreadsheetml/2009/9/main" objectType="CheckBox" fmlaLink="萩丘ⅱ!$BQ$40" lockText="1" noThreeD="1"/>
</file>

<file path=xl/ctrlProps/ctrlProp332.xml><?xml version="1.0" encoding="utf-8"?>
<formControlPr xmlns="http://schemas.microsoft.com/office/spreadsheetml/2009/9/main" objectType="CheckBox" fmlaLink="萩丘ⅱ!$BW$40" lockText="1" noThreeD="1"/>
</file>

<file path=xl/ctrlProps/ctrlProp333.xml><?xml version="1.0" encoding="utf-8"?>
<formControlPr xmlns="http://schemas.microsoft.com/office/spreadsheetml/2009/9/main" objectType="CheckBox" fmlaLink="萩丘ⅱ!$BQ$41" lockText="1" noThreeD="1"/>
</file>

<file path=xl/ctrlProps/ctrlProp334.xml><?xml version="1.0" encoding="utf-8"?>
<formControlPr xmlns="http://schemas.microsoft.com/office/spreadsheetml/2009/9/main" objectType="CheckBox" fmlaLink="萩丘ⅱ!$BW$41" lockText="1" noThreeD="1"/>
</file>

<file path=xl/ctrlProps/ctrlProp335.xml><?xml version="1.0" encoding="utf-8"?>
<formControlPr xmlns="http://schemas.microsoft.com/office/spreadsheetml/2009/9/main" objectType="CheckBox" fmlaLink="萩丘ⅱ!$BQ$42" lockText="1" noThreeD="1"/>
</file>

<file path=xl/ctrlProps/ctrlProp336.xml><?xml version="1.0" encoding="utf-8"?>
<formControlPr xmlns="http://schemas.microsoft.com/office/spreadsheetml/2009/9/main" objectType="CheckBox" fmlaLink="萩丘ⅱ!$BW$42" lockText="1" noThreeD="1"/>
</file>

<file path=xl/ctrlProps/ctrlProp337.xml><?xml version="1.0" encoding="utf-8"?>
<formControlPr xmlns="http://schemas.microsoft.com/office/spreadsheetml/2009/9/main" objectType="CheckBox" fmlaLink="西浅田!$BW$3" lockText="1" noThreeD="1"/>
</file>

<file path=xl/ctrlProps/ctrlProp338.xml><?xml version="1.0" encoding="utf-8"?>
<formControlPr xmlns="http://schemas.microsoft.com/office/spreadsheetml/2009/9/main" objectType="CheckBox" fmlaLink="西浅田!$BW$4" lockText="1" noThreeD="1"/>
</file>

<file path=xl/ctrlProps/ctrlProp339.xml><?xml version="1.0" encoding="utf-8"?>
<formControlPr xmlns="http://schemas.microsoft.com/office/spreadsheetml/2009/9/main" objectType="CheckBox" fmlaLink="西浅田!$BW$5" lockText="1" noThreeD="1"/>
</file>

<file path=xl/ctrlProps/ctrlProp340.xml><?xml version="1.0" encoding="utf-8"?>
<formControlPr xmlns="http://schemas.microsoft.com/office/spreadsheetml/2009/9/main" objectType="CheckBox" fmlaLink="西浅田!$BW$6" lockText="1" noThreeD="1"/>
</file>

<file path=xl/ctrlProps/ctrlProp341.xml><?xml version="1.0" encoding="utf-8"?>
<formControlPr xmlns="http://schemas.microsoft.com/office/spreadsheetml/2009/9/main" objectType="CheckBox" fmlaLink="西浅田!$BW$7" lockText="1" noThreeD="1"/>
</file>

<file path=xl/ctrlProps/ctrlProp342.xml><?xml version="1.0" encoding="utf-8"?>
<formControlPr xmlns="http://schemas.microsoft.com/office/spreadsheetml/2009/9/main" objectType="CheckBox" fmlaLink="西浅田!$BW$8" lockText="1" noThreeD="1"/>
</file>

<file path=xl/ctrlProps/ctrlProp343.xml><?xml version="1.0" encoding="utf-8"?>
<formControlPr xmlns="http://schemas.microsoft.com/office/spreadsheetml/2009/9/main" objectType="CheckBox" fmlaLink="西浅田!$BW$9" lockText="1" noThreeD="1"/>
</file>

<file path=xl/ctrlProps/ctrlProp344.xml><?xml version="1.0" encoding="utf-8"?>
<formControlPr xmlns="http://schemas.microsoft.com/office/spreadsheetml/2009/9/main" objectType="CheckBox" fmlaLink="西浅田!$BW$10" lockText="1" noThreeD="1"/>
</file>

<file path=xl/ctrlProps/ctrlProp345.xml><?xml version="1.0" encoding="utf-8"?>
<formControlPr xmlns="http://schemas.microsoft.com/office/spreadsheetml/2009/9/main" objectType="CheckBox" fmlaLink="西浅田!$BW$11" lockText="1" noThreeD="1"/>
</file>

<file path=xl/ctrlProps/ctrlProp346.xml><?xml version="1.0" encoding="utf-8"?>
<formControlPr xmlns="http://schemas.microsoft.com/office/spreadsheetml/2009/9/main" objectType="CheckBox" fmlaLink="西浅田!$BW$12" lockText="1" noThreeD="1"/>
</file>

<file path=xl/ctrlProps/ctrlProp347.xml><?xml version="1.0" encoding="utf-8"?>
<formControlPr xmlns="http://schemas.microsoft.com/office/spreadsheetml/2009/9/main" objectType="CheckBox" fmlaLink="西浅田!$BW$13" lockText="1" noThreeD="1"/>
</file>

<file path=xl/ctrlProps/ctrlProp348.xml><?xml version="1.0" encoding="utf-8"?>
<formControlPr xmlns="http://schemas.microsoft.com/office/spreadsheetml/2009/9/main" objectType="CheckBox" fmlaLink="西浅田!$BW$14" lockText="1" noThreeD="1"/>
</file>

<file path=xl/ctrlProps/ctrlProp349.xml><?xml version="1.0" encoding="utf-8"?>
<formControlPr xmlns="http://schemas.microsoft.com/office/spreadsheetml/2009/9/main" objectType="CheckBox" fmlaLink="西浅田!$BW$15" lockText="1" noThreeD="1"/>
</file>

<file path=xl/ctrlProps/ctrlProp350.xml><?xml version="1.0" encoding="utf-8"?>
<formControlPr xmlns="http://schemas.microsoft.com/office/spreadsheetml/2009/9/main" objectType="CheckBox" fmlaLink="西浅田!$BW$16" lockText="1" noThreeD="1"/>
</file>

<file path=xl/ctrlProps/ctrlProp351.xml><?xml version="1.0" encoding="utf-8"?>
<formControlPr xmlns="http://schemas.microsoft.com/office/spreadsheetml/2009/9/main" objectType="CheckBox" fmlaLink="西浅田!$BW$19" lockText="1" noThreeD="1"/>
</file>

<file path=xl/ctrlProps/ctrlProp352.xml><?xml version="1.0" encoding="utf-8"?>
<formControlPr xmlns="http://schemas.microsoft.com/office/spreadsheetml/2009/9/main" objectType="CheckBox" fmlaLink="西浅田!$BW$20" lockText="1" noThreeD="1"/>
</file>

<file path=xl/ctrlProps/ctrlProp353.xml><?xml version="1.0" encoding="utf-8"?>
<formControlPr xmlns="http://schemas.microsoft.com/office/spreadsheetml/2009/9/main" objectType="CheckBox" fmlaLink="西浅田!$BW$21" lockText="1" noThreeD="1"/>
</file>

<file path=xl/ctrlProps/ctrlProp354.xml><?xml version="1.0" encoding="utf-8"?>
<formControlPr xmlns="http://schemas.microsoft.com/office/spreadsheetml/2009/9/main" objectType="CheckBox" fmlaLink="西浅田!$BW$22" lockText="1" noThreeD="1"/>
</file>

<file path=xl/ctrlProps/ctrlProp355.xml><?xml version="1.0" encoding="utf-8"?>
<formControlPr xmlns="http://schemas.microsoft.com/office/spreadsheetml/2009/9/main" objectType="CheckBox" fmlaLink="西浅田!$BW$23" lockText="1" noThreeD="1"/>
</file>

<file path=xl/ctrlProps/ctrlProp356.xml><?xml version="1.0" encoding="utf-8"?>
<formControlPr xmlns="http://schemas.microsoft.com/office/spreadsheetml/2009/9/main" objectType="CheckBox" fmlaLink="西浅田!$BW$24" lockText="1" noThreeD="1"/>
</file>

<file path=xl/ctrlProps/ctrlProp357.xml><?xml version="1.0" encoding="utf-8"?>
<formControlPr xmlns="http://schemas.microsoft.com/office/spreadsheetml/2009/9/main" objectType="CheckBox" fmlaLink="西浅田!$BW$25" lockText="1" noThreeD="1"/>
</file>

<file path=xl/ctrlProps/ctrlProp358.xml><?xml version="1.0" encoding="utf-8"?>
<formControlPr xmlns="http://schemas.microsoft.com/office/spreadsheetml/2009/9/main" objectType="CheckBox" fmlaLink="西浅田!$BW$26" lockText="1" noThreeD="1"/>
</file>

<file path=xl/ctrlProps/ctrlProp359.xml><?xml version="1.0" encoding="utf-8"?>
<formControlPr xmlns="http://schemas.microsoft.com/office/spreadsheetml/2009/9/main" objectType="CheckBox" fmlaLink="西浅田!$BW$27" lockText="1" noThreeD="1"/>
</file>

<file path=xl/ctrlProps/ctrlProp360.xml><?xml version="1.0" encoding="utf-8"?>
<formControlPr xmlns="http://schemas.microsoft.com/office/spreadsheetml/2009/9/main" objectType="CheckBox" fmlaLink="西浅田!$BW$28" lockText="1" noThreeD="1"/>
</file>

<file path=xl/ctrlProps/ctrlProp361.xml><?xml version="1.0" encoding="utf-8"?>
<formControlPr xmlns="http://schemas.microsoft.com/office/spreadsheetml/2009/9/main" objectType="CheckBox" fmlaLink="西浅田!$BW$29" lockText="1" noThreeD="1"/>
</file>

<file path=xl/ctrlProps/ctrlProp362.xml><?xml version="1.0" encoding="utf-8"?>
<formControlPr xmlns="http://schemas.microsoft.com/office/spreadsheetml/2009/9/main" objectType="CheckBox" fmlaLink="西浅田!$BW$30" lockText="1" noThreeD="1"/>
</file>

<file path=xl/ctrlProps/ctrlProp363.xml><?xml version="1.0" encoding="utf-8"?>
<formControlPr xmlns="http://schemas.microsoft.com/office/spreadsheetml/2009/9/main" objectType="CheckBox" fmlaLink="西浅田!$BW$31" lockText="1" noThreeD="1"/>
</file>

<file path=xl/ctrlProps/ctrlProp364.xml><?xml version="1.0" encoding="utf-8"?>
<formControlPr xmlns="http://schemas.microsoft.com/office/spreadsheetml/2009/9/main" objectType="CheckBox" fmlaLink="西浅田!$BW$32" lockText="1" noThreeD="1"/>
</file>

<file path=xl/ctrlProps/ctrlProp365.xml><?xml version="1.0" encoding="utf-8"?>
<formControlPr xmlns="http://schemas.microsoft.com/office/spreadsheetml/2009/9/main" objectType="CheckBox" fmlaLink="西浅田!$BW$33" lockText="1" noThreeD="1"/>
</file>

<file path=xl/ctrlProps/ctrlProp366.xml><?xml version="1.0" encoding="utf-8"?>
<formControlPr xmlns="http://schemas.microsoft.com/office/spreadsheetml/2009/9/main" objectType="CheckBox" fmlaLink="西浅田!$BW$36" lockText="1" noThreeD="1"/>
</file>

<file path=xl/ctrlProps/ctrlProp367.xml><?xml version="1.0" encoding="utf-8"?>
<formControlPr xmlns="http://schemas.microsoft.com/office/spreadsheetml/2009/9/main" objectType="CheckBox" fmlaLink="西浅田!$BQ$37" lockText="1" noThreeD="1"/>
</file>

<file path=xl/ctrlProps/ctrlProp368.xml><?xml version="1.0" encoding="utf-8"?>
<formControlPr xmlns="http://schemas.microsoft.com/office/spreadsheetml/2009/9/main" objectType="CheckBox" fmlaLink="西浅田!$BW$37" lockText="1" noThreeD="1"/>
</file>

<file path=xl/ctrlProps/ctrlProp369.xml><?xml version="1.0" encoding="utf-8"?>
<formControlPr xmlns="http://schemas.microsoft.com/office/spreadsheetml/2009/9/main" objectType="CheckBox" fmlaLink="西浅田!$BQ$38" lockText="1" noThreeD="1"/>
</file>

<file path=xl/ctrlProps/ctrlProp370.xml><?xml version="1.0" encoding="utf-8"?>
<formControlPr xmlns="http://schemas.microsoft.com/office/spreadsheetml/2009/9/main" objectType="CheckBox" fmlaLink="西浅田!$BW$38" lockText="1" noThreeD="1"/>
</file>

<file path=xl/ctrlProps/ctrlProp371.xml><?xml version="1.0" encoding="utf-8"?>
<formControlPr xmlns="http://schemas.microsoft.com/office/spreadsheetml/2009/9/main" objectType="CheckBox" fmlaLink="西浅田!$BQ$39" lockText="1" noThreeD="1"/>
</file>

<file path=xl/ctrlProps/ctrlProp372.xml><?xml version="1.0" encoding="utf-8"?>
<formControlPr xmlns="http://schemas.microsoft.com/office/spreadsheetml/2009/9/main" objectType="CheckBox" fmlaLink="西浅田!$BW$39" lockText="1" noThreeD="1"/>
</file>

<file path=xl/ctrlProps/ctrlProp373.xml><?xml version="1.0" encoding="utf-8"?>
<formControlPr xmlns="http://schemas.microsoft.com/office/spreadsheetml/2009/9/main" objectType="CheckBox" fmlaLink="西浅田!$BQ$40" lockText="1" noThreeD="1"/>
</file>

<file path=xl/ctrlProps/ctrlProp374.xml><?xml version="1.0" encoding="utf-8"?>
<formControlPr xmlns="http://schemas.microsoft.com/office/spreadsheetml/2009/9/main" objectType="CheckBox" fmlaLink="西浅田!$BW$40" lockText="1" noThreeD="1"/>
</file>

<file path=xl/ctrlProps/ctrlProp375.xml><?xml version="1.0" encoding="utf-8"?>
<formControlPr xmlns="http://schemas.microsoft.com/office/spreadsheetml/2009/9/main" objectType="CheckBox" fmlaLink="西浅田!$BQ$41" lockText="1" noThreeD="1"/>
</file>

<file path=xl/ctrlProps/ctrlProp376.xml><?xml version="1.0" encoding="utf-8"?>
<formControlPr xmlns="http://schemas.microsoft.com/office/spreadsheetml/2009/9/main" objectType="CheckBox" fmlaLink="西浅田!$BW$41" lockText="1" noThreeD="1"/>
</file>

<file path=xl/ctrlProps/ctrlProp377.xml><?xml version="1.0" encoding="utf-8"?>
<formControlPr xmlns="http://schemas.microsoft.com/office/spreadsheetml/2009/9/main" objectType="CheckBox" fmlaLink="西浅田!$BQ$42" lockText="1" noThreeD="1"/>
</file>

<file path=xl/ctrlProps/ctrlProp378.xml><?xml version="1.0" encoding="utf-8"?>
<formControlPr xmlns="http://schemas.microsoft.com/office/spreadsheetml/2009/9/main" objectType="CheckBox" fmlaLink="西浅田!$BW$42"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77</xdr:col>
          <xdr:colOff>19050</xdr:colOff>
          <xdr:row>2</xdr:row>
          <xdr:rowOff>12700</xdr:rowOff>
        </xdr:from>
        <xdr:to>
          <xdr:col>78</xdr:col>
          <xdr:colOff>50800</xdr:colOff>
          <xdr:row>2</xdr:row>
          <xdr:rowOff>273050</xdr:rowOff>
        </xdr:to>
        <xdr:sp macro="" textlink="">
          <xdr:nvSpPr>
            <xdr:cNvPr id="6157" name="TaskCheck_BZ3" hidden="1">
              <a:extLst>
                <a:ext uri="{63B3BB69-23CF-44E3-9099-C40C66FF867C}">
                  <a14:compatExt spid="_x0000_s6157"/>
                </a:ext>
                <a:ext uri="{FF2B5EF4-FFF2-40B4-BE49-F238E27FC236}">
                  <a16:creationId xmlns:a16="http://schemas.microsoft.com/office/drawing/2014/main" id="{00000000-0008-0000-0200-00000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3</xdr:row>
          <xdr:rowOff>12700</xdr:rowOff>
        </xdr:from>
        <xdr:to>
          <xdr:col>78</xdr:col>
          <xdr:colOff>50800</xdr:colOff>
          <xdr:row>3</xdr:row>
          <xdr:rowOff>273050</xdr:rowOff>
        </xdr:to>
        <xdr:sp macro="" textlink="">
          <xdr:nvSpPr>
            <xdr:cNvPr id="6158" name="TaskCheck_BZ4" hidden="1">
              <a:extLst>
                <a:ext uri="{63B3BB69-23CF-44E3-9099-C40C66FF867C}">
                  <a14:compatExt spid="_x0000_s6158"/>
                </a:ext>
                <a:ext uri="{FF2B5EF4-FFF2-40B4-BE49-F238E27FC236}">
                  <a16:creationId xmlns:a16="http://schemas.microsoft.com/office/drawing/2014/main" id="{00000000-0008-0000-0200-00000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4</xdr:row>
          <xdr:rowOff>12700</xdr:rowOff>
        </xdr:from>
        <xdr:to>
          <xdr:col>78</xdr:col>
          <xdr:colOff>50800</xdr:colOff>
          <xdr:row>4</xdr:row>
          <xdr:rowOff>273050</xdr:rowOff>
        </xdr:to>
        <xdr:sp macro="" textlink="">
          <xdr:nvSpPr>
            <xdr:cNvPr id="6159" name="TaskCheck_BZ5" hidden="1">
              <a:extLst>
                <a:ext uri="{63B3BB69-23CF-44E3-9099-C40C66FF867C}">
                  <a14:compatExt spid="_x0000_s6159"/>
                </a:ext>
                <a:ext uri="{FF2B5EF4-FFF2-40B4-BE49-F238E27FC236}">
                  <a16:creationId xmlns:a16="http://schemas.microsoft.com/office/drawing/2014/main" id="{00000000-0008-0000-0200-00000F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5</xdr:row>
          <xdr:rowOff>12700</xdr:rowOff>
        </xdr:from>
        <xdr:to>
          <xdr:col>78</xdr:col>
          <xdr:colOff>50800</xdr:colOff>
          <xdr:row>5</xdr:row>
          <xdr:rowOff>273050</xdr:rowOff>
        </xdr:to>
        <xdr:sp macro="" textlink="">
          <xdr:nvSpPr>
            <xdr:cNvPr id="6160" name="TaskCheck_BZ6" hidden="1">
              <a:extLst>
                <a:ext uri="{63B3BB69-23CF-44E3-9099-C40C66FF867C}">
                  <a14:compatExt spid="_x0000_s6160"/>
                </a:ext>
                <a:ext uri="{FF2B5EF4-FFF2-40B4-BE49-F238E27FC236}">
                  <a16:creationId xmlns:a16="http://schemas.microsoft.com/office/drawing/2014/main" id="{00000000-0008-0000-0200-00001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6</xdr:row>
          <xdr:rowOff>12700</xdr:rowOff>
        </xdr:from>
        <xdr:to>
          <xdr:col>78</xdr:col>
          <xdr:colOff>50800</xdr:colOff>
          <xdr:row>6</xdr:row>
          <xdr:rowOff>273050</xdr:rowOff>
        </xdr:to>
        <xdr:sp macro="" textlink="">
          <xdr:nvSpPr>
            <xdr:cNvPr id="6161" name="TaskCheck_BZ7" hidden="1">
              <a:extLst>
                <a:ext uri="{63B3BB69-23CF-44E3-9099-C40C66FF867C}">
                  <a14:compatExt spid="_x0000_s6161"/>
                </a:ext>
                <a:ext uri="{FF2B5EF4-FFF2-40B4-BE49-F238E27FC236}">
                  <a16:creationId xmlns:a16="http://schemas.microsoft.com/office/drawing/2014/main" id="{00000000-0008-0000-0200-000011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7</xdr:row>
          <xdr:rowOff>12700</xdr:rowOff>
        </xdr:from>
        <xdr:to>
          <xdr:col>78</xdr:col>
          <xdr:colOff>50800</xdr:colOff>
          <xdr:row>7</xdr:row>
          <xdr:rowOff>273050</xdr:rowOff>
        </xdr:to>
        <xdr:sp macro="" textlink="">
          <xdr:nvSpPr>
            <xdr:cNvPr id="6162" name="TaskCheck_BZ8" hidden="1">
              <a:extLst>
                <a:ext uri="{63B3BB69-23CF-44E3-9099-C40C66FF867C}">
                  <a14:compatExt spid="_x0000_s6162"/>
                </a:ext>
                <a:ext uri="{FF2B5EF4-FFF2-40B4-BE49-F238E27FC236}">
                  <a16:creationId xmlns:a16="http://schemas.microsoft.com/office/drawing/2014/main" id="{00000000-0008-0000-0200-00001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8</xdr:row>
          <xdr:rowOff>12700</xdr:rowOff>
        </xdr:from>
        <xdr:to>
          <xdr:col>78</xdr:col>
          <xdr:colOff>50800</xdr:colOff>
          <xdr:row>8</xdr:row>
          <xdr:rowOff>273050</xdr:rowOff>
        </xdr:to>
        <xdr:sp macro="" textlink="">
          <xdr:nvSpPr>
            <xdr:cNvPr id="6163" name="TaskCheck_BZ9" hidden="1">
              <a:extLst>
                <a:ext uri="{63B3BB69-23CF-44E3-9099-C40C66FF867C}">
                  <a14:compatExt spid="_x0000_s6163"/>
                </a:ext>
                <a:ext uri="{FF2B5EF4-FFF2-40B4-BE49-F238E27FC236}">
                  <a16:creationId xmlns:a16="http://schemas.microsoft.com/office/drawing/2014/main" id="{00000000-0008-0000-0200-00001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9</xdr:row>
          <xdr:rowOff>12700</xdr:rowOff>
        </xdr:from>
        <xdr:to>
          <xdr:col>78</xdr:col>
          <xdr:colOff>50800</xdr:colOff>
          <xdr:row>9</xdr:row>
          <xdr:rowOff>273050</xdr:rowOff>
        </xdr:to>
        <xdr:sp macro="" textlink="">
          <xdr:nvSpPr>
            <xdr:cNvPr id="6164" name="TaskCheck_BZ10" hidden="1">
              <a:extLst>
                <a:ext uri="{63B3BB69-23CF-44E3-9099-C40C66FF867C}">
                  <a14:compatExt spid="_x0000_s6164"/>
                </a:ext>
                <a:ext uri="{FF2B5EF4-FFF2-40B4-BE49-F238E27FC236}">
                  <a16:creationId xmlns:a16="http://schemas.microsoft.com/office/drawing/2014/main" id="{00000000-0008-0000-0200-00001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10</xdr:row>
          <xdr:rowOff>12700</xdr:rowOff>
        </xdr:from>
        <xdr:to>
          <xdr:col>78</xdr:col>
          <xdr:colOff>50800</xdr:colOff>
          <xdr:row>10</xdr:row>
          <xdr:rowOff>273050</xdr:rowOff>
        </xdr:to>
        <xdr:sp macro="" textlink="">
          <xdr:nvSpPr>
            <xdr:cNvPr id="6165" name="TaskCheck_BZ11" hidden="1">
              <a:extLst>
                <a:ext uri="{63B3BB69-23CF-44E3-9099-C40C66FF867C}">
                  <a14:compatExt spid="_x0000_s6165"/>
                </a:ext>
                <a:ext uri="{FF2B5EF4-FFF2-40B4-BE49-F238E27FC236}">
                  <a16:creationId xmlns:a16="http://schemas.microsoft.com/office/drawing/2014/main" id="{00000000-0008-0000-0200-000015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11</xdr:row>
          <xdr:rowOff>12700</xdr:rowOff>
        </xdr:from>
        <xdr:to>
          <xdr:col>78</xdr:col>
          <xdr:colOff>50800</xdr:colOff>
          <xdr:row>11</xdr:row>
          <xdr:rowOff>273050</xdr:rowOff>
        </xdr:to>
        <xdr:sp macro="" textlink="">
          <xdr:nvSpPr>
            <xdr:cNvPr id="6166" name="TaskCheck_BZ12" hidden="1">
              <a:extLst>
                <a:ext uri="{63B3BB69-23CF-44E3-9099-C40C66FF867C}">
                  <a14:compatExt spid="_x0000_s6166"/>
                </a:ext>
                <a:ext uri="{FF2B5EF4-FFF2-40B4-BE49-F238E27FC236}">
                  <a16:creationId xmlns:a16="http://schemas.microsoft.com/office/drawing/2014/main" id="{00000000-0008-0000-0200-00001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12</xdr:row>
          <xdr:rowOff>12700</xdr:rowOff>
        </xdr:from>
        <xdr:to>
          <xdr:col>78</xdr:col>
          <xdr:colOff>50800</xdr:colOff>
          <xdr:row>12</xdr:row>
          <xdr:rowOff>273050</xdr:rowOff>
        </xdr:to>
        <xdr:sp macro="" textlink="">
          <xdr:nvSpPr>
            <xdr:cNvPr id="6167" name="TaskCheck_BZ13" hidden="1">
              <a:extLst>
                <a:ext uri="{63B3BB69-23CF-44E3-9099-C40C66FF867C}">
                  <a14:compatExt spid="_x0000_s6167"/>
                </a:ext>
                <a:ext uri="{FF2B5EF4-FFF2-40B4-BE49-F238E27FC236}">
                  <a16:creationId xmlns:a16="http://schemas.microsoft.com/office/drawing/2014/main" id="{00000000-0008-0000-0200-00001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13</xdr:row>
          <xdr:rowOff>12700</xdr:rowOff>
        </xdr:from>
        <xdr:to>
          <xdr:col>78</xdr:col>
          <xdr:colOff>50800</xdr:colOff>
          <xdr:row>13</xdr:row>
          <xdr:rowOff>273050</xdr:rowOff>
        </xdr:to>
        <xdr:sp macro="" textlink="">
          <xdr:nvSpPr>
            <xdr:cNvPr id="6168" name="TaskCheck_BZ14" hidden="1">
              <a:extLst>
                <a:ext uri="{63B3BB69-23CF-44E3-9099-C40C66FF867C}">
                  <a14:compatExt spid="_x0000_s6168"/>
                </a:ext>
                <a:ext uri="{FF2B5EF4-FFF2-40B4-BE49-F238E27FC236}">
                  <a16:creationId xmlns:a16="http://schemas.microsoft.com/office/drawing/2014/main" id="{00000000-0008-0000-0200-00001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14</xdr:row>
          <xdr:rowOff>12700</xdr:rowOff>
        </xdr:from>
        <xdr:to>
          <xdr:col>78</xdr:col>
          <xdr:colOff>50800</xdr:colOff>
          <xdr:row>14</xdr:row>
          <xdr:rowOff>273050</xdr:rowOff>
        </xdr:to>
        <xdr:sp macro="" textlink="">
          <xdr:nvSpPr>
            <xdr:cNvPr id="6169" name="TaskCheck_BZ15" hidden="1">
              <a:extLst>
                <a:ext uri="{63B3BB69-23CF-44E3-9099-C40C66FF867C}">
                  <a14:compatExt spid="_x0000_s6169"/>
                </a:ext>
                <a:ext uri="{FF2B5EF4-FFF2-40B4-BE49-F238E27FC236}">
                  <a16:creationId xmlns:a16="http://schemas.microsoft.com/office/drawing/2014/main" id="{00000000-0008-0000-0200-000019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15</xdr:row>
          <xdr:rowOff>12700</xdr:rowOff>
        </xdr:from>
        <xdr:to>
          <xdr:col>78</xdr:col>
          <xdr:colOff>50800</xdr:colOff>
          <xdr:row>15</xdr:row>
          <xdr:rowOff>273050</xdr:rowOff>
        </xdr:to>
        <xdr:sp macro="" textlink="">
          <xdr:nvSpPr>
            <xdr:cNvPr id="6170" name="TaskCheck_BZ16" hidden="1">
              <a:extLst>
                <a:ext uri="{63B3BB69-23CF-44E3-9099-C40C66FF867C}">
                  <a14:compatExt spid="_x0000_s6170"/>
                </a:ext>
                <a:ext uri="{FF2B5EF4-FFF2-40B4-BE49-F238E27FC236}">
                  <a16:creationId xmlns:a16="http://schemas.microsoft.com/office/drawing/2014/main" id="{00000000-0008-0000-0200-00001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18</xdr:row>
          <xdr:rowOff>12700</xdr:rowOff>
        </xdr:from>
        <xdr:to>
          <xdr:col>78</xdr:col>
          <xdr:colOff>50800</xdr:colOff>
          <xdr:row>18</xdr:row>
          <xdr:rowOff>273050</xdr:rowOff>
        </xdr:to>
        <xdr:sp macro="" textlink="">
          <xdr:nvSpPr>
            <xdr:cNvPr id="6171" name="TaskCheck_BZ19" hidden="1">
              <a:extLst>
                <a:ext uri="{63B3BB69-23CF-44E3-9099-C40C66FF867C}">
                  <a14:compatExt spid="_x0000_s6171"/>
                </a:ext>
                <a:ext uri="{FF2B5EF4-FFF2-40B4-BE49-F238E27FC236}">
                  <a16:creationId xmlns:a16="http://schemas.microsoft.com/office/drawing/2014/main" id="{00000000-0008-0000-0200-00001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19</xdr:row>
          <xdr:rowOff>12700</xdr:rowOff>
        </xdr:from>
        <xdr:to>
          <xdr:col>78</xdr:col>
          <xdr:colOff>50800</xdr:colOff>
          <xdr:row>19</xdr:row>
          <xdr:rowOff>273050</xdr:rowOff>
        </xdr:to>
        <xdr:sp macro="" textlink="">
          <xdr:nvSpPr>
            <xdr:cNvPr id="6172" name="TaskCheck_BZ20" hidden="1">
              <a:extLst>
                <a:ext uri="{63B3BB69-23CF-44E3-9099-C40C66FF867C}">
                  <a14:compatExt spid="_x0000_s6172"/>
                </a:ext>
                <a:ext uri="{FF2B5EF4-FFF2-40B4-BE49-F238E27FC236}">
                  <a16:creationId xmlns:a16="http://schemas.microsoft.com/office/drawing/2014/main" id="{00000000-0008-0000-0200-00001C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20</xdr:row>
          <xdr:rowOff>12700</xdr:rowOff>
        </xdr:from>
        <xdr:to>
          <xdr:col>78</xdr:col>
          <xdr:colOff>50800</xdr:colOff>
          <xdr:row>20</xdr:row>
          <xdr:rowOff>273050</xdr:rowOff>
        </xdr:to>
        <xdr:sp macro="" textlink="">
          <xdr:nvSpPr>
            <xdr:cNvPr id="6173" name="TaskCheck_BZ21" hidden="1">
              <a:extLst>
                <a:ext uri="{63B3BB69-23CF-44E3-9099-C40C66FF867C}">
                  <a14:compatExt spid="_x0000_s6173"/>
                </a:ext>
                <a:ext uri="{FF2B5EF4-FFF2-40B4-BE49-F238E27FC236}">
                  <a16:creationId xmlns:a16="http://schemas.microsoft.com/office/drawing/2014/main" id="{00000000-0008-0000-0200-00001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21</xdr:row>
          <xdr:rowOff>12700</xdr:rowOff>
        </xdr:from>
        <xdr:to>
          <xdr:col>78</xdr:col>
          <xdr:colOff>50800</xdr:colOff>
          <xdr:row>21</xdr:row>
          <xdr:rowOff>273050</xdr:rowOff>
        </xdr:to>
        <xdr:sp macro="" textlink="">
          <xdr:nvSpPr>
            <xdr:cNvPr id="6174" name="TaskCheck_BZ22" hidden="1">
              <a:extLst>
                <a:ext uri="{63B3BB69-23CF-44E3-9099-C40C66FF867C}">
                  <a14:compatExt spid="_x0000_s6174"/>
                </a:ext>
                <a:ext uri="{FF2B5EF4-FFF2-40B4-BE49-F238E27FC236}">
                  <a16:creationId xmlns:a16="http://schemas.microsoft.com/office/drawing/2014/main" id="{00000000-0008-0000-0200-00001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22</xdr:row>
          <xdr:rowOff>12700</xdr:rowOff>
        </xdr:from>
        <xdr:to>
          <xdr:col>78</xdr:col>
          <xdr:colOff>50800</xdr:colOff>
          <xdr:row>22</xdr:row>
          <xdr:rowOff>273050</xdr:rowOff>
        </xdr:to>
        <xdr:sp macro="" textlink="">
          <xdr:nvSpPr>
            <xdr:cNvPr id="6175" name="TaskCheck_BZ23" hidden="1">
              <a:extLst>
                <a:ext uri="{63B3BB69-23CF-44E3-9099-C40C66FF867C}">
                  <a14:compatExt spid="_x0000_s6175"/>
                </a:ext>
                <a:ext uri="{FF2B5EF4-FFF2-40B4-BE49-F238E27FC236}">
                  <a16:creationId xmlns:a16="http://schemas.microsoft.com/office/drawing/2014/main" id="{00000000-0008-0000-0200-00001F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23</xdr:row>
          <xdr:rowOff>12700</xdr:rowOff>
        </xdr:from>
        <xdr:to>
          <xdr:col>78</xdr:col>
          <xdr:colOff>50800</xdr:colOff>
          <xdr:row>23</xdr:row>
          <xdr:rowOff>273050</xdr:rowOff>
        </xdr:to>
        <xdr:sp macro="" textlink="">
          <xdr:nvSpPr>
            <xdr:cNvPr id="6176" name="TaskCheck_BZ24" hidden="1">
              <a:extLst>
                <a:ext uri="{63B3BB69-23CF-44E3-9099-C40C66FF867C}">
                  <a14:compatExt spid="_x0000_s6176"/>
                </a:ext>
                <a:ext uri="{FF2B5EF4-FFF2-40B4-BE49-F238E27FC236}">
                  <a16:creationId xmlns:a16="http://schemas.microsoft.com/office/drawing/2014/main" id="{00000000-0008-0000-0200-00002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24</xdr:row>
          <xdr:rowOff>12700</xdr:rowOff>
        </xdr:from>
        <xdr:to>
          <xdr:col>78</xdr:col>
          <xdr:colOff>50800</xdr:colOff>
          <xdr:row>24</xdr:row>
          <xdr:rowOff>273050</xdr:rowOff>
        </xdr:to>
        <xdr:sp macro="" textlink="">
          <xdr:nvSpPr>
            <xdr:cNvPr id="6177" name="TaskCheck_BZ25" hidden="1">
              <a:extLst>
                <a:ext uri="{63B3BB69-23CF-44E3-9099-C40C66FF867C}">
                  <a14:compatExt spid="_x0000_s6177"/>
                </a:ext>
                <a:ext uri="{FF2B5EF4-FFF2-40B4-BE49-F238E27FC236}">
                  <a16:creationId xmlns:a16="http://schemas.microsoft.com/office/drawing/2014/main" id="{00000000-0008-0000-0200-000021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25</xdr:row>
          <xdr:rowOff>12700</xdr:rowOff>
        </xdr:from>
        <xdr:to>
          <xdr:col>78</xdr:col>
          <xdr:colOff>50800</xdr:colOff>
          <xdr:row>25</xdr:row>
          <xdr:rowOff>273050</xdr:rowOff>
        </xdr:to>
        <xdr:sp macro="" textlink="">
          <xdr:nvSpPr>
            <xdr:cNvPr id="6178" name="TaskCheck_BZ26" hidden="1">
              <a:extLst>
                <a:ext uri="{63B3BB69-23CF-44E3-9099-C40C66FF867C}">
                  <a14:compatExt spid="_x0000_s6178"/>
                </a:ext>
                <a:ext uri="{FF2B5EF4-FFF2-40B4-BE49-F238E27FC236}">
                  <a16:creationId xmlns:a16="http://schemas.microsoft.com/office/drawing/2014/main" id="{00000000-0008-0000-0200-00002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26</xdr:row>
          <xdr:rowOff>12700</xdr:rowOff>
        </xdr:from>
        <xdr:to>
          <xdr:col>78</xdr:col>
          <xdr:colOff>50800</xdr:colOff>
          <xdr:row>26</xdr:row>
          <xdr:rowOff>273050</xdr:rowOff>
        </xdr:to>
        <xdr:sp macro="" textlink="">
          <xdr:nvSpPr>
            <xdr:cNvPr id="6179" name="TaskCheck_BZ27" hidden="1">
              <a:extLst>
                <a:ext uri="{63B3BB69-23CF-44E3-9099-C40C66FF867C}">
                  <a14:compatExt spid="_x0000_s6179"/>
                </a:ext>
                <a:ext uri="{FF2B5EF4-FFF2-40B4-BE49-F238E27FC236}">
                  <a16:creationId xmlns:a16="http://schemas.microsoft.com/office/drawing/2014/main" id="{00000000-0008-0000-0200-00002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27</xdr:row>
          <xdr:rowOff>12700</xdr:rowOff>
        </xdr:from>
        <xdr:to>
          <xdr:col>78</xdr:col>
          <xdr:colOff>50800</xdr:colOff>
          <xdr:row>27</xdr:row>
          <xdr:rowOff>273050</xdr:rowOff>
        </xdr:to>
        <xdr:sp macro="" textlink="">
          <xdr:nvSpPr>
            <xdr:cNvPr id="6180" name="TaskCheck_BZ28" hidden="1">
              <a:extLst>
                <a:ext uri="{63B3BB69-23CF-44E3-9099-C40C66FF867C}">
                  <a14:compatExt spid="_x0000_s6180"/>
                </a:ext>
                <a:ext uri="{FF2B5EF4-FFF2-40B4-BE49-F238E27FC236}">
                  <a16:creationId xmlns:a16="http://schemas.microsoft.com/office/drawing/2014/main" id="{00000000-0008-0000-0200-00002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28</xdr:row>
          <xdr:rowOff>12700</xdr:rowOff>
        </xdr:from>
        <xdr:to>
          <xdr:col>78</xdr:col>
          <xdr:colOff>50800</xdr:colOff>
          <xdr:row>28</xdr:row>
          <xdr:rowOff>273050</xdr:rowOff>
        </xdr:to>
        <xdr:sp macro="" textlink="">
          <xdr:nvSpPr>
            <xdr:cNvPr id="6181" name="TaskCheck_BZ29" hidden="1">
              <a:extLst>
                <a:ext uri="{63B3BB69-23CF-44E3-9099-C40C66FF867C}">
                  <a14:compatExt spid="_x0000_s6181"/>
                </a:ext>
                <a:ext uri="{FF2B5EF4-FFF2-40B4-BE49-F238E27FC236}">
                  <a16:creationId xmlns:a16="http://schemas.microsoft.com/office/drawing/2014/main" id="{00000000-0008-0000-0200-000025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29</xdr:row>
          <xdr:rowOff>12700</xdr:rowOff>
        </xdr:from>
        <xdr:to>
          <xdr:col>78</xdr:col>
          <xdr:colOff>50800</xdr:colOff>
          <xdr:row>29</xdr:row>
          <xdr:rowOff>273050</xdr:rowOff>
        </xdr:to>
        <xdr:sp macro="" textlink="">
          <xdr:nvSpPr>
            <xdr:cNvPr id="6182" name="TaskCheck_BZ30" hidden="1">
              <a:extLst>
                <a:ext uri="{63B3BB69-23CF-44E3-9099-C40C66FF867C}">
                  <a14:compatExt spid="_x0000_s6182"/>
                </a:ext>
                <a:ext uri="{FF2B5EF4-FFF2-40B4-BE49-F238E27FC236}">
                  <a16:creationId xmlns:a16="http://schemas.microsoft.com/office/drawing/2014/main" id="{00000000-0008-0000-0200-00002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30</xdr:row>
          <xdr:rowOff>12700</xdr:rowOff>
        </xdr:from>
        <xdr:to>
          <xdr:col>78</xdr:col>
          <xdr:colOff>50800</xdr:colOff>
          <xdr:row>30</xdr:row>
          <xdr:rowOff>273050</xdr:rowOff>
        </xdr:to>
        <xdr:sp macro="" textlink="">
          <xdr:nvSpPr>
            <xdr:cNvPr id="6183" name="TaskCheck_BZ31" hidden="1">
              <a:extLst>
                <a:ext uri="{63B3BB69-23CF-44E3-9099-C40C66FF867C}">
                  <a14:compatExt spid="_x0000_s6183"/>
                </a:ext>
                <a:ext uri="{FF2B5EF4-FFF2-40B4-BE49-F238E27FC236}">
                  <a16:creationId xmlns:a16="http://schemas.microsoft.com/office/drawing/2014/main" id="{00000000-0008-0000-0200-00002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31</xdr:row>
          <xdr:rowOff>12700</xdr:rowOff>
        </xdr:from>
        <xdr:to>
          <xdr:col>78</xdr:col>
          <xdr:colOff>50800</xdr:colOff>
          <xdr:row>31</xdr:row>
          <xdr:rowOff>273050</xdr:rowOff>
        </xdr:to>
        <xdr:sp macro="" textlink="">
          <xdr:nvSpPr>
            <xdr:cNvPr id="6184" name="TaskCheck_BZ32" hidden="1">
              <a:extLst>
                <a:ext uri="{63B3BB69-23CF-44E3-9099-C40C66FF867C}">
                  <a14:compatExt spid="_x0000_s6184"/>
                </a:ext>
                <a:ext uri="{FF2B5EF4-FFF2-40B4-BE49-F238E27FC236}">
                  <a16:creationId xmlns:a16="http://schemas.microsoft.com/office/drawing/2014/main" id="{00000000-0008-0000-0200-00002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32</xdr:row>
          <xdr:rowOff>12700</xdr:rowOff>
        </xdr:from>
        <xdr:to>
          <xdr:col>78</xdr:col>
          <xdr:colOff>50800</xdr:colOff>
          <xdr:row>32</xdr:row>
          <xdr:rowOff>273050</xdr:rowOff>
        </xdr:to>
        <xdr:sp macro="" textlink="">
          <xdr:nvSpPr>
            <xdr:cNvPr id="6185" name="TaskCheck_BZ33" hidden="1">
              <a:extLst>
                <a:ext uri="{63B3BB69-23CF-44E3-9099-C40C66FF867C}">
                  <a14:compatExt spid="_x0000_s6185"/>
                </a:ext>
                <a:ext uri="{FF2B5EF4-FFF2-40B4-BE49-F238E27FC236}">
                  <a16:creationId xmlns:a16="http://schemas.microsoft.com/office/drawing/2014/main" id="{00000000-0008-0000-0200-000029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35</xdr:row>
          <xdr:rowOff>12700</xdr:rowOff>
        </xdr:from>
        <xdr:to>
          <xdr:col>78</xdr:col>
          <xdr:colOff>50800</xdr:colOff>
          <xdr:row>35</xdr:row>
          <xdr:rowOff>273050</xdr:rowOff>
        </xdr:to>
        <xdr:sp macro="" textlink="">
          <xdr:nvSpPr>
            <xdr:cNvPr id="6186" name="TaskCheck_BZ36" hidden="1">
              <a:extLst>
                <a:ext uri="{63B3BB69-23CF-44E3-9099-C40C66FF867C}">
                  <a14:compatExt spid="_x0000_s6186"/>
                </a:ext>
                <a:ext uri="{FF2B5EF4-FFF2-40B4-BE49-F238E27FC236}">
                  <a16:creationId xmlns:a16="http://schemas.microsoft.com/office/drawing/2014/main" id="{00000000-0008-0000-0200-00002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36</xdr:row>
          <xdr:rowOff>12700</xdr:rowOff>
        </xdr:from>
        <xdr:to>
          <xdr:col>69</xdr:col>
          <xdr:colOff>50800</xdr:colOff>
          <xdr:row>36</xdr:row>
          <xdr:rowOff>273050</xdr:rowOff>
        </xdr:to>
        <xdr:sp macro="" textlink="">
          <xdr:nvSpPr>
            <xdr:cNvPr id="6187" name="TaskCheck_BQ37" hidden="1">
              <a:extLst>
                <a:ext uri="{63B3BB69-23CF-44E3-9099-C40C66FF867C}">
                  <a14:compatExt spid="_x0000_s6187"/>
                </a:ext>
                <a:ext uri="{FF2B5EF4-FFF2-40B4-BE49-F238E27FC236}">
                  <a16:creationId xmlns:a16="http://schemas.microsoft.com/office/drawing/2014/main" id="{00000000-0008-0000-0200-00002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36</xdr:row>
          <xdr:rowOff>12700</xdr:rowOff>
        </xdr:from>
        <xdr:to>
          <xdr:col>78</xdr:col>
          <xdr:colOff>50800</xdr:colOff>
          <xdr:row>36</xdr:row>
          <xdr:rowOff>273050</xdr:rowOff>
        </xdr:to>
        <xdr:sp macro="" textlink="">
          <xdr:nvSpPr>
            <xdr:cNvPr id="6188" name="TaskCheck_BZ37" hidden="1">
              <a:extLst>
                <a:ext uri="{63B3BB69-23CF-44E3-9099-C40C66FF867C}">
                  <a14:compatExt spid="_x0000_s6188"/>
                </a:ext>
                <a:ext uri="{FF2B5EF4-FFF2-40B4-BE49-F238E27FC236}">
                  <a16:creationId xmlns:a16="http://schemas.microsoft.com/office/drawing/2014/main" id="{00000000-0008-0000-0200-00002C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37</xdr:row>
          <xdr:rowOff>12700</xdr:rowOff>
        </xdr:from>
        <xdr:to>
          <xdr:col>69</xdr:col>
          <xdr:colOff>50800</xdr:colOff>
          <xdr:row>37</xdr:row>
          <xdr:rowOff>273050</xdr:rowOff>
        </xdr:to>
        <xdr:sp macro="" textlink="">
          <xdr:nvSpPr>
            <xdr:cNvPr id="6189" name="TaskCheck_BQ38" hidden="1">
              <a:extLst>
                <a:ext uri="{63B3BB69-23CF-44E3-9099-C40C66FF867C}">
                  <a14:compatExt spid="_x0000_s6189"/>
                </a:ext>
                <a:ext uri="{FF2B5EF4-FFF2-40B4-BE49-F238E27FC236}">
                  <a16:creationId xmlns:a16="http://schemas.microsoft.com/office/drawing/2014/main" id="{00000000-0008-0000-0200-00002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37</xdr:row>
          <xdr:rowOff>12700</xdr:rowOff>
        </xdr:from>
        <xdr:to>
          <xdr:col>78</xdr:col>
          <xdr:colOff>50800</xdr:colOff>
          <xdr:row>37</xdr:row>
          <xdr:rowOff>273050</xdr:rowOff>
        </xdr:to>
        <xdr:sp macro="" textlink="">
          <xdr:nvSpPr>
            <xdr:cNvPr id="6190" name="TaskCheck_BZ38" hidden="1">
              <a:extLst>
                <a:ext uri="{63B3BB69-23CF-44E3-9099-C40C66FF867C}">
                  <a14:compatExt spid="_x0000_s6190"/>
                </a:ext>
                <a:ext uri="{FF2B5EF4-FFF2-40B4-BE49-F238E27FC236}">
                  <a16:creationId xmlns:a16="http://schemas.microsoft.com/office/drawing/2014/main" id="{00000000-0008-0000-0200-00002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38</xdr:row>
          <xdr:rowOff>12700</xdr:rowOff>
        </xdr:from>
        <xdr:to>
          <xdr:col>69</xdr:col>
          <xdr:colOff>50800</xdr:colOff>
          <xdr:row>38</xdr:row>
          <xdr:rowOff>273050</xdr:rowOff>
        </xdr:to>
        <xdr:sp macro="" textlink="">
          <xdr:nvSpPr>
            <xdr:cNvPr id="6191" name="TaskCheck_BQ39" hidden="1">
              <a:extLst>
                <a:ext uri="{63B3BB69-23CF-44E3-9099-C40C66FF867C}">
                  <a14:compatExt spid="_x0000_s6191"/>
                </a:ext>
                <a:ext uri="{FF2B5EF4-FFF2-40B4-BE49-F238E27FC236}">
                  <a16:creationId xmlns:a16="http://schemas.microsoft.com/office/drawing/2014/main" id="{00000000-0008-0000-0200-00002F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38</xdr:row>
          <xdr:rowOff>12700</xdr:rowOff>
        </xdr:from>
        <xdr:to>
          <xdr:col>78</xdr:col>
          <xdr:colOff>50800</xdr:colOff>
          <xdr:row>38</xdr:row>
          <xdr:rowOff>273050</xdr:rowOff>
        </xdr:to>
        <xdr:sp macro="" textlink="">
          <xdr:nvSpPr>
            <xdr:cNvPr id="6192" name="TaskCheck_BZ39" hidden="1">
              <a:extLst>
                <a:ext uri="{63B3BB69-23CF-44E3-9099-C40C66FF867C}">
                  <a14:compatExt spid="_x0000_s6192"/>
                </a:ext>
                <a:ext uri="{FF2B5EF4-FFF2-40B4-BE49-F238E27FC236}">
                  <a16:creationId xmlns:a16="http://schemas.microsoft.com/office/drawing/2014/main" id="{00000000-0008-0000-0200-00003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39</xdr:row>
          <xdr:rowOff>12700</xdr:rowOff>
        </xdr:from>
        <xdr:to>
          <xdr:col>69</xdr:col>
          <xdr:colOff>50800</xdr:colOff>
          <xdr:row>39</xdr:row>
          <xdr:rowOff>273050</xdr:rowOff>
        </xdr:to>
        <xdr:sp macro="" textlink="">
          <xdr:nvSpPr>
            <xdr:cNvPr id="6193" name="TaskCheck_BQ40" hidden="1">
              <a:extLst>
                <a:ext uri="{63B3BB69-23CF-44E3-9099-C40C66FF867C}">
                  <a14:compatExt spid="_x0000_s6193"/>
                </a:ext>
                <a:ext uri="{FF2B5EF4-FFF2-40B4-BE49-F238E27FC236}">
                  <a16:creationId xmlns:a16="http://schemas.microsoft.com/office/drawing/2014/main" id="{00000000-0008-0000-0200-000031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39</xdr:row>
          <xdr:rowOff>12700</xdr:rowOff>
        </xdr:from>
        <xdr:to>
          <xdr:col>78</xdr:col>
          <xdr:colOff>50800</xdr:colOff>
          <xdr:row>39</xdr:row>
          <xdr:rowOff>273050</xdr:rowOff>
        </xdr:to>
        <xdr:sp macro="" textlink="">
          <xdr:nvSpPr>
            <xdr:cNvPr id="6194" name="TaskCheck_BZ40" hidden="1">
              <a:extLst>
                <a:ext uri="{63B3BB69-23CF-44E3-9099-C40C66FF867C}">
                  <a14:compatExt spid="_x0000_s6194"/>
                </a:ext>
                <a:ext uri="{FF2B5EF4-FFF2-40B4-BE49-F238E27FC236}">
                  <a16:creationId xmlns:a16="http://schemas.microsoft.com/office/drawing/2014/main" id="{00000000-0008-0000-0200-00003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40</xdr:row>
          <xdr:rowOff>12700</xdr:rowOff>
        </xdr:from>
        <xdr:to>
          <xdr:col>69</xdr:col>
          <xdr:colOff>50800</xdr:colOff>
          <xdr:row>40</xdr:row>
          <xdr:rowOff>273050</xdr:rowOff>
        </xdr:to>
        <xdr:sp macro="" textlink="">
          <xdr:nvSpPr>
            <xdr:cNvPr id="6195" name="TaskCheck_BQ41" hidden="1">
              <a:extLst>
                <a:ext uri="{63B3BB69-23CF-44E3-9099-C40C66FF867C}">
                  <a14:compatExt spid="_x0000_s6195"/>
                </a:ext>
                <a:ext uri="{FF2B5EF4-FFF2-40B4-BE49-F238E27FC236}">
                  <a16:creationId xmlns:a16="http://schemas.microsoft.com/office/drawing/2014/main" id="{00000000-0008-0000-0200-00003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40</xdr:row>
          <xdr:rowOff>12700</xdr:rowOff>
        </xdr:from>
        <xdr:to>
          <xdr:col>78</xdr:col>
          <xdr:colOff>50800</xdr:colOff>
          <xdr:row>40</xdr:row>
          <xdr:rowOff>273050</xdr:rowOff>
        </xdr:to>
        <xdr:sp macro="" textlink="">
          <xdr:nvSpPr>
            <xdr:cNvPr id="6196" name="TaskCheck_BZ41" hidden="1">
              <a:extLst>
                <a:ext uri="{63B3BB69-23CF-44E3-9099-C40C66FF867C}">
                  <a14:compatExt spid="_x0000_s6196"/>
                </a:ext>
                <a:ext uri="{FF2B5EF4-FFF2-40B4-BE49-F238E27FC236}">
                  <a16:creationId xmlns:a16="http://schemas.microsoft.com/office/drawing/2014/main" id="{00000000-0008-0000-0200-00003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41</xdr:row>
          <xdr:rowOff>12700</xdr:rowOff>
        </xdr:from>
        <xdr:to>
          <xdr:col>69</xdr:col>
          <xdr:colOff>50800</xdr:colOff>
          <xdr:row>41</xdr:row>
          <xdr:rowOff>273050</xdr:rowOff>
        </xdr:to>
        <xdr:sp macro="" textlink="">
          <xdr:nvSpPr>
            <xdr:cNvPr id="6197" name="TaskCheck_BQ42" hidden="1">
              <a:extLst>
                <a:ext uri="{63B3BB69-23CF-44E3-9099-C40C66FF867C}">
                  <a14:compatExt spid="_x0000_s6197"/>
                </a:ext>
                <a:ext uri="{FF2B5EF4-FFF2-40B4-BE49-F238E27FC236}">
                  <a16:creationId xmlns:a16="http://schemas.microsoft.com/office/drawing/2014/main" id="{00000000-0008-0000-0200-000035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19050</xdr:colOff>
          <xdr:row>41</xdr:row>
          <xdr:rowOff>12700</xdr:rowOff>
        </xdr:from>
        <xdr:to>
          <xdr:col>78</xdr:col>
          <xdr:colOff>50800</xdr:colOff>
          <xdr:row>41</xdr:row>
          <xdr:rowOff>273050</xdr:rowOff>
        </xdr:to>
        <xdr:sp macro="" textlink="">
          <xdr:nvSpPr>
            <xdr:cNvPr id="6198" name="TaskCheck_BZ42" hidden="1">
              <a:extLst>
                <a:ext uri="{63B3BB69-23CF-44E3-9099-C40C66FF867C}">
                  <a14:compatExt spid="_x0000_s6198"/>
                </a:ext>
                <a:ext uri="{FF2B5EF4-FFF2-40B4-BE49-F238E27FC236}">
                  <a16:creationId xmlns:a16="http://schemas.microsoft.com/office/drawing/2014/main" id="{00000000-0008-0000-0200-00003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74</xdr:col>
          <xdr:colOff>19050</xdr:colOff>
          <xdr:row>2</xdr:row>
          <xdr:rowOff>12700</xdr:rowOff>
        </xdr:from>
        <xdr:to>
          <xdr:col>75</xdr:col>
          <xdr:colOff>50800</xdr:colOff>
          <xdr:row>2</xdr:row>
          <xdr:rowOff>273050</xdr:rowOff>
        </xdr:to>
        <xdr:sp macro="" textlink="">
          <xdr:nvSpPr>
            <xdr:cNvPr id="8227" name="TaskCheck_BW3" hidden="1">
              <a:extLst>
                <a:ext uri="{63B3BB69-23CF-44E3-9099-C40C66FF867C}">
                  <a14:compatExt spid="_x0000_s8227"/>
                </a:ext>
                <a:ext uri="{FF2B5EF4-FFF2-40B4-BE49-F238E27FC236}">
                  <a16:creationId xmlns:a16="http://schemas.microsoft.com/office/drawing/2014/main" id="{00000000-0008-0000-0300-000023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xdr:row>
          <xdr:rowOff>12700</xdr:rowOff>
        </xdr:from>
        <xdr:to>
          <xdr:col>75</xdr:col>
          <xdr:colOff>50800</xdr:colOff>
          <xdr:row>3</xdr:row>
          <xdr:rowOff>273050</xdr:rowOff>
        </xdr:to>
        <xdr:sp macro="" textlink="">
          <xdr:nvSpPr>
            <xdr:cNvPr id="8228" name="TaskCheck_BW4" hidden="1">
              <a:extLst>
                <a:ext uri="{63B3BB69-23CF-44E3-9099-C40C66FF867C}">
                  <a14:compatExt spid="_x0000_s8228"/>
                </a:ext>
                <a:ext uri="{FF2B5EF4-FFF2-40B4-BE49-F238E27FC236}">
                  <a16:creationId xmlns:a16="http://schemas.microsoft.com/office/drawing/2014/main" id="{00000000-0008-0000-0300-000024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4</xdr:row>
          <xdr:rowOff>12700</xdr:rowOff>
        </xdr:from>
        <xdr:to>
          <xdr:col>75</xdr:col>
          <xdr:colOff>50800</xdr:colOff>
          <xdr:row>4</xdr:row>
          <xdr:rowOff>273050</xdr:rowOff>
        </xdr:to>
        <xdr:sp macro="" textlink="">
          <xdr:nvSpPr>
            <xdr:cNvPr id="8229" name="TaskCheck_BW5" hidden="1">
              <a:extLst>
                <a:ext uri="{63B3BB69-23CF-44E3-9099-C40C66FF867C}">
                  <a14:compatExt spid="_x0000_s8229"/>
                </a:ext>
                <a:ext uri="{FF2B5EF4-FFF2-40B4-BE49-F238E27FC236}">
                  <a16:creationId xmlns:a16="http://schemas.microsoft.com/office/drawing/2014/main" id="{00000000-0008-0000-0300-000025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5</xdr:row>
          <xdr:rowOff>12700</xdr:rowOff>
        </xdr:from>
        <xdr:to>
          <xdr:col>75</xdr:col>
          <xdr:colOff>50800</xdr:colOff>
          <xdr:row>5</xdr:row>
          <xdr:rowOff>273050</xdr:rowOff>
        </xdr:to>
        <xdr:sp macro="" textlink="">
          <xdr:nvSpPr>
            <xdr:cNvPr id="8230" name="TaskCheck_BW6" hidden="1">
              <a:extLst>
                <a:ext uri="{63B3BB69-23CF-44E3-9099-C40C66FF867C}">
                  <a14:compatExt spid="_x0000_s8230"/>
                </a:ext>
                <a:ext uri="{FF2B5EF4-FFF2-40B4-BE49-F238E27FC236}">
                  <a16:creationId xmlns:a16="http://schemas.microsoft.com/office/drawing/2014/main" id="{00000000-0008-0000-0300-000026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6</xdr:row>
          <xdr:rowOff>12700</xdr:rowOff>
        </xdr:from>
        <xdr:to>
          <xdr:col>75</xdr:col>
          <xdr:colOff>50800</xdr:colOff>
          <xdr:row>6</xdr:row>
          <xdr:rowOff>273050</xdr:rowOff>
        </xdr:to>
        <xdr:sp macro="" textlink="">
          <xdr:nvSpPr>
            <xdr:cNvPr id="8231" name="TaskCheck_BW7" hidden="1">
              <a:extLst>
                <a:ext uri="{63B3BB69-23CF-44E3-9099-C40C66FF867C}">
                  <a14:compatExt spid="_x0000_s8231"/>
                </a:ext>
                <a:ext uri="{FF2B5EF4-FFF2-40B4-BE49-F238E27FC236}">
                  <a16:creationId xmlns:a16="http://schemas.microsoft.com/office/drawing/2014/main" id="{00000000-0008-0000-0300-000027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7</xdr:row>
          <xdr:rowOff>12700</xdr:rowOff>
        </xdr:from>
        <xdr:to>
          <xdr:col>75</xdr:col>
          <xdr:colOff>50800</xdr:colOff>
          <xdr:row>7</xdr:row>
          <xdr:rowOff>273050</xdr:rowOff>
        </xdr:to>
        <xdr:sp macro="" textlink="">
          <xdr:nvSpPr>
            <xdr:cNvPr id="8232" name="TaskCheck_BW8" hidden="1">
              <a:extLst>
                <a:ext uri="{63B3BB69-23CF-44E3-9099-C40C66FF867C}">
                  <a14:compatExt spid="_x0000_s8232"/>
                </a:ext>
                <a:ext uri="{FF2B5EF4-FFF2-40B4-BE49-F238E27FC236}">
                  <a16:creationId xmlns:a16="http://schemas.microsoft.com/office/drawing/2014/main" id="{00000000-0008-0000-0300-000028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8</xdr:row>
          <xdr:rowOff>12700</xdr:rowOff>
        </xdr:from>
        <xdr:to>
          <xdr:col>75</xdr:col>
          <xdr:colOff>50800</xdr:colOff>
          <xdr:row>8</xdr:row>
          <xdr:rowOff>273050</xdr:rowOff>
        </xdr:to>
        <xdr:sp macro="" textlink="">
          <xdr:nvSpPr>
            <xdr:cNvPr id="8233" name="TaskCheck_BW9" hidden="1">
              <a:extLst>
                <a:ext uri="{63B3BB69-23CF-44E3-9099-C40C66FF867C}">
                  <a14:compatExt spid="_x0000_s8233"/>
                </a:ext>
                <a:ext uri="{FF2B5EF4-FFF2-40B4-BE49-F238E27FC236}">
                  <a16:creationId xmlns:a16="http://schemas.microsoft.com/office/drawing/2014/main" id="{00000000-0008-0000-0300-000029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9</xdr:row>
          <xdr:rowOff>12700</xdr:rowOff>
        </xdr:from>
        <xdr:to>
          <xdr:col>75</xdr:col>
          <xdr:colOff>50800</xdr:colOff>
          <xdr:row>9</xdr:row>
          <xdr:rowOff>273050</xdr:rowOff>
        </xdr:to>
        <xdr:sp macro="" textlink="">
          <xdr:nvSpPr>
            <xdr:cNvPr id="8234" name="TaskCheck_BW10" hidden="1">
              <a:extLst>
                <a:ext uri="{63B3BB69-23CF-44E3-9099-C40C66FF867C}">
                  <a14:compatExt spid="_x0000_s8234"/>
                </a:ext>
                <a:ext uri="{FF2B5EF4-FFF2-40B4-BE49-F238E27FC236}">
                  <a16:creationId xmlns:a16="http://schemas.microsoft.com/office/drawing/2014/main" id="{00000000-0008-0000-0300-00002A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10</xdr:row>
          <xdr:rowOff>12700</xdr:rowOff>
        </xdr:from>
        <xdr:to>
          <xdr:col>75</xdr:col>
          <xdr:colOff>50800</xdr:colOff>
          <xdr:row>10</xdr:row>
          <xdr:rowOff>273050</xdr:rowOff>
        </xdr:to>
        <xdr:sp macro="" textlink="">
          <xdr:nvSpPr>
            <xdr:cNvPr id="8235" name="TaskCheck_BW11" hidden="1">
              <a:extLst>
                <a:ext uri="{63B3BB69-23CF-44E3-9099-C40C66FF867C}">
                  <a14:compatExt spid="_x0000_s8235"/>
                </a:ext>
                <a:ext uri="{FF2B5EF4-FFF2-40B4-BE49-F238E27FC236}">
                  <a16:creationId xmlns:a16="http://schemas.microsoft.com/office/drawing/2014/main" id="{00000000-0008-0000-0300-00002B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11</xdr:row>
          <xdr:rowOff>12700</xdr:rowOff>
        </xdr:from>
        <xdr:to>
          <xdr:col>75</xdr:col>
          <xdr:colOff>50800</xdr:colOff>
          <xdr:row>11</xdr:row>
          <xdr:rowOff>273050</xdr:rowOff>
        </xdr:to>
        <xdr:sp macro="" textlink="">
          <xdr:nvSpPr>
            <xdr:cNvPr id="8236" name="TaskCheck_BW12" hidden="1">
              <a:extLst>
                <a:ext uri="{63B3BB69-23CF-44E3-9099-C40C66FF867C}">
                  <a14:compatExt spid="_x0000_s8236"/>
                </a:ext>
                <a:ext uri="{FF2B5EF4-FFF2-40B4-BE49-F238E27FC236}">
                  <a16:creationId xmlns:a16="http://schemas.microsoft.com/office/drawing/2014/main" id="{00000000-0008-0000-0300-00002C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12</xdr:row>
          <xdr:rowOff>12700</xdr:rowOff>
        </xdr:from>
        <xdr:to>
          <xdr:col>75</xdr:col>
          <xdr:colOff>50800</xdr:colOff>
          <xdr:row>12</xdr:row>
          <xdr:rowOff>273050</xdr:rowOff>
        </xdr:to>
        <xdr:sp macro="" textlink="">
          <xdr:nvSpPr>
            <xdr:cNvPr id="8237" name="TaskCheck_BW13" hidden="1">
              <a:extLst>
                <a:ext uri="{63B3BB69-23CF-44E3-9099-C40C66FF867C}">
                  <a14:compatExt spid="_x0000_s8237"/>
                </a:ext>
                <a:ext uri="{FF2B5EF4-FFF2-40B4-BE49-F238E27FC236}">
                  <a16:creationId xmlns:a16="http://schemas.microsoft.com/office/drawing/2014/main" id="{00000000-0008-0000-0300-00002D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13</xdr:row>
          <xdr:rowOff>12700</xdr:rowOff>
        </xdr:from>
        <xdr:to>
          <xdr:col>75</xdr:col>
          <xdr:colOff>50800</xdr:colOff>
          <xdr:row>13</xdr:row>
          <xdr:rowOff>273050</xdr:rowOff>
        </xdr:to>
        <xdr:sp macro="" textlink="">
          <xdr:nvSpPr>
            <xdr:cNvPr id="8238" name="TaskCheck_BW14" hidden="1">
              <a:extLst>
                <a:ext uri="{63B3BB69-23CF-44E3-9099-C40C66FF867C}">
                  <a14:compatExt spid="_x0000_s8238"/>
                </a:ext>
                <a:ext uri="{FF2B5EF4-FFF2-40B4-BE49-F238E27FC236}">
                  <a16:creationId xmlns:a16="http://schemas.microsoft.com/office/drawing/2014/main" id="{00000000-0008-0000-0300-00002E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14</xdr:row>
          <xdr:rowOff>12700</xdr:rowOff>
        </xdr:from>
        <xdr:to>
          <xdr:col>75</xdr:col>
          <xdr:colOff>50800</xdr:colOff>
          <xdr:row>14</xdr:row>
          <xdr:rowOff>273050</xdr:rowOff>
        </xdr:to>
        <xdr:sp macro="" textlink="">
          <xdr:nvSpPr>
            <xdr:cNvPr id="8239" name="TaskCheck_BW15" hidden="1">
              <a:extLst>
                <a:ext uri="{63B3BB69-23CF-44E3-9099-C40C66FF867C}">
                  <a14:compatExt spid="_x0000_s8239"/>
                </a:ext>
                <a:ext uri="{FF2B5EF4-FFF2-40B4-BE49-F238E27FC236}">
                  <a16:creationId xmlns:a16="http://schemas.microsoft.com/office/drawing/2014/main" id="{00000000-0008-0000-0300-00002F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15</xdr:row>
          <xdr:rowOff>12700</xdr:rowOff>
        </xdr:from>
        <xdr:to>
          <xdr:col>75</xdr:col>
          <xdr:colOff>50800</xdr:colOff>
          <xdr:row>15</xdr:row>
          <xdr:rowOff>273050</xdr:rowOff>
        </xdr:to>
        <xdr:sp macro="" textlink="">
          <xdr:nvSpPr>
            <xdr:cNvPr id="8240" name="TaskCheck_BW16" hidden="1">
              <a:extLst>
                <a:ext uri="{63B3BB69-23CF-44E3-9099-C40C66FF867C}">
                  <a14:compatExt spid="_x0000_s8240"/>
                </a:ext>
                <a:ext uri="{FF2B5EF4-FFF2-40B4-BE49-F238E27FC236}">
                  <a16:creationId xmlns:a16="http://schemas.microsoft.com/office/drawing/2014/main" id="{00000000-0008-0000-0300-000030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18</xdr:row>
          <xdr:rowOff>12700</xdr:rowOff>
        </xdr:from>
        <xdr:to>
          <xdr:col>75</xdr:col>
          <xdr:colOff>50800</xdr:colOff>
          <xdr:row>18</xdr:row>
          <xdr:rowOff>273050</xdr:rowOff>
        </xdr:to>
        <xdr:sp macro="" textlink="">
          <xdr:nvSpPr>
            <xdr:cNvPr id="8241" name="TaskCheck_BW19" hidden="1">
              <a:extLst>
                <a:ext uri="{63B3BB69-23CF-44E3-9099-C40C66FF867C}">
                  <a14:compatExt spid="_x0000_s8241"/>
                </a:ext>
                <a:ext uri="{FF2B5EF4-FFF2-40B4-BE49-F238E27FC236}">
                  <a16:creationId xmlns:a16="http://schemas.microsoft.com/office/drawing/2014/main" id="{00000000-0008-0000-0300-000031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19</xdr:row>
          <xdr:rowOff>12700</xdr:rowOff>
        </xdr:from>
        <xdr:to>
          <xdr:col>75</xdr:col>
          <xdr:colOff>50800</xdr:colOff>
          <xdr:row>19</xdr:row>
          <xdr:rowOff>273050</xdr:rowOff>
        </xdr:to>
        <xdr:sp macro="" textlink="">
          <xdr:nvSpPr>
            <xdr:cNvPr id="8242" name="TaskCheck_BW20" hidden="1">
              <a:extLst>
                <a:ext uri="{63B3BB69-23CF-44E3-9099-C40C66FF867C}">
                  <a14:compatExt spid="_x0000_s8242"/>
                </a:ext>
                <a:ext uri="{FF2B5EF4-FFF2-40B4-BE49-F238E27FC236}">
                  <a16:creationId xmlns:a16="http://schemas.microsoft.com/office/drawing/2014/main" id="{00000000-0008-0000-0300-000032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20</xdr:row>
          <xdr:rowOff>12700</xdr:rowOff>
        </xdr:from>
        <xdr:to>
          <xdr:col>75</xdr:col>
          <xdr:colOff>50800</xdr:colOff>
          <xdr:row>20</xdr:row>
          <xdr:rowOff>273050</xdr:rowOff>
        </xdr:to>
        <xdr:sp macro="" textlink="">
          <xdr:nvSpPr>
            <xdr:cNvPr id="8243" name="TaskCheck_BW21" hidden="1">
              <a:extLst>
                <a:ext uri="{63B3BB69-23CF-44E3-9099-C40C66FF867C}">
                  <a14:compatExt spid="_x0000_s8243"/>
                </a:ext>
                <a:ext uri="{FF2B5EF4-FFF2-40B4-BE49-F238E27FC236}">
                  <a16:creationId xmlns:a16="http://schemas.microsoft.com/office/drawing/2014/main" id="{00000000-0008-0000-0300-000033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21</xdr:row>
          <xdr:rowOff>12700</xdr:rowOff>
        </xdr:from>
        <xdr:to>
          <xdr:col>75</xdr:col>
          <xdr:colOff>50800</xdr:colOff>
          <xdr:row>21</xdr:row>
          <xdr:rowOff>273050</xdr:rowOff>
        </xdr:to>
        <xdr:sp macro="" textlink="">
          <xdr:nvSpPr>
            <xdr:cNvPr id="8244" name="TaskCheck_BW22" hidden="1">
              <a:extLst>
                <a:ext uri="{63B3BB69-23CF-44E3-9099-C40C66FF867C}">
                  <a14:compatExt spid="_x0000_s8244"/>
                </a:ext>
                <a:ext uri="{FF2B5EF4-FFF2-40B4-BE49-F238E27FC236}">
                  <a16:creationId xmlns:a16="http://schemas.microsoft.com/office/drawing/2014/main" id="{00000000-0008-0000-0300-000034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22</xdr:row>
          <xdr:rowOff>12700</xdr:rowOff>
        </xdr:from>
        <xdr:to>
          <xdr:col>75</xdr:col>
          <xdr:colOff>50800</xdr:colOff>
          <xdr:row>22</xdr:row>
          <xdr:rowOff>273050</xdr:rowOff>
        </xdr:to>
        <xdr:sp macro="" textlink="">
          <xdr:nvSpPr>
            <xdr:cNvPr id="8245" name="TaskCheck_BW23" hidden="1">
              <a:extLst>
                <a:ext uri="{63B3BB69-23CF-44E3-9099-C40C66FF867C}">
                  <a14:compatExt spid="_x0000_s8245"/>
                </a:ext>
                <a:ext uri="{FF2B5EF4-FFF2-40B4-BE49-F238E27FC236}">
                  <a16:creationId xmlns:a16="http://schemas.microsoft.com/office/drawing/2014/main" id="{00000000-0008-0000-0300-000035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23</xdr:row>
          <xdr:rowOff>12700</xdr:rowOff>
        </xdr:from>
        <xdr:to>
          <xdr:col>75</xdr:col>
          <xdr:colOff>50800</xdr:colOff>
          <xdr:row>23</xdr:row>
          <xdr:rowOff>273050</xdr:rowOff>
        </xdr:to>
        <xdr:sp macro="" textlink="">
          <xdr:nvSpPr>
            <xdr:cNvPr id="8246" name="TaskCheck_BW24" hidden="1">
              <a:extLst>
                <a:ext uri="{63B3BB69-23CF-44E3-9099-C40C66FF867C}">
                  <a14:compatExt spid="_x0000_s8246"/>
                </a:ext>
                <a:ext uri="{FF2B5EF4-FFF2-40B4-BE49-F238E27FC236}">
                  <a16:creationId xmlns:a16="http://schemas.microsoft.com/office/drawing/2014/main" id="{00000000-0008-0000-0300-000036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24</xdr:row>
          <xdr:rowOff>12700</xdr:rowOff>
        </xdr:from>
        <xdr:to>
          <xdr:col>75</xdr:col>
          <xdr:colOff>50800</xdr:colOff>
          <xdr:row>24</xdr:row>
          <xdr:rowOff>273050</xdr:rowOff>
        </xdr:to>
        <xdr:sp macro="" textlink="">
          <xdr:nvSpPr>
            <xdr:cNvPr id="8247" name="TaskCheck_BW25" hidden="1">
              <a:extLst>
                <a:ext uri="{63B3BB69-23CF-44E3-9099-C40C66FF867C}">
                  <a14:compatExt spid="_x0000_s8247"/>
                </a:ext>
                <a:ext uri="{FF2B5EF4-FFF2-40B4-BE49-F238E27FC236}">
                  <a16:creationId xmlns:a16="http://schemas.microsoft.com/office/drawing/2014/main" id="{00000000-0008-0000-0300-000037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25</xdr:row>
          <xdr:rowOff>12700</xdr:rowOff>
        </xdr:from>
        <xdr:to>
          <xdr:col>75</xdr:col>
          <xdr:colOff>50800</xdr:colOff>
          <xdr:row>25</xdr:row>
          <xdr:rowOff>273050</xdr:rowOff>
        </xdr:to>
        <xdr:sp macro="" textlink="">
          <xdr:nvSpPr>
            <xdr:cNvPr id="8248" name="TaskCheck_BW26" hidden="1">
              <a:extLst>
                <a:ext uri="{63B3BB69-23CF-44E3-9099-C40C66FF867C}">
                  <a14:compatExt spid="_x0000_s8248"/>
                </a:ext>
                <a:ext uri="{FF2B5EF4-FFF2-40B4-BE49-F238E27FC236}">
                  <a16:creationId xmlns:a16="http://schemas.microsoft.com/office/drawing/2014/main" id="{00000000-0008-0000-0300-000038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26</xdr:row>
          <xdr:rowOff>12700</xdr:rowOff>
        </xdr:from>
        <xdr:to>
          <xdr:col>75</xdr:col>
          <xdr:colOff>50800</xdr:colOff>
          <xdr:row>26</xdr:row>
          <xdr:rowOff>273050</xdr:rowOff>
        </xdr:to>
        <xdr:sp macro="" textlink="">
          <xdr:nvSpPr>
            <xdr:cNvPr id="8249" name="TaskCheck_BW27" hidden="1">
              <a:extLst>
                <a:ext uri="{63B3BB69-23CF-44E3-9099-C40C66FF867C}">
                  <a14:compatExt spid="_x0000_s8249"/>
                </a:ext>
                <a:ext uri="{FF2B5EF4-FFF2-40B4-BE49-F238E27FC236}">
                  <a16:creationId xmlns:a16="http://schemas.microsoft.com/office/drawing/2014/main" id="{00000000-0008-0000-0300-000039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27</xdr:row>
          <xdr:rowOff>12700</xdr:rowOff>
        </xdr:from>
        <xdr:to>
          <xdr:col>75</xdr:col>
          <xdr:colOff>50800</xdr:colOff>
          <xdr:row>27</xdr:row>
          <xdr:rowOff>273050</xdr:rowOff>
        </xdr:to>
        <xdr:sp macro="" textlink="">
          <xdr:nvSpPr>
            <xdr:cNvPr id="8250" name="TaskCheck_BW28" hidden="1">
              <a:extLst>
                <a:ext uri="{63B3BB69-23CF-44E3-9099-C40C66FF867C}">
                  <a14:compatExt spid="_x0000_s8250"/>
                </a:ext>
                <a:ext uri="{FF2B5EF4-FFF2-40B4-BE49-F238E27FC236}">
                  <a16:creationId xmlns:a16="http://schemas.microsoft.com/office/drawing/2014/main" id="{00000000-0008-0000-0300-00003A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28</xdr:row>
          <xdr:rowOff>12700</xdr:rowOff>
        </xdr:from>
        <xdr:to>
          <xdr:col>75</xdr:col>
          <xdr:colOff>50800</xdr:colOff>
          <xdr:row>28</xdr:row>
          <xdr:rowOff>273050</xdr:rowOff>
        </xdr:to>
        <xdr:sp macro="" textlink="">
          <xdr:nvSpPr>
            <xdr:cNvPr id="8251" name="TaskCheck_BW29" hidden="1">
              <a:extLst>
                <a:ext uri="{63B3BB69-23CF-44E3-9099-C40C66FF867C}">
                  <a14:compatExt spid="_x0000_s8251"/>
                </a:ext>
                <a:ext uri="{FF2B5EF4-FFF2-40B4-BE49-F238E27FC236}">
                  <a16:creationId xmlns:a16="http://schemas.microsoft.com/office/drawing/2014/main" id="{00000000-0008-0000-0300-00003B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29</xdr:row>
          <xdr:rowOff>12700</xdr:rowOff>
        </xdr:from>
        <xdr:to>
          <xdr:col>75</xdr:col>
          <xdr:colOff>50800</xdr:colOff>
          <xdr:row>29</xdr:row>
          <xdr:rowOff>273050</xdr:rowOff>
        </xdr:to>
        <xdr:sp macro="" textlink="">
          <xdr:nvSpPr>
            <xdr:cNvPr id="8252" name="TaskCheck_BW30" hidden="1">
              <a:extLst>
                <a:ext uri="{63B3BB69-23CF-44E3-9099-C40C66FF867C}">
                  <a14:compatExt spid="_x0000_s8252"/>
                </a:ext>
                <a:ext uri="{FF2B5EF4-FFF2-40B4-BE49-F238E27FC236}">
                  <a16:creationId xmlns:a16="http://schemas.microsoft.com/office/drawing/2014/main" id="{00000000-0008-0000-0300-00003C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30</xdr:row>
          <xdr:rowOff>12700</xdr:rowOff>
        </xdr:from>
        <xdr:to>
          <xdr:col>75</xdr:col>
          <xdr:colOff>50800</xdr:colOff>
          <xdr:row>30</xdr:row>
          <xdr:rowOff>273050</xdr:rowOff>
        </xdr:to>
        <xdr:sp macro="" textlink="">
          <xdr:nvSpPr>
            <xdr:cNvPr id="8253" name="TaskCheck_BW31" hidden="1">
              <a:extLst>
                <a:ext uri="{63B3BB69-23CF-44E3-9099-C40C66FF867C}">
                  <a14:compatExt spid="_x0000_s8253"/>
                </a:ext>
                <a:ext uri="{FF2B5EF4-FFF2-40B4-BE49-F238E27FC236}">
                  <a16:creationId xmlns:a16="http://schemas.microsoft.com/office/drawing/2014/main" id="{00000000-0008-0000-0300-00003D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31</xdr:row>
          <xdr:rowOff>12700</xdr:rowOff>
        </xdr:from>
        <xdr:to>
          <xdr:col>75</xdr:col>
          <xdr:colOff>50800</xdr:colOff>
          <xdr:row>31</xdr:row>
          <xdr:rowOff>273050</xdr:rowOff>
        </xdr:to>
        <xdr:sp macro="" textlink="">
          <xdr:nvSpPr>
            <xdr:cNvPr id="8254" name="TaskCheck_BW32" hidden="1">
              <a:extLst>
                <a:ext uri="{63B3BB69-23CF-44E3-9099-C40C66FF867C}">
                  <a14:compatExt spid="_x0000_s8254"/>
                </a:ext>
                <a:ext uri="{FF2B5EF4-FFF2-40B4-BE49-F238E27FC236}">
                  <a16:creationId xmlns:a16="http://schemas.microsoft.com/office/drawing/2014/main" id="{00000000-0008-0000-0300-00003E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32</xdr:row>
          <xdr:rowOff>12700</xdr:rowOff>
        </xdr:from>
        <xdr:to>
          <xdr:col>75</xdr:col>
          <xdr:colOff>50800</xdr:colOff>
          <xdr:row>32</xdr:row>
          <xdr:rowOff>273050</xdr:rowOff>
        </xdr:to>
        <xdr:sp macro="" textlink="">
          <xdr:nvSpPr>
            <xdr:cNvPr id="8255" name="TaskCheck_BW33" hidden="1">
              <a:extLst>
                <a:ext uri="{63B3BB69-23CF-44E3-9099-C40C66FF867C}">
                  <a14:compatExt spid="_x0000_s8255"/>
                </a:ext>
                <a:ext uri="{FF2B5EF4-FFF2-40B4-BE49-F238E27FC236}">
                  <a16:creationId xmlns:a16="http://schemas.microsoft.com/office/drawing/2014/main" id="{00000000-0008-0000-0300-00003F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35</xdr:row>
          <xdr:rowOff>12700</xdr:rowOff>
        </xdr:from>
        <xdr:to>
          <xdr:col>75</xdr:col>
          <xdr:colOff>50800</xdr:colOff>
          <xdr:row>35</xdr:row>
          <xdr:rowOff>273050</xdr:rowOff>
        </xdr:to>
        <xdr:sp macro="" textlink="">
          <xdr:nvSpPr>
            <xdr:cNvPr id="8256" name="TaskCheck_BW36" hidden="1">
              <a:extLst>
                <a:ext uri="{63B3BB69-23CF-44E3-9099-C40C66FF867C}">
                  <a14:compatExt spid="_x0000_s8256"/>
                </a:ext>
                <a:ext uri="{FF2B5EF4-FFF2-40B4-BE49-F238E27FC236}">
                  <a16:creationId xmlns:a16="http://schemas.microsoft.com/office/drawing/2014/main" id="{00000000-0008-0000-0300-000040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36</xdr:row>
          <xdr:rowOff>12700</xdr:rowOff>
        </xdr:from>
        <xdr:to>
          <xdr:col>69</xdr:col>
          <xdr:colOff>50800</xdr:colOff>
          <xdr:row>36</xdr:row>
          <xdr:rowOff>273050</xdr:rowOff>
        </xdr:to>
        <xdr:sp macro="" textlink="">
          <xdr:nvSpPr>
            <xdr:cNvPr id="8257" name="TaskCheck_BQ37" hidden="1">
              <a:extLst>
                <a:ext uri="{63B3BB69-23CF-44E3-9099-C40C66FF867C}">
                  <a14:compatExt spid="_x0000_s8257"/>
                </a:ext>
                <a:ext uri="{FF2B5EF4-FFF2-40B4-BE49-F238E27FC236}">
                  <a16:creationId xmlns:a16="http://schemas.microsoft.com/office/drawing/2014/main" id="{00000000-0008-0000-0300-000041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36</xdr:row>
          <xdr:rowOff>12700</xdr:rowOff>
        </xdr:from>
        <xdr:to>
          <xdr:col>75</xdr:col>
          <xdr:colOff>50800</xdr:colOff>
          <xdr:row>36</xdr:row>
          <xdr:rowOff>273050</xdr:rowOff>
        </xdr:to>
        <xdr:sp macro="" textlink="">
          <xdr:nvSpPr>
            <xdr:cNvPr id="8258" name="TaskCheck_BW37" hidden="1">
              <a:extLst>
                <a:ext uri="{63B3BB69-23CF-44E3-9099-C40C66FF867C}">
                  <a14:compatExt spid="_x0000_s8258"/>
                </a:ext>
                <a:ext uri="{FF2B5EF4-FFF2-40B4-BE49-F238E27FC236}">
                  <a16:creationId xmlns:a16="http://schemas.microsoft.com/office/drawing/2014/main" id="{00000000-0008-0000-0300-000042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37</xdr:row>
          <xdr:rowOff>12700</xdr:rowOff>
        </xdr:from>
        <xdr:to>
          <xdr:col>69</xdr:col>
          <xdr:colOff>50800</xdr:colOff>
          <xdr:row>37</xdr:row>
          <xdr:rowOff>273050</xdr:rowOff>
        </xdr:to>
        <xdr:sp macro="" textlink="">
          <xdr:nvSpPr>
            <xdr:cNvPr id="8259" name="TaskCheck_BQ38" hidden="1">
              <a:extLst>
                <a:ext uri="{63B3BB69-23CF-44E3-9099-C40C66FF867C}">
                  <a14:compatExt spid="_x0000_s8259"/>
                </a:ext>
                <a:ext uri="{FF2B5EF4-FFF2-40B4-BE49-F238E27FC236}">
                  <a16:creationId xmlns:a16="http://schemas.microsoft.com/office/drawing/2014/main" id="{00000000-0008-0000-0300-000043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37</xdr:row>
          <xdr:rowOff>12700</xdr:rowOff>
        </xdr:from>
        <xdr:to>
          <xdr:col>75</xdr:col>
          <xdr:colOff>50800</xdr:colOff>
          <xdr:row>37</xdr:row>
          <xdr:rowOff>273050</xdr:rowOff>
        </xdr:to>
        <xdr:sp macro="" textlink="">
          <xdr:nvSpPr>
            <xdr:cNvPr id="8260" name="TaskCheck_BW38" hidden="1">
              <a:extLst>
                <a:ext uri="{63B3BB69-23CF-44E3-9099-C40C66FF867C}">
                  <a14:compatExt spid="_x0000_s8260"/>
                </a:ext>
                <a:ext uri="{FF2B5EF4-FFF2-40B4-BE49-F238E27FC236}">
                  <a16:creationId xmlns:a16="http://schemas.microsoft.com/office/drawing/2014/main" id="{00000000-0008-0000-0300-000044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38</xdr:row>
          <xdr:rowOff>12700</xdr:rowOff>
        </xdr:from>
        <xdr:to>
          <xdr:col>69</xdr:col>
          <xdr:colOff>50800</xdr:colOff>
          <xdr:row>38</xdr:row>
          <xdr:rowOff>273050</xdr:rowOff>
        </xdr:to>
        <xdr:sp macro="" textlink="">
          <xdr:nvSpPr>
            <xdr:cNvPr id="8261" name="TaskCheck_BQ39" hidden="1">
              <a:extLst>
                <a:ext uri="{63B3BB69-23CF-44E3-9099-C40C66FF867C}">
                  <a14:compatExt spid="_x0000_s8261"/>
                </a:ext>
                <a:ext uri="{FF2B5EF4-FFF2-40B4-BE49-F238E27FC236}">
                  <a16:creationId xmlns:a16="http://schemas.microsoft.com/office/drawing/2014/main" id="{00000000-0008-0000-0300-000045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38</xdr:row>
          <xdr:rowOff>12700</xdr:rowOff>
        </xdr:from>
        <xdr:to>
          <xdr:col>75</xdr:col>
          <xdr:colOff>50800</xdr:colOff>
          <xdr:row>38</xdr:row>
          <xdr:rowOff>273050</xdr:rowOff>
        </xdr:to>
        <xdr:sp macro="" textlink="">
          <xdr:nvSpPr>
            <xdr:cNvPr id="8262" name="TaskCheck_BW39" hidden="1">
              <a:extLst>
                <a:ext uri="{63B3BB69-23CF-44E3-9099-C40C66FF867C}">
                  <a14:compatExt spid="_x0000_s8262"/>
                </a:ext>
                <a:ext uri="{FF2B5EF4-FFF2-40B4-BE49-F238E27FC236}">
                  <a16:creationId xmlns:a16="http://schemas.microsoft.com/office/drawing/2014/main" id="{00000000-0008-0000-0300-000046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39</xdr:row>
          <xdr:rowOff>12700</xdr:rowOff>
        </xdr:from>
        <xdr:to>
          <xdr:col>69</xdr:col>
          <xdr:colOff>50800</xdr:colOff>
          <xdr:row>39</xdr:row>
          <xdr:rowOff>273050</xdr:rowOff>
        </xdr:to>
        <xdr:sp macro="" textlink="">
          <xdr:nvSpPr>
            <xdr:cNvPr id="8263" name="TaskCheck_BQ40" hidden="1">
              <a:extLst>
                <a:ext uri="{63B3BB69-23CF-44E3-9099-C40C66FF867C}">
                  <a14:compatExt spid="_x0000_s8263"/>
                </a:ext>
                <a:ext uri="{FF2B5EF4-FFF2-40B4-BE49-F238E27FC236}">
                  <a16:creationId xmlns:a16="http://schemas.microsoft.com/office/drawing/2014/main" id="{00000000-0008-0000-0300-000047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39</xdr:row>
          <xdr:rowOff>12700</xdr:rowOff>
        </xdr:from>
        <xdr:to>
          <xdr:col>75</xdr:col>
          <xdr:colOff>50800</xdr:colOff>
          <xdr:row>39</xdr:row>
          <xdr:rowOff>273050</xdr:rowOff>
        </xdr:to>
        <xdr:sp macro="" textlink="">
          <xdr:nvSpPr>
            <xdr:cNvPr id="8264" name="TaskCheck_BW40" hidden="1">
              <a:extLst>
                <a:ext uri="{63B3BB69-23CF-44E3-9099-C40C66FF867C}">
                  <a14:compatExt spid="_x0000_s8264"/>
                </a:ext>
                <a:ext uri="{FF2B5EF4-FFF2-40B4-BE49-F238E27FC236}">
                  <a16:creationId xmlns:a16="http://schemas.microsoft.com/office/drawing/2014/main" id="{00000000-0008-0000-0300-000048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40</xdr:row>
          <xdr:rowOff>12700</xdr:rowOff>
        </xdr:from>
        <xdr:to>
          <xdr:col>69</xdr:col>
          <xdr:colOff>50800</xdr:colOff>
          <xdr:row>40</xdr:row>
          <xdr:rowOff>273050</xdr:rowOff>
        </xdr:to>
        <xdr:sp macro="" textlink="">
          <xdr:nvSpPr>
            <xdr:cNvPr id="8265" name="TaskCheck_BQ41" hidden="1">
              <a:extLst>
                <a:ext uri="{63B3BB69-23CF-44E3-9099-C40C66FF867C}">
                  <a14:compatExt spid="_x0000_s8265"/>
                </a:ext>
                <a:ext uri="{FF2B5EF4-FFF2-40B4-BE49-F238E27FC236}">
                  <a16:creationId xmlns:a16="http://schemas.microsoft.com/office/drawing/2014/main" id="{00000000-0008-0000-0300-000049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40</xdr:row>
          <xdr:rowOff>12700</xdr:rowOff>
        </xdr:from>
        <xdr:to>
          <xdr:col>75</xdr:col>
          <xdr:colOff>50800</xdr:colOff>
          <xdr:row>40</xdr:row>
          <xdr:rowOff>273050</xdr:rowOff>
        </xdr:to>
        <xdr:sp macro="" textlink="">
          <xdr:nvSpPr>
            <xdr:cNvPr id="8266" name="TaskCheck_BW41" hidden="1">
              <a:extLst>
                <a:ext uri="{63B3BB69-23CF-44E3-9099-C40C66FF867C}">
                  <a14:compatExt spid="_x0000_s8266"/>
                </a:ext>
                <a:ext uri="{FF2B5EF4-FFF2-40B4-BE49-F238E27FC236}">
                  <a16:creationId xmlns:a16="http://schemas.microsoft.com/office/drawing/2014/main" id="{00000000-0008-0000-0300-00004A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41</xdr:row>
          <xdr:rowOff>12700</xdr:rowOff>
        </xdr:from>
        <xdr:to>
          <xdr:col>69</xdr:col>
          <xdr:colOff>50800</xdr:colOff>
          <xdr:row>41</xdr:row>
          <xdr:rowOff>273050</xdr:rowOff>
        </xdr:to>
        <xdr:sp macro="" textlink="">
          <xdr:nvSpPr>
            <xdr:cNvPr id="8267" name="TaskCheck_BQ42" hidden="1">
              <a:extLst>
                <a:ext uri="{63B3BB69-23CF-44E3-9099-C40C66FF867C}">
                  <a14:compatExt spid="_x0000_s8267"/>
                </a:ext>
                <a:ext uri="{FF2B5EF4-FFF2-40B4-BE49-F238E27FC236}">
                  <a16:creationId xmlns:a16="http://schemas.microsoft.com/office/drawing/2014/main" id="{00000000-0008-0000-0300-00004B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41</xdr:row>
          <xdr:rowOff>12700</xdr:rowOff>
        </xdr:from>
        <xdr:to>
          <xdr:col>75</xdr:col>
          <xdr:colOff>50800</xdr:colOff>
          <xdr:row>41</xdr:row>
          <xdr:rowOff>273050</xdr:rowOff>
        </xdr:to>
        <xdr:sp macro="" textlink="">
          <xdr:nvSpPr>
            <xdr:cNvPr id="8268" name="TaskCheck_BW42" hidden="1">
              <a:extLst>
                <a:ext uri="{63B3BB69-23CF-44E3-9099-C40C66FF867C}">
                  <a14:compatExt spid="_x0000_s8268"/>
                </a:ext>
                <a:ext uri="{FF2B5EF4-FFF2-40B4-BE49-F238E27FC236}">
                  <a16:creationId xmlns:a16="http://schemas.microsoft.com/office/drawing/2014/main" id="{00000000-0008-0000-0300-00004C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74</xdr:col>
          <xdr:colOff>19050</xdr:colOff>
          <xdr:row>2</xdr:row>
          <xdr:rowOff>12700</xdr:rowOff>
        </xdr:from>
        <xdr:to>
          <xdr:col>75</xdr:col>
          <xdr:colOff>50800</xdr:colOff>
          <xdr:row>2</xdr:row>
          <xdr:rowOff>273050</xdr:rowOff>
        </xdr:to>
        <xdr:sp macro="" textlink="">
          <xdr:nvSpPr>
            <xdr:cNvPr id="21523" name="TaskCheck_BW3" hidden="1">
              <a:extLst>
                <a:ext uri="{63B3BB69-23CF-44E3-9099-C40C66FF867C}">
                  <a14:compatExt spid="_x0000_s21523"/>
                </a:ext>
                <a:ext uri="{FF2B5EF4-FFF2-40B4-BE49-F238E27FC236}">
                  <a16:creationId xmlns:a16="http://schemas.microsoft.com/office/drawing/2014/main" id="{00000000-0008-0000-0400-000013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xdr:row>
          <xdr:rowOff>12700</xdr:rowOff>
        </xdr:from>
        <xdr:to>
          <xdr:col>75</xdr:col>
          <xdr:colOff>50800</xdr:colOff>
          <xdr:row>3</xdr:row>
          <xdr:rowOff>273050</xdr:rowOff>
        </xdr:to>
        <xdr:sp macro="" textlink="">
          <xdr:nvSpPr>
            <xdr:cNvPr id="21524" name="TaskCheck_BW4" hidden="1">
              <a:extLst>
                <a:ext uri="{63B3BB69-23CF-44E3-9099-C40C66FF867C}">
                  <a14:compatExt spid="_x0000_s21524"/>
                </a:ext>
                <a:ext uri="{FF2B5EF4-FFF2-40B4-BE49-F238E27FC236}">
                  <a16:creationId xmlns:a16="http://schemas.microsoft.com/office/drawing/2014/main" id="{00000000-0008-0000-0400-000014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4</xdr:row>
          <xdr:rowOff>12700</xdr:rowOff>
        </xdr:from>
        <xdr:to>
          <xdr:col>75</xdr:col>
          <xdr:colOff>50800</xdr:colOff>
          <xdr:row>4</xdr:row>
          <xdr:rowOff>273050</xdr:rowOff>
        </xdr:to>
        <xdr:sp macro="" textlink="">
          <xdr:nvSpPr>
            <xdr:cNvPr id="21525" name="TaskCheck_BW5" hidden="1">
              <a:extLst>
                <a:ext uri="{63B3BB69-23CF-44E3-9099-C40C66FF867C}">
                  <a14:compatExt spid="_x0000_s21525"/>
                </a:ext>
                <a:ext uri="{FF2B5EF4-FFF2-40B4-BE49-F238E27FC236}">
                  <a16:creationId xmlns:a16="http://schemas.microsoft.com/office/drawing/2014/main" id="{00000000-0008-0000-0400-000015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5</xdr:row>
          <xdr:rowOff>12700</xdr:rowOff>
        </xdr:from>
        <xdr:to>
          <xdr:col>75</xdr:col>
          <xdr:colOff>50800</xdr:colOff>
          <xdr:row>5</xdr:row>
          <xdr:rowOff>273050</xdr:rowOff>
        </xdr:to>
        <xdr:sp macro="" textlink="">
          <xdr:nvSpPr>
            <xdr:cNvPr id="21526" name="TaskCheck_BW6" hidden="1">
              <a:extLst>
                <a:ext uri="{63B3BB69-23CF-44E3-9099-C40C66FF867C}">
                  <a14:compatExt spid="_x0000_s21526"/>
                </a:ext>
                <a:ext uri="{FF2B5EF4-FFF2-40B4-BE49-F238E27FC236}">
                  <a16:creationId xmlns:a16="http://schemas.microsoft.com/office/drawing/2014/main" id="{00000000-0008-0000-0400-000016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6</xdr:row>
          <xdr:rowOff>12700</xdr:rowOff>
        </xdr:from>
        <xdr:to>
          <xdr:col>75</xdr:col>
          <xdr:colOff>50800</xdr:colOff>
          <xdr:row>6</xdr:row>
          <xdr:rowOff>273050</xdr:rowOff>
        </xdr:to>
        <xdr:sp macro="" textlink="">
          <xdr:nvSpPr>
            <xdr:cNvPr id="21527" name="TaskCheck_BW7" hidden="1">
              <a:extLst>
                <a:ext uri="{63B3BB69-23CF-44E3-9099-C40C66FF867C}">
                  <a14:compatExt spid="_x0000_s21527"/>
                </a:ext>
                <a:ext uri="{FF2B5EF4-FFF2-40B4-BE49-F238E27FC236}">
                  <a16:creationId xmlns:a16="http://schemas.microsoft.com/office/drawing/2014/main" id="{00000000-0008-0000-0400-000017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7</xdr:row>
          <xdr:rowOff>12700</xdr:rowOff>
        </xdr:from>
        <xdr:to>
          <xdr:col>75</xdr:col>
          <xdr:colOff>50800</xdr:colOff>
          <xdr:row>7</xdr:row>
          <xdr:rowOff>273050</xdr:rowOff>
        </xdr:to>
        <xdr:sp macro="" textlink="">
          <xdr:nvSpPr>
            <xdr:cNvPr id="21528" name="TaskCheck_BW8" hidden="1">
              <a:extLst>
                <a:ext uri="{63B3BB69-23CF-44E3-9099-C40C66FF867C}">
                  <a14:compatExt spid="_x0000_s21528"/>
                </a:ext>
                <a:ext uri="{FF2B5EF4-FFF2-40B4-BE49-F238E27FC236}">
                  <a16:creationId xmlns:a16="http://schemas.microsoft.com/office/drawing/2014/main" id="{00000000-0008-0000-0400-000018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8</xdr:row>
          <xdr:rowOff>12700</xdr:rowOff>
        </xdr:from>
        <xdr:to>
          <xdr:col>75</xdr:col>
          <xdr:colOff>50800</xdr:colOff>
          <xdr:row>8</xdr:row>
          <xdr:rowOff>273050</xdr:rowOff>
        </xdr:to>
        <xdr:sp macro="" textlink="">
          <xdr:nvSpPr>
            <xdr:cNvPr id="21529" name="TaskCheck_BW9" hidden="1">
              <a:extLst>
                <a:ext uri="{63B3BB69-23CF-44E3-9099-C40C66FF867C}">
                  <a14:compatExt spid="_x0000_s21529"/>
                </a:ext>
                <a:ext uri="{FF2B5EF4-FFF2-40B4-BE49-F238E27FC236}">
                  <a16:creationId xmlns:a16="http://schemas.microsoft.com/office/drawing/2014/main" id="{00000000-0008-0000-0400-000019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9</xdr:row>
          <xdr:rowOff>12700</xdr:rowOff>
        </xdr:from>
        <xdr:to>
          <xdr:col>75</xdr:col>
          <xdr:colOff>50800</xdr:colOff>
          <xdr:row>9</xdr:row>
          <xdr:rowOff>273050</xdr:rowOff>
        </xdr:to>
        <xdr:sp macro="" textlink="">
          <xdr:nvSpPr>
            <xdr:cNvPr id="21530" name="TaskCheck_BW10" hidden="1">
              <a:extLst>
                <a:ext uri="{63B3BB69-23CF-44E3-9099-C40C66FF867C}">
                  <a14:compatExt spid="_x0000_s21530"/>
                </a:ext>
                <a:ext uri="{FF2B5EF4-FFF2-40B4-BE49-F238E27FC236}">
                  <a16:creationId xmlns:a16="http://schemas.microsoft.com/office/drawing/2014/main" id="{00000000-0008-0000-0400-00001A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10</xdr:row>
          <xdr:rowOff>12700</xdr:rowOff>
        </xdr:from>
        <xdr:to>
          <xdr:col>75</xdr:col>
          <xdr:colOff>50800</xdr:colOff>
          <xdr:row>10</xdr:row>
          <xdr:rowOff>273050</xdr:rowOff>
        </xdr:to>
        <xdr:sp macro="" textlink="">
          <xdr:nvSpPr>
            <xdr:cNvPr id="21531" name="TaskCheck_BW11" hidden="1">
              <a:extLst>
                <a:ext uri="{63B3BB69-23CF-44E3-9099-C40C66FF867C}">
                  <a14:compatExt spid="_x0000_s21531"/>
                </a:ext>
                <a:ext uri="{FF2B5EF4-FFF2-40B4-BE49-F238E27FC236}">
                  <a16:creationId xmlns:a16="http://schemas.microsoft.com/office/drawing/2014/main" id="{00000000-0008-0000-0400-00001B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11</xdr:row>
          <xdr:rowOff>12700</xdr:rowOff>
        </xdr:from>
        <xdr:to>
          <xdr:col>75</xdr:col>
          <xdr:colOff>50800</xdr:colOff>
          <xdr:row>11</xdr:row>
          <xdr:rowOff>273050</xdr:rowOff>
        </xdr:to>
        <xdr:sp macro="" textlink="">
          <xdr:nvSpPr>
            <xdr:cNvPr id="21532" name="TaskCheck_BW12" hidden="1">
              <a:extLst>
                <a:ext uri="{63B3BB69-23CF-44E3-9099-C40C66FF867C}">
                  <a14:compatExt spid="_x0000_s21532"/>
                </a:ext>
                <a:ext uri="{FF2B5EF4-FFF2-40B4-BE49-F238E27FC236}">
                  <a16:creationId xmlns:a16="http://schemas.microsoft.com/office/drawing/2014/main" id="{00000000-0008-0000-0400-00001C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12</xdr:row>
          <xdr:rowOff>12700</xdr:rowOff>
        </xdr:from>
        <xdr:to>
          <xdr:col>75</xdr:col>
          <xdr:colOff>50800</xdr:colOff>
          <xdr:row>12</xdr:row>
          <xdr:rowOff>273050</xdr:rowOff>
        </xdr:to>
        <xdr:sp macro="" textlink="">
          <xdr:nvSpPr>
            <xdr:cNvPr id="21533" name="TaskCheck_BW13" hidden="1">
              <a:extLst>
                <a:ext uri="{63B3BB69-23CF-44E3-9099-C40C66FF867C}">
                  <a14:compatExt spid="_x0000_s21533"/>
                </a:ext>
                <a:ext uri="{FF2B5EF4-FFF2-40B4-BE49-F238E27FC236}">
                  <a16:creationId xmlns:a16="http://schemas.microsoft.com/office/drawing/2014/main" id="{00000000-0008-0000-0400-00001D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13</xdr:row>
          <xdr:rowOff>12700</xdr:rowOff>
        </xdr:from>
        <xdr:to>
          <xdr:col>75</xdr:col>
          <xdr:colOff>50800</xdr:colOff>
          <xdr:row>13</xdr:row>
          <xdr:rowOff>273050</xdr:rowOff>
        </xdr:to>
        <xdr:sp macro="" textlink="">
          <xdr:nvSpPr>
            <xdr:cNvPr id="21534" name="TaskCheck_BW14" hidden="1">
              <a:extLst>
                <a:ext uri="{63B3BB69-23CF-44E3-9099-C40C66FF867C}">
                  <a14:compatExt spid="_x0000_s21534"/>
                </a:ext>
                <a:ext uri="{FF2B5EF4-FFF2-40B4-BE49-F238E27FC236}">
                  <a16:creationId xmlns:a16="http://schemas.microsoft.com/office/drawing/2014/main" id="{00000000-0008-0000-0400-00001E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14</xdr:row>
          <xdr:rowOff>12700</xdr:rowOff>
        </xdr:from>
        <xdr:to>
          <xdr:col>75</xdr:col>
          <xdr:colOff>50800</xdr:colOff>
          <xdr:row>14</xdr:row>
          <xdr:rowOff>273050</xdr:rowOff>
        </xdr:to>
        <xdr:sp macro="" textlink="">
          <xdr:nvSpPr>
            <xdr:cNvPr id="21535" name="TaskCheck_BW15" hidden="1">
              <a:extLst>
                <a:ext uri="{63B3BB69-23CF-44E3-9099-C40C66FF867C}">
                  <a14:compatExt spid="_x0000_s21535"/>
                </a:ext>
                <a:ext uri="{FF2B5EF4-FFF2-40B4-BE49-F238E27FC236}">
                  <a16:creationId xmlns:a16="http://schemas.microsoft.com/office/drawing/2014/main" id="{00000000-0008-0000-0400-00001F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15</xdr:row>
          <xdr:rowOff>12700</xdr:rowOff>
        </xdr:from>
        <xdr:to>
          <xdr:col>75</xdr:col>
          <xdr:colOff>50800</xdr:colOff>
          <xdr:row>15</xdr:row>
          <xdr:rowOff>273050</xdr:rowOff>
        </xdr:to>
        <xdr:sp macro="" textlink="">
          <xdr:nvSpPr>
            <xdr:cNvPr id="21536" name="TaskCheck_BW16" hidden="1">
              <a:extLst>
                <a:ext uri="{63B3BB69-23CF-44E3-9099-C40C66FF867C}">
                  <a14:compatExt spid="_x0000_s21536"/>
                </a:ext>
                <a:ext uri="{FF2B5EF4-FFF2-40B4-BE49-F238E27FC236}">
                  <a16:creationId xmlns:a16="http://schemas.microsoft.com/office/drawing/2014/main" id="{00000000-0008-0000-0400-000020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18</xdr:row>
          <xdr:rowOff>12700</xdr:rowOff>
        </xdr:from>
        <xdr:to>
          <xdr:col>75</xdr:col>
          <xdr:colOff>50800</xdr:colOff>
          <xdr:row>18</xdr:row>
          <xdr:rowOff>273050</xdr:rowOff>
        </xdr:to>
        <xdr:sp macro="" textlink="">
          <xdr:nvSpPr>
            <xdr:cNvPr id="21537" name="TaskCheck_BW19" hidden="1">
              <a:extLst>
                <a:ext uri="{63B3BB69-23CF-44E3-9099-C40C66FF867C}">
                  <a14:compatExt spid="_x0000_s21537"/>
                </a:ext>
                <a:ext uri="{FF2B5EF4-FFF2-40B4-BE49-F238E27FC236}">
                  <a16:creationId xmlns:a16="http://schemas.microsoft.com/office/drawing/2014/main" id="{00000000-0008-0000-0400-000021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19</xdr:row>
          <xdr:rowOff>12700</xdr:rowOff>
        </xdr:from>
        <xdr:to>
          <xdr:col>75</xdr:col>
          <xdr:colOff>50800</xdr:colOff>
          <xdr:row>19</xdr:row>
          <xdr:rowOff>273050</xdr:rowOff>
        </xdr:to>
        <xdr:sp macro="" textlink="">
          <xdr:nvSpPr>
            <xdr:cNvPr id="21538" name="TaskCheck_BW20" hidden="1">
              <a:extLst>
                <a:ext uri="{63B3BB69-23CF-44E3-9099-C40C66FF867C}">
                  <a14:compatExt spid="_x0000_s21538"/>
                </a:ext>
                <a:ext uri="{FF2B5EF4-FFF2-40B4-BE49-F238E27FC236}">
                  <a16:creationId xmlns:a16="http://schemas.microsoft.com/office/drawing/2014/main" id="{00000000-0008-0000-0400-000022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20</xdr:row>
          <xdr:rowOff>12700</xdr:rowOff>
        </xdr:from>
        <xdr:to>
          <xdr:col>75</xdr:col>
          <xdr:colOff>50800</xdr:colOff>
          <xdr:row>20</xdr:row>
          <xdr:rowOff>273050</xdr:rowOff>
        </xdr:to>
        <xdr:sp macro="" textlink="">
          <xdr:nvSpPr>
            <xdr:cNvPr id="21539" name="TaskCheck_BW21" hidden="1">
              <a:extLst>
                <a:ext uri="{63B3BB69-23CF-44E3-9099-C40C66FF867C}">
                  <a14:compatExt spid="_x0000_s21539"/>
                </a:ext>
                <a:ext uri="{FF2B5EF4-FFF2-40B4-BE49-F238E27FC236}">
                  <a16:creationId xmlns:a16="http://schemas.microsoft.com/office/drawing/2014/main" id="{00000000-0008-0000-0400-000023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21</xdr:row>
          <xdr:rowOff>12700</xdr:rowOff>
        </xdr:from>
        <xdr:to>
          <xdr:col>75</xdr:col>
          <xdr:colOff>50800</xdr:colOff>
          <xdr:row>21</xdr:row>
          <xdr:rowOff>273050</xdr:rowOff>
        </xdr:to>
        <xdr:sp macro="" textlink="">
          <xdr:nvSpPr>
            <xdr:cNvPr id="21540" name="TaskCheck_BW22" hidden="1">
              <a:extLst>
                <a:ext uri="{63B3BB69-23CF-44E3-9099-C40C66FF867C}">
                  <a14:compatExt spid="_x0000_s21540"/>
                </a:ext>
                <a:ext uri="{FF2B5EF4-FFF2-40B4-BE49-F238E27FC236}">
                  <a16:creationId xmlns:a16="http://schemas.microsoft.com/office/drawing/2014/main" id="{00000000-0008-0000-0400-000024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22</xdr:row>
          <xdr:rowOff>12700</xdr:rowOff>
        </xdr:from>
        <xdr:to>
          <xdr:col>75</xdr:col>
          <xdr:colOff>50800</xdr:colOff>
          <xdr:row>22</xdr:row>
          <xdr:rowOff>273050</xdr:rowOff>
        </xdr:to>
        <xdr:sp macro="" textlink="">
          <xdr:nvSpPr>
            <xdr:cNvPr id="21541" name="TaskCheck_BW23" hidden="1">
              <a:extLst>
                <a:ext uri="{63B3BB69-23CF-44E3-9099-C40C66FF867C}">
                  <a14:compatExt spid="_x0000_s21541"/>
                </a:ext>
                <a:ext uri="{FF2B5EF4-FFF2-40B4-BE49-F238E27FC236}">
                  <a16:creationId xmlns:a16="http://schemas.microsoft.com/office/drawing/2014/main" id="{00000000-0008-0000-0400-000025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23</xdr:row>
          <xdr:rowOff>12700</xdr:rowOff>
        </xdr:from>
        <xdr:to>
          <xdr:col>75</xdr:col>
          <xdr:colOff>50800</xdr:colOff>
          <xdr:row>23</xdr:row>
          <xdr:rowOff>273050</xdr:rowOff>
        </xdr:to>
        <xdr:sp macro="" textlink="">
          <xdr:nvSpPr>
            <xdr:cNvPr id="21542" name="TaskCheck_BW24" hidden="1">
              <a:extLst>
                <a:ext uri="{63B3BB69-23CF-44E3-9099-C40C66FF867C}">
                  <a14:compatExt spid="_x0000_s21542"/>
                </a:ext>
                <a:ext uri="{FF2B5EF4-FFF2-40B4-BE49-F238E27FC236}">
                  <a16:creationId xmlns:a16="http://schemas.microsoft.com/office/drawing/2014/main" id="{00000000-0008-0000-0400-000026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24</xdr:row>
          <xdr:rowOff>12700</xdr:rowOff>
        </xdr:from>
        <xdr:to>
          <xdr:col>75</xdr:col>
          <xdr:colOff>50800</xdr:colOff>
          <xdr:row>24</xdr:row>
          <xdr:rowOff>273050</xdr:rowOff>
        </xdr:to>
        <xdr:sp macro="" textlink="">
          <xdr:nvSpPr>
            <xdr:cNvPr id="21543" name="TaskCheck_BW25" hidden="1">
              <a:extLst>
                <a:ext uri="{63B3BB69-23CF-44E3-9099-C40C66FF867C}">
                  <a14:compatExt spid="_x0000_s21543"/>
                </a:ext>
                <a:ext uri="{FF2B5EF4-FFF2-40B4-BE49-F238E27FC236}">
                  <a16:creationId xmlns:a16="http://schemas.microsoft.com/office/drawing/2014/main" id="{00000000-0008-0000-0400-000027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25</xdr:row>
          <xdr:rowOff>12700</xdr:rowOff>
        </xdr:from>
        <xdr:to>
          <xdr:col>75</xdr:col>
          <xdr:colOff>50800</xdr:colOff>
          <xdr:row>25</xdr:row>
          <xdr:rowOff>273050</xdr:rowOff>
        </xdr:to>
        <xdr:sp macro="" textlink="">
          <xdr:nvSpPr>
            <xdr:cNvPr id="21544" name="TaskCheck_BW26" hidden="1">
              <a:extLst>
                <a:ext uri="{63B3BB69-23CF-44E3-9099-C40C66FF867C}">
                  <a14:compatExt spid="_x0000_s21544"/>
                </a:ext>
                <a:ext uri="{FF2B5EF4-FFF2-40B4-BE49-F238E27FC236}">
                  <a16:creationId xmlns:a16="http://schemas.microsoft.com/office/drawing/2014/main" id="{00000000-0008-0000-0400-000028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26</xdr:row>
          <xdr:rowOff>12700</xdr:rowOff>
        </xdr:from>
        <xdr:to>
          <xdr:col>75</xdr:col>
          <xdr:colOff>50800</xdr:colOff>
          <xdr:row>26</xdr:row>
          <xdr:rowOff>273050</xdr:rowOff>
        </xdr:to>
        <xdr:sp macro="" textlink="">
          <xdr:nvSpPr>
            <xdr:cNvPr id="21545" name="TaskCheck_BW27" hidden="1">
              <a:extLst>
                <a:ext uri="{63B3BB69-23CF-44E3-9099-C40C66FF867C}">
                  <a14:compatExt spid="_x0000_s21545"/>
                </a:ext>
                <a:ext uri="{FF2B5EF4-FFF2-40B4-BE49-F238E27FC236}">
                  <a16:creationId xmlns:a16="http://schemas.microsoft.com/office/drawing/2014/main" id="{00000000-0008-0000-0400-000029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27</xdr:row>
          <xdr:rowOff>12700</xdr:rowOff>
        </xdr:from>
        <xdr:to>
          <xdr:col>75</xdr:col>
          <xdr:colOff>50800</xdr:colOff>
          <xdr:row>27</xdr:row>
          <xdr:rowOff>273050</xdr:rowOff>
        </xdr:to>
        <xdr:sp macro="" textlink="">
          <xdr:nvSpPr>
            <xdr:cNvPr id="21546" name="TaskCheck_BW28" hidden="1">
              <a:extLst>
                <a:ext uri="{63B3BB69-23CF-44E3-9099-C40C66FF867C}">
                  <a14:compatExt spid="_x0000_s21546"/>
                </a:ext>
                <a:ext uri="{FF2B5EF4-FFF2-40B4-BE49-F238E27FC236}">
                  <a16:creationId xmlns:a16="http://schemas.microsoft.com/office/drawing/2014/main" id="{00000000-0008-0000-0400-00002A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28</xdr:row>
          <xdr:rowOff>12700</xdr:rowOff>
        </xdr:from>
        <xdr:to>
          <xdr:col>75</xdr:col>
          <xdr:colOff>50800</xdr:colOff>
          <xdr:row>28</xdr:row>
          <xdr:rowOff>273050</xdr:rowOff>
        </xdr:to>
        <xdr:sp macro="" textlink="">
          <xdr:nvSpPr>
            <xdr:cNvPr id="21547" name="TaskCheck_BW29" hidden="1">
              <a:extLst>
                <a:ext uri="{63B3BB69-23CF-44E3-9099-C40C66FF867C}">
                  <a14:compatExt spid="_x0000_s21547"/>
                </a:ext>
                <a:ext uri="{FF2B5EF4-FFF2-40B4-BE49-F238E27FC236}">
                  <a16:creationId xmlns:a16="http://schemas.microsoft.com/office/drawing/2014/main" id="{00000000-0008-0000-0400-00002B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29</xdr:row>
          <xdr:rowOff>12700</xdr:rowOff>
        </xdr:from>
        <xdr:to>
          <xdr:col>75</xdr:col>
          <xdr:colOff>50800</xdr:colOff>
          <xdr:row>29</xdr:row>
          <xdr:rowOff>273050</xdr:rowOff>
        </xdr:to>
        <xdr:sp macro="" textlink="">
          <xdr:nvSpPr>
            <xdr:cNvPr id="21548" name="TaskCheck_BW30" hidden="1">
              <a:extLst>
                <a:ext uri="{63B3BB69-23CF-44E3-9099-C40C66FF867C}">
                  <a14:compatExt spid="_x0000_s21548"/>
                </a:ext>
                <a:ext uri="{FF2B5EF4-FFF2-40B4-BE49-F238E27FC236}">
                  <a16:creationId xmlns:a16="http://schemas.microsoft.com/office/drawing/2014/main" id="{00000000-0008-0000-0400-00002C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30</xdr:row>
          <xdr:rowOff>12700</xdr:rowOff>
        </xdr:from>
        <xdr:to>
          <xdr:col>75</xdr:col>
          <xdr:colOff>50800</xdr:colOff>
          <xdr:row>30</xdr:row>
          <xdr:rowOff>273050</xdr:rowOff>
        </xdr:to>
        <xdr:sp macro="" textlink="">
          <xdr:nvSpPr>
            <xdr:cNvPr id="21549" name="TaskCheck_BW31" hidden="1">
              <a:extLst>
                <a:ext uri="{63B3BB69-23CF-44E3-9099-C40C66FF867C}">
                  <a14:compatExt spid="_x0000_s21549"/>
                </a:ext>
                <a:ext uri="{FF2B5EF4-FFF2-40B4-BE49-F238E27FC236}">
                  <a16:creationId xmlns:a16="http://schemas.microsoft.com/office/drawing/2014/main" id="{00000000-0008-0000-0400-00002D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31</xdr:row>
          <xdr:rowOff>12700</xdr:rowOff>
        </xdr:from>
        <xdr:to>
          <xdr:col>75</xdr:col>
          <xdr:colOff>50800</xdr:colOff>
          <xdr:row>31</xdr:row>
          <xdr:rowOff>273050</xdr:rowOff>
        </xdr:to>
        <xdr:sp macro="" textlink="">
          <xdr:nvSpPr>
            <xdr:cNvPr id="21550" name="TaskCheck_BW32" hidden="1">
              <a:extLst>
                <a:ext uri="{63B3BB69-23CF-44E3-9099-C40C66FF867C}">
                  <a14:compatExt spid="_x0000_s21550"/>
                </a:ext>
                <a:ext uri="{FF2B5EF4-FFF2-40B4-BE49-F238E27FC236}">
                  <a16:creationId xmlns:a16="http://schemas.microsoft.com/office/drawing/2014/main" id="{00000000-0008-0000-0400-00002E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32</xdr:row>
          <xdr:rowOff>12700</xdr:rowOff>
        </xdr:from>
        <xdr:to>
          <xdr:col>75</xdr:col>
          <xdr:colOff>50800</xdr:colOff>
          <xdr:row>32</xdr:row>
          <xdr:rowOff>273050</xdr:rowOff>
        </xdr:to>
        <xdr:sp macro="" textlink="">
          <xdr:nvSpPr>
            <xdr:cNvPr id="21551" name="TaskCheck_BW33" hidden="1">
              <a:extLst>
                <a:ext uri="{63B3BB69-23CF-44E3-9099-C40C66FF867C}">
                  <a14:compatExt spid="_x0000_s21551"/>
                </a:ext>
                <a:ext uri="{FF2B5EF4-FFF2-40B4-BE49-F238E27FC236}">
                  <a16:creationId xmlns:a16="http://schemas.microsoft.com/office/drawing/2014/main" id="{00000000-0008-0000-0400-00002F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35</xdr:row>
          <xdr:rowOff>12700</xdr:rowOff>
        </xdr:from>
        <xdr:to>
          <xdr:col>75</xdr:col>
          <xdr:colOff>50800</xdr:colOff>
          <xdr:row>35</xdr:row>
          <xdr:rowOff>273050</xdr:rowOff>
        </xdr:to>
        <xdr:sp macro="" textlink="">
          <xdr:nvSpPr>
            <xdr:cNvPr id="21552" name="TaskCheck_BW36" hidden="1">
              <a:extLst>
                <a:ext uri="{63B3BB69-23CF-44E3-9099-C40C66FF867C}">
                  <a14:compatExt spid="_x0000_s21552"/>
                </a:ext>
                <a:ext uri="{FF2B5EF4-FFF2-40B4-BE49-F238E27FC236}">
                  <a16:creationId xmlns:a16="http://schemas.microsoft.com/office/drawing/2014/main" id="{00000000-0008-0000-0400-000030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36</xdr:row>
          <xdr:rowOff>12700</xdr:rowOff>
        </xdr:from>
        <xdr:to>
          <xdr:col>69</xdr:col>
          <xdr:colOff>50800</xdr:colOff>
          <xdr:row>36</xdr:row>
          <xdr:rowOff>273050</xdr:rowOff>
        </xdr:to>
        <xdr:sp macro="" textlink="">
          <xdr:nvSpPr>
            <xdr:cNvPr id="21553" name="TaskCheck_BQ37" hidden="1">
              <a:extLst>
                <a:ext uri="{63B3BB69-23CF-44E3-9099-C40C66FF867C}">
                  <a14:compatExt spid="_x0000_s21553"/>
                </a:ext>
                <a:ext uri="{FF2B5EF4-FFF2-40B4-BE49-F238E27FC236}">
                  <a16:creationId xmlns:a16="http://schemas.microsoft.com/office/drawing/2014/main" id="{00000000-0008-0000-0400-000031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36</xdr:row>
          <xdr:rowOff>12700</xdr:rowOff>
        </xdr:from>
        <xdr:to>
          <xdr:col>75</xdr:col>
          <xdr:colOff>50800</xdr:colOff>
          <xdr:row>36</xdr:row>
          <xdr:rowOff>273050</xdr:rowOff>
        </xdr:to>
        <xdr:sp macro="" textlink="">
          <xdr:nvSpPr>
            <xdr:cNvPr id="21554" name="TaskCheck_BW37" hidden="1">
              <a:extLst>
                <a:ext uri="{63B3BB69-23CF-44E3-9099-C40C66FF867C}">
                  <a14:compatExt spid="_x0000_s21554"/>
                </a:ext>
                <a:ext uri="{FF2B5EF4-FFF2-40B4-BE49-F238E27FC236}">
                  <a16:creationId xmlns:a16="http://schemas.microsoft.com/office/drawing/2014/main" id="{00000000-0008-0000-0400-000032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37</xdr:row>
          <xdr:rowOff>12700</xdr:rowOff>
        </xdr:from>
        <xdr:to>
          <xdr:col>69</xdr:col>
          <xdr:colOff>50800</xdr:colOff>
          <xdr:row>37</xdr:row>
          <xdr:rowOff>273050</xdr:rowOff>
        </xdr:to>
        <xdr:sp macro="" textlink="">
          <xdr:nvSpPr>
            <xdr:cNvPr id="21555" name="TaskCheck_BQ38" hidden="1">
              <a:extLst>
                <a:ext uri="{63B3BB69-23CF-44E3-9099-C40C66FF867C}">
                  <a14:compatExt spid="_x0000_s21555"/>
                </a:ext>
                <a:ext uri="{FF2B5EF4-FFF2-40B4-BE49-F238E27FC236}">
                  <a16:creationId xmlns:a16="http://schemas.microsoft.com/office/drawing/2014/main" id="{00000000-0008-0000-0400-000033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37</xdr:row>
          <xdr:rowOff>12700</xdr:rowOff>
        </xdr:from>
        <xdr:to>
          <xdr:col>75</xdr:col>
          <xdr:colOff>50800</xdr:colOff>
          <xdr:row>37</xdr:row>
          <xdr:rowOff>273050</xdr:rowOff>
        </xdr:to>
        <xdr:sp macro="" textlink="">
          <xdr:nvSpPr>
            <xdr:cNvPr id="21556" name="TaskCheck_BW38" hidden="1">
              <a:extLst>
                <a:ext uri="{63B3BB69-23CF-44E3-9099-C40C66FF867C}">
                  <a14:compatExt spid="_x0000_s21556"/>
                </a:ext>
                <a:ext uri="{FF2B5EF4-FFF2-40B4-BE49-F238E27FC236}">
                  <a16:creationId xmlns:a16="http://schemas.microsoft.com/office/drawing/2014/main" id="{00000000-0008-0000-0400-000034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38</xdr:row>
          <xdr:rowOff>12700</xdr:rowOff>
        </xdr:from>
        <xdr:to>
          <xdr:col>69</xdr:col>
          <xdr:colOff>50800</xdr:colOff>
          <xdr:row>38</xdr:row>
          <xdr:rowOff>273050</xdr:rowOff>
        </xdr:to>
        <xdr:sp macro="" textlink="">
          <xdr:nvSpPr>
            <xdr:cNvPr id="21557" name="TaskCheck_BQ39" hidden="1">
              <a:extLst>
                <a:ext uri="{63B3BB69-23CF-44E3-9099-C40C66FF867C}">
                  <a14:compatExt spid="_x0000_s21557"/>
                </a:ext>
                <a:ext uri="{FF2B5EF4-FFF2-40B4-BE49-F238E27FC236}">
                  <a16:creationId xmlns:a16="http://schemas.microsoft.com/office/drawing/2014/main" id="{00000000-0008-0000-0400-000035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38</xdr:row>
          <xdr:rowOff>12700</xdr:rowOff>
        </xdr:from>
        <xdr:to>
          <xdr:col>75</xdr:col>
          <xdr:colOff>50800</xdr:colOff>
          <xdr:row>38</xdr:row>
          <xdr:rowOff>273050</xdr:rowOff>
        </xdr:to>
        <xdr:sp macro="" textlink="">
          <xdr:nvSpPr>
            <xdr:cNvPr id="21558" name="TaskCheck_BW39" hidden="1">
              <a:extLst>
                <a:ext uri="{63B3BB69-23CF-44E3-9099-C40C66FF867C}">
                  <a14:compatExt spid="_x0000_s21558"/>
                </a:ext>
                <a:ext uri="{FF2B5EF4-FFF2-40B4-BE49-F238E27FC236}">
                  <a16:creationId xmlns:a16="http://schemas.microsoft.com/office/drawing/2014/main" id="{00000000-0008-0000-0400-000036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39</xdr:row>
          <xdr:rowOff>12700</xdr:rowOff>
        </xdr:from>
        <xdr:to>
          <xdr:col>69</xdr:col>
          <xdr:colOff>50800</xdr:colOff>
          <xdr:row>39</xdr:row>
          <xdr:rowOff>273050</xdr:rowOff>
        </xdr:to>
        <xdr:sp macro="" textlink="">
          <xdr:nvSpPr>
            <xdr:cNvPr id="21559" name="TaskCheck_BQ40" hidden="1">
              <a:extLst>
                <a:ext uri="{63B3BB69-23CF-44E3-9099-C40C66FF867C}">
                  <a14:compatExt spid="_x0000_s21559"/>
                </a:ext>
                <a:ext uri="{FF2B5EF4-FFF2-40B4-BE49-F238E27FC236}">
                  <a16:creationId xmlns:a16="http://schemas.microsoft.com/office/drawing/2014/main" id="{00000000-0008-0000-0400-000037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39</xdr:row>
          <xdr:rowOff>12700</xdr:rowOff>
        </xdr:from>
        <xdr:to>
          <xdr:col>75</xdr:col>
          <xdr:colOff>50800</xdr:colOff>
          <xdr:row>39</xdr:row>
          <xdr:rowOff>273050</xdr:rowOff>
        </xdr:to>
        <xdr:sp macro="" textlink="">
          <xdr:nvSpPr>
            <xdr:cNvPr id="21560" name="TaskCheck_BW40" hidden="1">
              <a:extLst>
                <a:ext uri="{63B3BB69-23CF-44E3-9099-C40C66FF867C}">
                  <a14:compatExt spid="_x0000_s21560"/>
                </a:ext>
                <a:ext uri="{FF2B5EF4-FFF2-40B4-BE49-F238E27FC236}">
                  <a16:creationId xmlns:a16="http://schemas.microsoft.com/office/drawing/2014/main" id="{00000000-0008-0000-0400-000038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40</xdr:row>
          <xdr:rowOff>12700</xdr:rowOff>
        </xdr:from>
        <xdr:to>
          <xdr:col>69</xdr:col>
          <xdr:colOff>50800</xdr:colOff>
          <xdr:row>40</xdr:row>
          <xdr:rowOff>273050</xdr:rowOff>
        </xdr:to>
        <xdr:sp macro="" textlink="">
          <xdr:nvSpPr>
            <xdr:cNvPr id="21561" name="TaskCheck_BQ41" hidden="1">
              <a:extLst>
                <a:ext uri="{63B3BB69-23CF-44E3-9099-C40C66FF867C}">
                  <a14:compatExt spid="_x0000_s21561"/>
                </a:ext>
                <a:ext uri="{FF2B5EF4-FFF2-40B4-BE49-F238E27FC236}">
                  <a16:creationId xmlns:a16="http://schemas.microsoft.com/office/drawing/2014/main" id="{00000000-0008-0000-0400-000039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40</xdr:row>
          <xdr:rowOff>12700</xdr:rowOff>
        </xdr:from>
        <xdr:to>
          <xdr:col>75</xdr:col>
          <xdr:colOff>50800</xdr:colOff>
          <xdr:row>40</xdr:row>
          <xdr:rowOff>273050</xdr:rowOff>
        </xdr:to>
        <xdr:sp macro="" textlink="">
          <xdr:nvSpPr>
            <xdr:cNvPr id="21562" name="TaskCheck_BW41" hidden="1">
              <a:extLst>
                <a:ext uri="{63B3BB69-23CF-44E3-9099-C40C66FF867C}">
                  <a14:compatExt spid="_x0000_s21562"/>
                </a:ext>
                <a:ext uri="{FF2B5EF4-FFF2-40B4-BE49-F238E27FC236}">
                  <a16:creationId xmlns:a16="http://schemas.microsoft.com/office/drawing/2014/main" id="{00000000-0008-0000-0400-00003A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41</xdr:row>
          <xdr:rowOff>12700</xdr:rowOff>
        </xdr:from>
        <xdr:to>
          <xdr:col>69</xdr:col>
          <xdr:colOff>50800</xdr:colOff>
          <xdr:row>41</xdr:row>
          <xdr:rowOff>273050</xdr:rowOff>
        </xdr:to>
        <xdr:sp macro="" textlink="">
          <xdr:nvSpPr>
            <xdr:cNvPr id="21563" name="TaskCheck_BQ42" hidden="1">
              <a:extLst>
                <a:ext uri="{63B3BB69-23CF-44E3-9099-C40C66FF867C}">
                  <a14:compatExt spid="_x0000_s21563"/>
                </a:ext>
                <a:ext uri="{FF2B5EF4-FFF2-40B4-BE49-F238E27FC236}">
                  <a16:creationId xmlns:a16="http://schemas.microsoft.com/office/drawing/2014/main" id="{00000000-0008-0000-0400-00003B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41</xdr:row>
          <xdr:rowOff>12700</xdr:rowOff>
        </xdr:from>
        <xdr:to>
          <xdr:col>75</xdr:col>
          <xdr:colOff>50800</xdr:colOff>
          <xdr:row>41</xdr:row>
          <xdr:rowOff>273050</xdr:rowOff>
        </xdr:to>
        <xdr:sp macro="" textlink="">
          <xdr:nvSpPr>
            <xdr:cNvPr id="21564" name="TaskCheck_BW42" hidden="1">
              <a:extLst>
                <a:ext uri="{63B3BB69-23CF-44E3-9099-C40C66FF867C}">
                  <a14:compatExt spid="_x0000_s21564"/>
                </a:ext>
                <a:ext uri="{FF2B5EF4-FFF2-40B4-BE49-F238E27FC236}">
                  <a16:creationId xmlns:a16="http://schemas.microsoft.com/office/drawing/2014/main" id="{00000000-0008-0000-0400-00003C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74</xdr:col>
          <xdr:colOff>19050</xdr:colOff>
          <xdr:row>2</xdr:row>
          <xdr:rowOff>12700</xdr:rowOff>
        </xdr:from>
        <xdr:to>
          <xdr:col>75</xdr:col>
          <xdr:colOff>50800</xdr:colOff>
          <xdr:row>2</xdr:row>
          <xdr:rowOff>273050</xdr:rowOff>
        </xdr:to>
        <xdr:sp macro="" textlink="">
          <xdr:nvSpPr>
            <xdr:cNvPr id="36889" name="TaskCheck_BW3" hidden="1">
              <a:extLst>
                <a:ext uri="{63B3BB69-23CF-44E3-9099-C40C66FF867C}">
                  <a14:compatExt spid="_x0000_s36889"/>
                </a:ext>
                <a:ext uri="{FF2B5EF4-FFF2-40B4-BE49-F238E27FC236}">
                  <a16:creationId xmlns:a16="http://schemas.microsoft.com/office/drawing/2014/main" id="{00000000-0008-0000-0500-000019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xdr:row>
          <xdr:rowOff>12700</xdr:rowOff>
        </xdr:from>
        <xdr:to>
          <xdr:col>75</xdr:col>
          <xdr:colOff>50800</xdr:colOff>
          <xdr:row>3</xdr:row>
          <xdr:rowOff>273050</xdr:rowOff>
        </xdr:to>
        <xdr:sp macro="" textlink="">
          <xdr:nvSpPr>
            <xdr:cNvPr id="36890" name="TaskCheck_BW4" hidden="1">
              <a:extLst>
                <a:ext uri="{63B3BB69-23CF-44E3-9099-C40C66FF867C}">
                  <a14:compatExt spid="_x0000_s36890"/>
                </a:ext>
                <a:ext uri="{FF2B5EF4-FFF2-40B4-BE49-F238E27FC236}">
                  <a16:creationId xmlns:a16="http://schemas.microsoft.com/office/drawing/2014/main" id="{00000000-0008-0000-0500-00001A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4</xdr:row>
          <xdr:rowOff>12700</xdr:rowOff>
        </xdr:from>
        <xdr:to>
          <xdr:col>75</xdr:col>
          <xdr:colOff>50800</xdr:colOff>
          <xdr:row>4</xdr:row>
          <xdr:rowOff>273050</xdr:rowOff>
        </xdr:to>
        <xdr:sp macro="" textlink="">
          <xdr:nvSpPr>
            <xdr:cNvPr id="36891" name="TaskCheck_BW5" hidden="1">
              <a:extLst>
                <a:ext uri="{63B3BB69-23CF-44E3-9099-C40C66FF867C}">
                  <a14:compatExt spid="_x0000_s36891"/>
                </a:ext>
                <a:ext uri="{FF2B5EF4-FFF2-40B4-BE49-F238E27FC236}">
                  <a16:creationId xmlns:a16="http://schemas.microsoft.com/office/drawing/2014/main" id="{00000000-0008-0000-0500-00001B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5</xdr:row>
          <xdr:rowOff>12700</xdr:rowOff>
        </xdr:from>
        <xdr:to>
          <xdr:col>75</xdr:col>
          <xdr:colOff>50800</xdr:colOff>
          <xdr:row>5</xdr:row>
          <xdr:rowOff>273050</xdr:rowOff>
        </xdr:to>
        <xdr:sp macro="" textlink="">
          <xdr:nvSpPr>
            <xdr:cNvPr id="36892" name="TaskCheck_BW6" hidden="1">
              <a:extLst>
                <a:ext uri="{63B3BB69-23CF-44E3-9099-C40C66FF867C}">
                  <a14:compatExt spid="_x0000_s36892"/>
                </a:ext>
                <a:ext uri="{FF2B5EF4-FFF2-40B4-BE49-F238E27FC236}">
                  <a16:creationId xmlns:a16="http://schemas.microsoft.com/office/drawing/2014/main" id="{00000000-0008-0000-0500-00001C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6</xdr:row>
          <xdr:rowOff>12700</xdr:rowOff>
        </xdr:from>
        <xdr:to>
          <xdr:col>75</xdr:col>
          <xdr:colOff>50800</xdr:colOff>
          <xdr:row>6</xdr:row>
          <xdr:rowOff>273050</xdr:rowOff>
        </xdr:to>
        <xdr:sp macro="" textlink="">
          <xdr:nvSpPr>
            <xdr:cNvPr id="36893" name="TaskCheck_BW7" hidden="1">
              <a:extLst>
                <a:ext uri="{63B3BB69-23CF-44E3-9099-C40C66FF867C}">
                  <a14:compatExt spid="_x0000_s36893"/>
                </a:ext>
                <a:ext uri="{FF2B5EF4-FFF2-40B4-BE49-F238E27FC236}">
                  <a16:creationId xmlns:a16="http://schemas.microsoft.com/office/drawing/2014/main" id="{00000000-0008-0000-0500-00001D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7</xdr:row>
          <xdr:rowOff>12700</xdr:rowOff>
        </xdr:from>
        <xdr:to>
          <xdr:col>75</xdr:col>
          <xdr:colOff>50800</xdr:colOff>
          <xdr:row>7</xdr:row>
          <xdr:rowOff>273050</xdr:rowOff>
        </xdr:to>
        <xdr:sp macro="" textlink="">
          <xdr:nvSpPr>
            <xdr:cNvPr id="36894" name="TaskCheck_BW8" hidden="1">
              <a:extLst>
                <a:ext uri="{63B3BB69-23CF-44E3-9099-C40C66FF867C}">
                  <a14:compatExt spid="_x0000_s36894"/>
                </a:ext>
                <a:ext uri="{FF2B5EF4-FFF2-40B4-BE49-F238E27FC236}">
                  <a16:creationId xmlns:a16="http://schemas.microsoft.com/office/drawing/2014/main" id="{00000000-0008-0000-0500-00001E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8</xdr:row>
          <xdr:rowOff>12700</xdr:rowOff>
        </xdr:from>
        <xdr:to>
          <xdr:col>75</xdr:col>
          <xdr:colOff>50800</xdr:colOff>
          <xdr:row>8</xdr:row>
          <xdr:rowOff>273050</xdr:rowOff>
        </xdr:to>
        <xdr:sp macro="" textlink="">
          <xdr:nvSpPr>
            <xdr:cNvPr id="36895" name="TaskCheck_BW9" hidden="1">
              <a:extLst>
                <a:ext uri="{63B3BB69-23CF-44E3-9099-C40C66FF867C}">
                  <a14:compatExt spid="_x0000_s36895"/>
                </a:ext>
                <a:ext uri="{FF2B5EF4-FFF2-40B4-BE49-F238E27FC236}">
                  <a16:creationId xmlns:a16="http://schemas.microsoft.com/office/drawing/2014/main" id="{00000000-0008-0000-0500-00001F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9</xdr:row>
          <xdr:rowOff>12700</xdr:rowOff>
        </xdr:from>
        <xdr:to>
          <xdr:col>75</xdr:col>
          <xdr:colOff>50800</xdr:colOff>
          <xdr:row>9</xdr:row>
          <xdr:rowOff>273050</xdr:rowOff>
        </xdr:to>
        <xdr:sp macro="" textlink="">
          <xdr:nvSpPr>
            <xdr:cNvPr id="36896" name="TaskCheck_BW10" hidden="1">
              <a:extLst>
                <a:ext uri="{63B3BB69-23CF-44E3-9099-C40C66FF867C}">
                  <a14:compatExt spid="_x0000_s36896"/>
                </a:ext>
                <a:ext uri="{FF2B5EF4-FFF2-40B4-BE49-F238E27FC236}">
                  <a16:creationId xmlns:a16="http://schemas.microsoft.com/office/drawing/2014/main" id="{00000000-0008-0000-0500-000020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10</xdr:row>
          <xdr:rowOff>12700</xdr:rowOff>
        </xdr:from>
        <xdr:to>
          <xdr:col>75</xdr:col>
          <xdr:colOff>50800</xdr:colOff>
          <xdr:row>10</xdr:row>
          <xdr:rowOff>273050</xdr:rowOff>
        </xdr:to>
        <xdr:sp macro="" textlink="">
          <xdr:nvSpPr>
            <xdr:cNvPr id="36897" name="TaskCheck_BW11" hidden="1">
              <a:extLst>
                <a:ext uri="{63B3BB69-23CF-44E3-9099-C40C66FF867C}">
                  <a14:compatExt spid="_x0000_s36897"/>
                </a:ext>
                <a:ext uri="{FF2B5EF4-FFF2-40B4-BE49-F238E27FC236}">
                  <a16:creationId xmlns:a16="http://schemas.microsoft.com/office/drawing/2014/main" id="{00000000-0008-0000-0500-000021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11</xdr:row>
          <xdr:rowOff>12700</xdr:rowOff>
        </xdr:from>
        <xdr:to>
          <xdr:col>75</xdr:col>
          <xdr:colOff>50800</xdr:colOff>
          <xdr:row>11</xdr:row>
          <xdr:rowOff>273050</xdr:rowOff>
        </xdr:to>
        <xdr:sp macro="" textlink="">
          <xdr:nvSpPr>
            <xdr:cNvPr id="36898" name="TaskCheck_BW12" hidden="1">
              <a:extLst>
                <a:ext uri="{63B3BB69-23CF-44E3-9099-C40C66FF867C}">
                  <a14:compatExt spid="_x0000_s36898"/>
                </a:ext>
                <a:ext uri="{FF2B5EF4-FFF2-40B4-BE49-F238E27FC236}">
                  <a16:creationId xmlns:a16="http://schemas.microsoft.com/office/drawing/2014/main" id="{00000000-0008-0000-0500-000022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12</xdr:row>
          <xdr:rowOff>12700</xdr:rowOff>
        </xdr:from>
        <xdr:to>
          <xdr:col>75</xdr:col>
          <xdr:colOff>50800</xdr:colOff>
          <xdr:row>12</xdr:row>
          <xdr:rowOff>273050</xdr:rowOff>
        </xdr:to>
        <xdr:sp macro="" textlink="">
          <xdr:nvSpPr>
            <xdr:cNvPr id="36899" name="TaskCheck_BW13" hidden="1">
              <a:extLst>
                <a:ext uri="{63B3BB69-23CF-44E3-9099-C40C66FF867C}">
                  <a14:compatExt spid="_x0000_s36899"/>
                </a:ext>
                <a:ext uri="{FF2B5EF4-FFF2-40B4-BE49-F238E27FC236}">
                  <a16:creationId xmlns:a16="http://schemas.microsoft.com/office/drawing/2014/main" id="{00000000-0008-0000-0500-000023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13</xdr:row>
          <xdr:rowOff>12700</xdr:rowOff>
        </xdr:from>
        <xdr:to>
          <xdr:col>75</xdr:col>
          <xdr:colOff>50800</xdr:colOff>
          <xdr:row>13</xdr:row>
          <xdr:rowOff>273050</xdr:rowOff>
        </xdr:to>
        <xdr:sp macro="" textlink="">
          <xdr:nvSpPr>
            <xdr:cNvPr id="36900" name="TaskCheck_BW14" hidden="1">
              <a:extLst>
                <a:ext uri="{63B3BB69-23CF-44E3-9099-C40C66FF867C}">
                  <a14:compatExt spid="_x0000_s36900"/>
                </a:ext>
                <a:ext uri="{FF2B5EF4-FFF2-40B4-BE49-F238E27FC236}">
                  <a16:creationId xmlns:a16="http://schemas.microsoft.com/office/drawing/2014/main" id="{00000000-0008-0000-0500-000024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14</xdr:row>
          <xdr:rowOff>12700</xdr:rowOff>
        </xdr:from>
        <xdr:to>
          <xdr:col>75</xdr:col>
          <xdr:colOff>50800</xdr:colOff>
          <xdr:row>14</xdr:row>
          <xdr:rowOff>273050</xdr:rowOff>
        </xdr:to>
        <xdr:sp macro="" textlink="">
          <xdr:nvSpPr>
            <xdr:cNvPr id="36901" name="TaskCheck_BW15" hidden="1">
              <a:extLst>
                <a:ext uri="{63B3BB69-23CF-44E3-9099-C40C66FF867C}">
                  <a14:compatExt spid="_x0000_s36901"/>
                </a:ext>
                <a:ext uri="{FF2B5EF4-FFF2-40B4-BE49-F238E27FC236}">
                  <a16:creationId xmlns:a16="http://schemas.microsoft.com/office/drawing/2014/main" id="{00000000-0008-0000-0500-000025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15</xdr:row>
          <xdr:rowOff>12700</xdr:rowOff>
        </xdr:from>
        <xdr:to>
          <xdr:col>75</xdr:col>
          <xdr:colOff>50800</xdr:colOff>
          <xdr:row>15</xdr:row>
          <xdr:rowOff>273050</xdr:rowOff>
        </xdr:to>
        <xdr:sp macro="" textlink="">
          <xdr:nvSpPr>
            <xdr:cNvPr id="36902" name="TaskCheck_BW16" hidden="1">
              <a:extLst>
                <a:ext uri="{63B3BB69-23CF-44E3-9099-C40C66FF867C}">
                  <a14:compatExt spid="_x0000_s36902"/>
                </a:ext>
                <a:ext uri="{FF2B5EF4-FFF2-40B4-BE49-F238E27FC236}">
                  <a16:creationId xmlns:a16="http://schemas.microsoft.com/office/drawing/2014/main" id="{00000000-0008-0000-0500-000026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18</xdr:row>
          <xdr:rowOff>12700</xdr:rowOff>
        </xdr:from>
        <xdr:to>
          <xdr:col>75</xdr:col>
          <xdr:colOff>50800</xdr:colOff>
          <xdr:row>18</xdr:row>
          <xdr:rowOff>273050</xdr:rowOff>
        </xdr:to>
        <xdr:sp macro="" textlink="">
          <xdr:nvSpPr>
            <xdr:cNvPr id="36903" name="TaskCheck_BW19" hidden="1">
              <a:extLst>
                <a:ext uri="{63B3BB69-23CF-44E3-9099-C40C66FF867C}">
                  <a14:compatExt spid="_x0000_s36903"/>
                </a:ext>
                <a:ext uri="{FF2B5EF4-FFF2-40B4-BE49-F238E27FC236}">
                  <a16:creationId xmlns:a16="http://schemas.microsoft.com/office/drawing/2014/main" id="{00000000-0008-0000-0500-000027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19</xdr:row>
          <xdr:rowOff>12700</xdr:rowOff>
        </xdr:from>
        <xdr:to>
          <xdr:col>75</xdr:col>
          <xdr:colOff>50800</xdr:colOff>
          <xdr:row>19</xdr:row>
          <xdr:rowOff>273050</xdr:rowOff>
        </xdr:to>
        <xdr:sp macro="" textlink="">
          <xdr:nvSpPr>
            <xdr:cNvPr id="36904" name="TaskCheck_BW20" hidden="1">
              <a:extLst>
                <a:ext uri="{63B3BB69-23CF-44E3-9099-C40C66FF867C}">
                  <a14:compatExt spid="_x0000_s36904"/>
                </a:ext>
                <a:ext uri="{FF2B5EF4-FFF2-40B4-BE49-F238E27FC236}">
                  <a16:creationId xmlns:a16="http://schemas.microsoft.com/office/drawing/2014/main" id="{00000000-0008-0000-0500-000028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20</xdr:row>
          <xdr:rowOff>12700</xdr:rowOff>
        </xdr:from>
        <xdr:to>
          <xdr:col>75</xdr:col>
          <xdr:colOff>50800</xdr:colOff>
          <xdr:row>20</xdr:row>
          <xdr:rowOff>273050</xdr:rowOff>
        </xdr:to>
        <xdr:sp macro="" textlink="">
          <xdr:nvSpPr>
            <xdr:cNvPr id="36905" name="TaskCheck_BW21" hidden="1">
              <a:extLst>
                <a:ext uri="{63B3BB69-23CF-44E3-9099-C40C66FF867C}">
                  <a14:compatExt spid="_x0000_s36905"/>
                </a:ext>
                <a:ext uri="{FF2B5EF4-FFF2-40B4-BE49-F238E27FC236}">
                  <a16:creationId xmlns:a16="http://schemas.microsoft.com/office/drawing/2014/main" id="{00000000-0008-0000-0500-000029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21</xdr:row>
          <xdr:rowOff>12700</xdr:rowOff>
        </xdr:from>
        <xdr:to>
          <xdr:col>75</xdr:col>
          <xdr:colOff>50800</xdr:colOff>
          <xdr:row>21</xdr:row>
          <xdr:rowOff>273050</xdr:rowOff>
        </xdr:to>
        <xdr:sp macro="" textlink="">
          <xdr:nvSpPr>
            <xdr:cNvPr id="36906" name="TaskCheck_BW22" hidden="1">
              <a:extLst>
                <a:ext uri="{63B3BB69-23CF-44E3-9099-C40C66FF867C}">
                  <a14:compatExt spid="_x0000_s36906"/>
                </a:ext>
                <a:ext uri="{FF2B5EF4-FFF2-40B4-BE49-F238E27FC236}">
                  <a16:creationId xmlns:a16="http://schemas.microsoft.com/office/drawing/2014/main" id="{00000000-0008-0000-0500-00002A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22</xdr:row>
          <xdr:rowOff>12700</xdr:rowOff>
        </xdr:from>
        <xdr:to>
          <xdr:col>75</xdr:col>
          <xdr:colOff>50800</xdr:colOff>
          <xdr:row>22</xdr:row>
          <xdr:rowOff>273050</xdr:rowOff>
        </xdr:to>
        <xdr:sp macro="" textlink="">
          <xdr:nvSpPr>
            <xdr:cNvPr id="36907" name="TaskCheck_BW23" hidden="1">
              <a:extLst>
                <a:ext uri="{63B3BB69-23CF-44E3-9099-C40C66FF867C}">
                  <a14:compatExt spid="_x0000_s36907"/>
                </a:ext>
                <a:ext uri="{FF2B5EF4-FFF2-40B4-BE49-F238E27FC236}">
                  <a16:creationId xmlns:a16="http://schemas.microsoft.com/office/drawing/2014/main" id="{00000000-0008-0000-0500-00002B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23</xdr:row>
          <xdr:rowOff>12700</xdr:rowOff>
        </xdr:from>
        <xdr:to>
          <xdr:col>75</xdr:col>
          <xdr:colOff>50800</xdr:colOff>
          <xdr:row>23</xdr:row>
          <xdr:rowOff>273050</xdr:rowOff>
        </xdr:to>
        <xdr:sp macro="" textlink="">
          <xdr:nvSpPr>
            <xdr:cNvPr id="36908" name="TaskCheck_BW24" hidden="1">
              <a:extLst>
                <a:ext uri="{63B3BB69-23CF-44E3-9099-C40C66FF867C}">
                  <a14:compatExt spid="_x0000_s36908"/>
                </a:ext>
                <a:ext uri="{FF2B5EF4-FFF2-40B4-BE49-F238E27FC236}">
                  <a16:creationId xmlns:a16="http://schemas.microsoft.com/office/drawing/2014/main" id="{00000000-0008-0000-0500-00002C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24</xdr:row>
          <xdr:rowOff>12700</xdr:rowOff>
        </xdr:from>
        <xdr:to>
          <xdr:col>75</xdr:col>
          <xdr:colOff>50800</xdr:colOff>
          <xdr:row>24</xdr:row>
          <xdr:rowOff>273050</xdr:rowOff>
        </xdr:to>
        <xdr:sp macro="" textlink="">
          <xdr:nvSpPr>
            <xdr:cNvPr id="36909" name="TaskCheck_BW25" hidden="1">
              <a:extLst>
                <a:ext uri="{63B3BB69-23CF-44E3-9099-C40C66FF867C}">
                  <a14:compatExt spid="_x0000_s36909"/>
                </a:ext>
                <a:ext uri="{FF2B5EF4-FFF2-40B4-BE49-F238E27FC236}">
                  <a16:creationId xmlns:a16="http://schemas.microsoft.com/office/drawing/2014/main" id="{00000000-0008-0000-0500-00002D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25</xdr:row>
          <xdr:rowOff>12700</xdr:rowOff>
        </xdr:from>
        <xdr:to>
          <xdr:col>75</xdr:col>
          <xdr:colOff>50800</xdr:colOff>
          <xdr:row>25</xdr:row>
          <xdr:rowOff>273050</xdr:rowOff>
        </xdr:to>
        <xdr:sp macro="" textlink="">
          <xdr:nvSpPr>
            <xdr:cNvPr id="36910" name="TaskCheck_BW26" hidden="1">
              <a:extLst>
                <a:ext uri="{63B3BB69-23CF-44E3-9099-C40C66FF867C}">
                  <a14:compatExt spid="_x0000_s36910"/>
                </a:ext>
                <a:ext uri="{FF2B5EF4-FFF2-40B4-BE49-F238E27FC236}">
                  <a16:creationId xmlns:a16="http://schemas.microsoft.com/office/drawing/2014/main" id="{00000000-0008-0000-0500-00002E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26</xdr:row>
          <xdr:rowOff>12700</xdr:rowOff>
        </xdr:from>
        <xdr:to>
          <xdr:col>75</xdr:col>
          <xdr:colOff>50800</xdr:colOff>
          <xdr:row>26</xdr:row>
          <xdr:rowOff>273050</xdr:rowOff>
        </xdr:to>
        <xdr:sp macro="" textlink="">
          <xdr:nvSpPr>
            <xdr:cNvPr id="36911" name="TaskCheck_BW27" hidden="1">
              <a:extLst>
                <a:ext uri="{63B3BB69-23CF-44E3-9099-C40C66FF867C}">
                  <a14:compatExt spid="_x0000_s36911"/>
                </a:ext>
                <a:ext uri="{FF2B5EF4-FFF2-40B4-BE49-F238E27FC236}">
                  <a16:creationId xmlns:a16="http://schemas.microsoft.com/office/drawing/2014/main" id="{00000000-0008-0000-0500-00002F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27</xdr:row>
          <xdr:rowOff>12700</xdr:rowOff>
        </xdr:from>
        <xdr:to>
          <xdr:col>75</xdr:col>
          <xdr:colOff>50800</xdr:colOff>
          <xdr:row>27</xdr:row>
          <xdr:rowOff>273050</xdr:rowOff>
        </xdr:to>
        <xdr:sp macro="" textlink="">
          <xdr:nvSpPr>
            <xdr:cNvPr id="36912" name="TaskCheck_BW28" hidden="1">
              <a:extLst>
                <a:ext uri="{63B3BB69-23CF-44E3-9099-C40C66FF867C}">
                  <a14:compatExt spid="_x0000_s36912"/>
                </a:ext>
                <a:ext uri="{FF2B5EF4-FFF2-40B4-BE49-F238E27FC236}">
                  <a16:creationId xmlns:a16="http://schemas.microsoft.com/office/drawing/2014/main" id="{00000000-0008-0000-0500-000030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28</xdr:row>
          <xdr:rowOff>12700</xdr:rowOff>
        </xdr:from>
        <xdr:to>
          <xdr:col>75</xdr:col>
          <xdr:colOff>50800</xdr:colOff>
          <xdr:row>28</xdr:row>
          <xdr:rowOff>273050</xdr:rowOff>
        </xdr:to>
        <xdr:sp macro="" textlink="">
          <xdr:nvSpPr>
            <xdr:cNvPr id="36913" name="TaskCheck_BW29" hidden="1">
              <a:extLst>
                <a:ext uri="{63B3BB69-23CF-44E3-9099-C40C66FF867C}">
                  <a14:compatExt spid="_x0000_s36913"/>
                </a:ext>
                <a:ext uri="{FF2B5EF4-FFF2-40B4-BE49-F238E27FC236}">
                  <a16:creationId xmlns:a16="http://schemas.microsoft.com/office/drawing/2014/main" id="{00000000-0008-0000-0500-000031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29</xdr:row>
          <xdr:rowOff>12700</xdr:rowOff>
        </xdr:from>
        <xdr:to>
          <xdr:col>75</xdr:col>
          <xdr:colOff>50800</xdr:colOff>
          <xdr:row>29</xdr:row>
          <xdr:rowOff>273050</xdr:rowOff>
        </xdr:to>
        <xdr:sp macro="" textlink="">
          <xdr:nvSpPr>
            <xdr:cNvPr id="36914" name="TaskCheck_BW30" hidden="1">
              <a:extLst>
                <a:ext uri="{63B3BB69-23CF-44E3-9099-C40C66FF867C}">
                  <a14:compatExt spid="_x0000_s36914"/>
                </a:ext>
                <a:ext uri="{FF2B5EF4-FFF2-40B4-BE49-F238E27FC236}">
                  <a16:creationId xmlns:a16="http://schemas.microsoft.com/office/drawing/2014/main" id="{00000000-0008-0000-0500-000032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30</xdr:row>
          <xdr:rowOff>12700</xdr:rowOff>
        </xdr:from>
        <xdr:to>
          <xdr:col>75</xdr:col>
          <xdr:colOff>50800</xdr:colOff>
          <xdr:row>30</xdr:row>
          <xdr:rowOff>273050</xdr:rowOff>
        </xdr:to>
        <xdr:sp macro="" textlink="">
          <xdr:nvSpPr>
            <xdr:cNvPr id="36915" name="TaskCheck_BW31" hidden="1">
              <a:extLst>
                <a:ext uri="{63B3BB69-23CF-44E3-9099-C40C66FF867C}">
                  <a14:compatExt spid="_x0000_s36915"/>
                </a:ext>
                <a:ext uri="{FF2B5EF4-FFF2-40B4-BE49-F238E27FC236}">
                  <a16:creationId xmlns:a16="http://schemas.microsoft.com/office/drawing/2014/main" id="{00000000-0008-0000-0500-000033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31</xdr:row>
          <xdr:rowOff>12700</xdr:rowOff>
        </xdr:from>
        <xdr:to>
          <xdr:col>75</xdr:col>
          <xdr:colOff>50800</xdr:colOff>
          <xdr:row>31</xdr:row>
          <xdr:rowOff>273050</xdr:rowOff>
        </xdr:to>
        <xdr:sp macro="" textlink="">
          <xdr:nvSpPr>
            <xdr:cNvPr id="36916" name="TaskCheck_BW32" hidden="1">
              <a:extLst>
                <a:ext uri="{63B3BB69-23CF-44E3-9099-C40C66FF867C}">
                  <a14:compatExt spid="_x0000_s36916"/>
                </a:ext>
                <a:ext uri="{FF2B5EF4-FFF2-40B4-BE49-F238E27FC236}">
                  <a16:creationId xmlns:a16="http://schemas.microsoft.com/office/drawing/2014/main" id="{00000000-0008-0000-0500-000034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32</xdr:row>
          <xdr:rowOff>12700</xdr:rowOff>
        </xdr:from>
        <xdr:to>
          <xdr:col>75</xdr:col>
          <xdr:colOff>50800</xdr:colOff>
          <xdr:row>32</xdr:row>
          <xdr:rowOff>273050</xdr:rowOff>
        </xdr:to>
        <xdr:sp macro="" textlink="">
          <xdr:nvSpPr>
            <xdr:cNvPr id="36917" name="TaskCheck_BW33" hidden="1">
              <a:extLst>
                <a:ext uri="{63B3BB69-23CF-44E3-9099-C40C66FF867C}">
                  <a14:compatExt spid="_x0000_s36917"/>
                </a:ext>
                <a:ext uri="{FF2B5EF4-FFF2-40B4-BE49-F238E27FC236}">
                  <a16:creationId xmlns:a16="http://schemas.microsoft.com/office/drawing/2014/main" id="{00000000-0008-0000-0500-000035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35</xdr:row>
          <xdr:rowOff>12700</xdr:rowOff>
        </xdr:from>
        <xdr:to>
          <xdr:col>75</xdr:col>
          <xdr:colOff>50800</xdr:colOff>
          <xdr:row>35</xdr:row>
          <xdr:rowOff>273050</xdr:rowOff>
        </xdr:to>
        <xdr:sp macro="" textlink="">
          <xdr:nvSpPr>
            <xdr:cNvPr id="36918" name="TaskCheck_BW36" hidden="1">
              <a:extLst>
                <a:ext uri="{63B3BB69-23CF-44E3-9099-C40C66FF867C}">
                  <a14:compatExt spid="_x0000_s36918"/>
                </a:ext>
                <a:ext uri="{FF2B5EF4-FFF2-40B4-BE49-F238E27FC236}">
                  <a16:creationId xmlns:a16="http://schemas.microsoft.com/office/drawing/2014/main" id="{00000000-0008-0000-0500-000036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36</xdr:row>
          <xdr:rowOff>12700</xdr:rowOff>
        </xdr:from>
        <xdr:to>
          <xdr:col>69</xdr:col>
          <xdr:colOff>50800</xdr:colOff>
          <xdr:row>36</xdr:row>
          <xdr:rowOff>273050</xdr:rowOff>
        </xdr:to>
        <xdr:sp macro="" textlink="">
          <xdr:nvSpPr>
            <xdr:cNvPr id="36919" name="TaskCheck_BQ37" hidden="1">
              <a:extLst>
                <a:ext uri="{63B3BB69-23CF-44E3-9099-C40C66FF867C}">
                  <a14:compatExt spid="_x0000_s36919"/>
                </a:ext>
                <a:ext uri="{FF2B5EF4-FFF2-40B4-BE49-F238E27FC236}">
                  <a16:creationId xmlns:a16="http://schemas.microsoft.com/office/drawing/2014/main" id="{00000000-0008-0000-0500-000037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36</xdr:row>
          <xdr:rowOff>12700</xdr:rowOff>
        </xdr:from>
        <xdr:to>
          <xdr:col>75</xdr:col>
          <xdr:colOff>50800</xdr:colOff>
          <xdr:row>36</xdr:row>
          <xdr:rowOff>273050</xdr:rowOff>
        </xdr:to>
        <xdr:sp macro="" textlink="">
          <xdr:nvSpPr>
            <xdr:cNvPr id="36920" name="TaskCheck_BW37" hidden="1">
              <a:extLst>
                <a:ext uri="{63B3BB69-23CF-44E3-9099-C40C66FF867C}">
                  <a14:compatExt spid="_x0000_s36920"/>
                </a:ext>
                <a:ext uri="{FF2B5EF4-FFF2-40B4-BE49-F238E27FC236}">
                  <a16:creationId xmlns:a16="http://schemas.microsoft.com/office/drawing/2014/main" id="{00000000-0008-0000-0500-000038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37</xdr:row>
          <xdr:rowOff>12700</xdr:rowOff>
        </xdr:from>
        <xdr:to>
          <xdr:col>69</xdr:col>
          <xdr:colOff>50800</xdr:colOff>
          <xdr:row>37</xdr:row>
          <xdr:rowOff>273050</xdr:rowOff>
        </xdr:to>
        <xdr:sp macro="" textlink="">
          <xdr:nvSpPr>
            <xdr:cNvPr id="36921" name="TaskCheck_BQ38" hidden="1">
              <a:extLst>
                <a:ext uri="{63B3BB69-23CF-44E3-9099-C40C66FF867C}">
                  <a14:compatExt spid="_x0000_s36921"/>
                </a:ext>
                <a:ext uri="{FF2B5EF4-FFF2-40B4-BE49-F238E27FC236}">
                  <a16:creationId xmlns:a16="http://schemas.microsoft.com/office/drawing/2014/main" id="{00000000-0008-0000-0500-000039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37</xdr:row>
          <xdr:rowOff>12700</xdr:rowOff>
        </xdr:from>
        <xdr:to>
          <xdr:col>75</xdr:col>
          <xdr:colOff>50800</xdr:colOff>
          <xdr:row>37</xdr:row>
          <xdr:rowOff>273050</xdr:rowOff>
        </xdr:to>
        <xdr:sp macro="" textlink="">
          <xdr:nvSpPr>
            <xdr:cNvPr id="36922" name="TaskCheck_BW38" hidden="1">
              <a:extLst>
                <a:ext uri="{63B3BB69-23CF-44E3-9099-C40C66FF867C}">
                  <a14:compatExt spid="_x0000_s36922"/>
                </a:ext>
                <a:ext uri="{FF2B5EF4-FFF2-40B4-BE49-F238E27FC236}">
                  <a16:creationId xmlns:a16="http://schemas.microsoft.com/office/drawing/2014/main" id="{00000000-0008-0000-0500-00003A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38</xdr:row>
          <xdr:rowOff>12700</xdr:rowOff>
        </xdr:from>
        <xdr:to>
          <xdr:col>69</xdr:col>
          <xdr:colOff>50800</xdr:colOff>
          <xdr:row>38</xdr:row>
          <xdr:rowOff>273050</xdr:rowOff>
        </xdr:to>
        <xdr:sp macro="" textlink="">
          <xdr:nvSpPr>
            <xdr:cNvPr id="36923" name="TaskCheck_BQ39" hidden="1">
              <a:extLst>
                <a:ext uri="{63B3BB69-23CF-44E3-9099-C40C66FF867C}">
                  <a14:compatExt spid="_x0000_s36923"/>
                </a:ext>
                <a:ext uri="{FF2B5EF4-FFF2-40B4-BE49-F238E27FC236}">
                  <a16:creationId xmlns:a16="http://schemas.microsoft.com/office/drawing/2014/main" id="{00000000-0008-0000-0500-00003B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38</xdr:row>
          <xdr:rowOff>12700</xdr:rowOff>
        </xdr:from>
        <xdr:to>
          <xdr:col>75</xdr:col>
          <xdr:colOff>50800</xdr:colOff>
          <xdr:row>38</xdr:row>
          <xdr:rowOff>273050</xdr:rowOff>
        </xdr:to>
        <xdr:sp macro="" textlink="">
          <xdr:nvSpPr>
            <xdr:cNvPr id="36924" name="TaskCheck_BW39" hidden="1">
              <a:extLst>
                <a:ext uri="{63B3BB69-23CF-44E3-9099-C40C66FF867C}">
                  <a14:compatExt spid="_x0000_s36924"/>
                </a:ext>
                <a:ext uri="{FF2B5EF4-FFF2-40B4-BE49-F238E27FC236}">
                  <a16:creationId xmlns:a16="http://schemas.microsoft.com/office/drawing/2014/main" id="{00000000-0008-0000-0500-00003C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39</xdr:row>
          <xdr:rowOff>12700</xdr:rowOff>
        </xdr:from>
        <xdr:to>
          <xdr:col>69</xdr:col>
          <xdr:colOff>50800</xdr:colOff>
          <xdr:row>39</xdr:row>
          <xdr:rowOff>273050</xdr:rowOff>
        </xdr:to>
        <xdr:sp macro="" textlink="">
          <xdr:nvSpPr>
            <xdr:cNvPr id="36925" name="TaskCheck_BQ40" hidden="1">
              <a:extLst>
                <a:ext uri="{63B3BB69-23CF-44E3-9099-C40C66FF867C}">
                  <a14:compatExt spid="_x0000_s36925"/>
                </a:ext>
                <a:ext uri="{FF2B5EF4-FFF2-40B4-BE49-F238E27FC236}">
                  <a16:creationId xmlns:a16="http://schemas.microsoft.com/office/drawing/2014/main" id="{00000000-0008-0000-0500-00003D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39</xdr:row>
          <xdr:rowOff>12700</xdr:rowOff>
        </xdr:from>
        <xdr:to>
          <xdr:col>75</xdr:col>
          <xdr:colOff>50800</xdr:colOff>
          <xdr:row>39</xdr:row>
          <xdr:rowOff>273050</xdr:rowOff>
        </xdr:to>
        <xdr:sp macro="" textlink="">
          <xdr:nvSpPr>
            <xdr:cNvPr id="36926" name="TaskCheck_BW40" hidden="1">
              <a:extLst>
                <a:ext uri="{63B3BB69-23CF-44E3-9099-C40C66FF867C}">
                  <a14:compatExt spid="_x0000_s36926"/>
                </a:ext>
                <a:ext uri="{FF2B5EF4-FFF2-40B4-BE49-F238E27FC236}">
                  <a16:creationId xmlns:a16="http://schemas.microsoft.com/office/drawing/2014/main" id="{00000000-0008-0000-0500-00003E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40</xdr:row>
          <xdr:rowOff>12700</xdr:rowOff>
        </xdr:from>
        <xdr:to>
          <xdr:col>69</xdr:col>
          <xdr:colOff>50800</xdr:colOff>
          <xdr:row>40</xdr:row>
          <xdr:rowOff>273050</xdr:rowOff>
        </xdr:to>
        <xdr:sp macro="" textlink="">
          <xdr:nvSpPr>
            <xdr:cNvPr id="36927" name="TaskCheck_BQ41" hidden="1">
              <a:extLst>
                <a:ext uri="{63B3BB69-23CF-44E3-9099-C40C66FF867C}">
                  <a14:compatExt spid="_x0000_s36927"/>
                </a:ext>
                <a:ext uri="{FF2B5EF4-FFF2-40B4-BE49-F238E27FC236}">
                  <a16:creationId xmlns:a16="http://schemas.microsoft.com/office/drawing/2014/main" id="{00000000-0008-0000-0500-00003F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40</xdr:row>
          <xdr:rowOff>12700</xdr:rowOff>
        </xdr:from>
        <xdr:to>
          <xdr:col>75</xdr:col>
          <xdr:colOff>50800</xdr:colOff>
          <xdr:row>40</xdr:row>
          <xdr:rowOff>273050</xdr:rowOff>
        </xdr:to>
        <xdr:sp macro="" textlink="">
          <xdr:nvSpPr>
            <xdr:cNvPr id="36928" name="TaskCheck_BW41" hidden="1">
              <a:extLst>
                <a:ext uri="{63B3BB69-23CF-44E3-9099-C40C66FF867C}">
                  <a14:compatExt spid="_x0000_s36928"/>
                </a:ext>
                <a:ext uri="{FF2B5EF4-FFF2-40B4-BE49-F238E27FC236}">
                  <a16:creationId xmlns:a16="http://schemas.microsoft.com/office/drawing/2014/main" id="{00000000-0008-0000-0500-000040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41</xdr:row>
          <xdr:rowOff>12700</xdr:rowOff>
        </xdr:from>
        <xdr:to>
          <xdr:col>69</xdr:col>
          <xdr:colOff>50800</xdr:colOff>
          <xdr:row>41</xdr:row>
          <xdr:rowOff>273050</xdr:rowOff>
        </xdr:to>
        <xdr:sp macro="" textlink="">
          <xdr:nvSpPr>
            <xdr:cNvPr id="36929" name="TaskCheck_BQ42" hidden="1">
              <a:extLst>
                <a:ext uri="{63B3BB69-23CF-44E3-9099-C40C66FF867C}">
                  <a14:compatExt spid="_x0000_s36929"/>
                </a:ext>
                <a:ext uri="{FF2B5EF4-FFF2-40B4-BE49-F238E27FC236}">
                  <a16:creationId xmlns:a16="http://schemas.microsoft.com/office/drawing/2014/main" id="{00000000-0008-0000-0500-000041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41</xdr:row>
          <xdr:rowOff>12700</xdr:rowOff>
        </xdr:from>
        <xdr:to>
          <xdr:col>75</xdr:col>
          <xdr:colOff>50800</xdr:colOff>
          <xdr:row>41</xdr:row>
          <xdr:rowOff>273050</xdr:rowOff>
        </xdr:to>
        <xdr:sp macro="" textlink="">
          <xdr:nvSpPr>
            <xdr:cNvPr id="36930" name="TaskCheck_BW42" hidden="1">
              <a:extLst>
                <a:ext uri="{63B3BB69-23CF-44E3-9099-C40C66FF867C}">
                  <a14:compatExt spid="_x0000_s36930"/>
                </a:ext>
                <a:ext uri="{FF2B5EF4-FFF2-40B4-BE49-F238E27FC236}">
                  <a16:creationId xmlns:a16="http://schemas.microsoft.com/office/drawing/2014/main" id="{00000000-0008-0000-0500-0000429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74</xdr:col>
          <xdr:colOff>19050</xdr:colOff>
          <xdr:row>2</xdr:row>
          <xdr:rowOff>12700</xdr:rowOff>
        </xdr:from>
        <xdr:to>
          <xdr:col>75</xdr:col>
          <xdr:colOff>50800</xdr:colOff>
          <xdr:row>2</xdr:row>
          <xdr:rowOff>273050</xdr:rowOff>
        </xdr:to>
        <xdr:sp macro="" textlink="">
          <xdr:nvSpPr>
            <xdr:cNvPr id="23574" name="TaskCheck_BW3" hidden="1">
              <a:extLst>
                <a:ext uri="{63B3BB69-23CF-44E3-9099-C40C66FF867C}">
                  <a14:compatExt spid="_x0000_s23574"/>
                </a:ext>
                <a:ext uri="{FF2B5EF4-FFF2-40B4-BE49-F238E27FC236}">
                  <a16:creationId xmlns:a16="http://schemas.microsoft.com/office/drawing/2014/main" id="{00000000-0008-0000-0600-000016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xdr:row>
          <xdr:rowOff>12700</xdr:rowOff>
        </xdr:from>
        <xdr:to>
          <xdr:col>75</xdr:col>
          <xdr:colOff>50800</xdr:colOff>
          <xdr:row>3</xdr:row>
          <xdr:rowOff>273050</xdr:rowOff>
        </xdr:to>
        <xdr:sp macro="" textlink="">
          <xdr:nvSpPr>
            <xdr:cNvPr id="23575" name="TaskCheck_BW4" hidden="1">
              <a:extLst>
                <a:ext uri="{63B3BB69-23CF-44E3-9099-C40C66FF867C}">
                  <a14:compatExt spid="_x0000_s23575"/>
                </a:ext>
                <a:ext uri="{FF2B5EF4-FFF2-40B4-BE49-F238E27FC236}">
                  <a16:creationId xmlns:a16="http://schemas.microsoft.com/office/drawing/2014/main" id="{00000000-0008-0000-0600-000017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4</xdr:row>
          <xdr:rowOff>12700</xdr:rowOff>
        </xdr:from>
        <xdr:to>
          <xdr:col>75</xdr:col>
          <xdr:colOff>50800</xdr:colOff>
          <xdr:row>4</xdr:row>
          <xdr:rowOff>273050</xdr:rowOff>
        </xdr:to>
        <xdr:sp macro="" textlink="">
          <xdr:nvSpPr>
            <xdr:cNvPr id="23576" name="TaskCheck_BW5" hidden="1">
              <a:extLst>
                <a:ext uri="{63B3BB69-23CF-44E3-9099-C40C66FF867C}">
                  <a14:compatExt spid="_x0000_s23576"/>
                </a:ext>
                <a:ext uri="{FF2B5EF4-FFF2-40B4-BE49-F238E27FC236}">
                  <a16:creationId xmlns:a16="http://schemas.microsoft.com/office/drawing/2014/main" id="{00000000-0008-0000-0600-000018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5</xdr:row>
          <xdr:rowOff>12700</xdr:rowOff>
        </xdr:from>
        <xdr:to>
          <xdr:col>75</xdr:col>
          <xdr:colOff>50800</xdr:colOff>
          <xdr:row>5</xdr:row>
          <xdr:rowOff>273050</xdr:rowOff>
        </xdr:to>
        <xdr:sp macro="" textlink="">
          <xdr:nvSpPr>
            <xdr:cNvPr id="23577" name="TaskCheck_BW6" hidden="1">
              <a:extLst>
                <a:ext uri="{63B3BB69-23CF-44E3-9099-C40C66FF867C}">
                  <a14:compatExt spid="_x0000_s23577"/>
                </a:ext>
                <a:ext uri="{FF2B5EF4-FFF2-40B4-BE49-F238E27FC236}">
                  <a16:creationId xmlns:a16="http://schemas.microsoft.com/office/drawing/2014/main" id="{00000000-0008-0000-0600-000019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6</xdr:row>
          <xdr:rowOff>12700</xdr:rowOff>
        </xdr:from>
        <xdr:to>
          <xdr:col>75</xdr:col>
          <xdr:colOff>50800</xdr:colOff>
          <xdr:row>6</xdr:row>
          <xdr:rowOff>273050</xdr:rowOff>
        </xdr:to>
        <xdr:sp macro="" textlink="">
          <xdr:nvSpPr>
            <xdr:cNvPr id="23578" name="TaskCheck_BW7" hidden="1">
              <a:extLst>
                <a:ext uri="{63B3BB69-23CF-44E3-9099-C40C66FF867C}">
                  <a14:compatExt spid="_x0000_s23578"/>
                </a:ext>
                <a:ext uri="{FF2B5EF4-FFF2-40B4-BE49-F238E27FC236}">
                  <a16:creationId xmlns:a16="http://schemas.microsoft.com/office/drawing/2014/main" id="{00000000-0008-0000-0600-00001A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7</xdr:row>
          <xdr:rowOff>12700</xdr:rowOff>
        </xdr:from>
        <xdr:to>
          <xdr:col>75</xdr:col>
          <xdr:colOff>50800</xdr:colOff>
          <xdr:row>7</xdr:row>
          <xdr:rowOff>273050</xdr:rowOff>
        </xdr:to>
        <xdr:sp macro="" textlink="">
          <xdr:nvSpPr>
            <xdr:cNvPr id="23579" name="TaskCheck_BW8" hidden="1">
              <a:extLst>
                <a:ext uri="{63B3BB69-23CF-44E3-9099-C40C66FF867C}">
                  <a14:compatExt spid="_x0000_s23579"/>
                </a:ext>
                <a:ext uri="{FF2B5EF4-FFF2-40B4-BE49-F238E27FC236}">
                  <a16:creationId xmlns:a16="http://schemas.microsoft.com/office/drawing/2014/main" id="{00000000-0008-0000-0600-00001B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8</xdr:row>
          <xdr:rowOff>12700</xdr:rowOff>
        </xdr:from>
        <xdr:to>
          <xdr:col>75</xdr:col>
          <xdr:colOff>50800</xdr:colOff>
          <xdr:row>8</xdr:row>
          <xdr:rowOff>273050</xdr:rowOff>
        </xdr:to>
        <xdr:sp macro="" textlink="">
          <xdr:nvSpPr>
            <xdr:cNvPr id="23580" name="TaskCheck_BW9" hidden="1">
              <a:extLst>
                <a:ext uri="{63B3BB69-23CF-44E3-9099-C40C66FF867C}">
                  <a14:compatExt spid="_x0000_s23580"/>
                </a:ext>
                <a:ext uri="{FF2B5EF4-FFF2-40B4-BE49-F238E27FC236}">
                  <a16:creationId xmlns:a16="http://schemas.microsoft.com/office/drawing/2014/main" id="{00000000-0008-0000-0600-00001C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9</xdr:row>
          <xdr:rowOff>12700</xdr:rowOff>
        </xdr:from>
        <xdr:to>
          <xdr:col>75</xdr:col>
          <xdr:colOff>50800</xdr:colOff>
          <xdr:row>9</xdr:row>
          <xdr:rowOff>273050</xdr:rowOff>
        </xdr:to>
        <xdr:sp macro="" textlink="">
          <xdr:nvSpPr>
            <xdr:cNvPr id="23581" name="TaskCheck_BW10" hidden="1">
              <a:extLst>
                <a:ext uri="{63B3BB69-23CF-44E3-9099-C40C66FF867C}">
                  <a14:compatExt spid="_x0000_s23581"/>
                </a:ext>
                <a:ext uri="{FF2B5EF4-FFF2-40B4-BE49-F238E27FC236}">
                  <a16:creationId xmlns:a16="http://schemas.microsoft.com/office/drawing/2014/main" id="{00000000-0008-0000-0600-00001D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10</xdr:row>
          <xdr:rowOff>12700</xdr:rowOff>
        </xdr:from>
        <xdr:to>
          <xdr:col>75</xdr:col>
          <xdr:colOff>50800</xdr:colOff>
          <xdr:row>10</xdr:row>
          <xdr:rowOff>273050</xdr:rowOff>
        </xdr:to>
        <xdr:sp macro="" textlink="">
          <xdr:nvSpPr>
            <xdr:cNvPr id="23582" name="TaskCheck_BW11" hidden="1">
              <a:extLst>
                <a:ext uri="{63B3BB69-23CF-44E3-9099-C40C66FF867C}">
                  <a14:compatExt spid="_x0000_s23582"/>
                </a:ext>
                <a:ext uri="{FF2B5EF4-FFF2-40B4-BE49-F238E27FC236}">
                  <a16:creationId xmlns:a16="http://schemas.microsoft.com/office/drawing/2014/main" id="{00000000-0008-0000-0600-00001E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11</xdr:row>
          <xdr:rowOff>12700</xdr:rowOff>
        </xdr:from>
        <xdr:to>
          <xdr:col>75</xdr:col>
          <xdr:colOff>50800</xdr:colOff>
          <xdr:row>11</xdr:row>
          <xdr:rowOff>273050</xdr:rowOff>
        </xdr:to>
        <xdr:sp macro="" textlink="">
          <xdr:nvSpPr>
            <xdr:cNvPr id="23583" name="TaskCheck_BW12" hidden="1">
              <a:extLst>
                <a:ext uri="{63B3BB69-23CF-44E3-9099-C40C66FF867C}">
                  <a14:compatExt spid="_x0000_s23583"/>
                </a:ext>
                <a:ext uri="{FF2B5EF4-FFF2-40B4-BE49-F238E27FC236}">
                  <a16:creationId xmlns:a16="http://schemas.microsoft.com/office/drawing/2014/main" id="{00000000-0008-0000-0600-00001F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12</xdr:row>
          <xdr:rowOff>12700</xdr:rowOff>
        </xdr:from>
        <xdr:to>
          <xdr:col>75</xdr:col>
          <xdr:colOff>50800</xdr:colOff>
          <xdr:row>12</xdr:row>
          <xdr:rowOff>273050</xdr:rowOff>
        </xdr:to>
        <xdr:sp macro="" textlink="">
          <xdr:nvSpPr>
            <xdr:cNvPr id="23584" name="TaskCheck_BW13" hidden="1">
              <a:extLst>
                <a:ext uri="{63B3BB69-23CF-44E3-9099-C40C66FF867C}">
                  <a14:compatExt spid="_x0000_s23584"/>
                </a:ext>
                <a:ext uri="{FF2B5EF4-FFF2-40B4-BE49-F238E27FC236}">
                  <a16:creationId xmlns:a16="http://schemas.microsoft.com/office/drawing/2014/main" id="{00000000-0008-0000-0600-000020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13</xdr:row>
          <xdr:rowOff>12700</xdr:rowOff>
        </xdr:from>
        <xdr:to>
          <xdr:col>75</xdr:col>
          <xdr:colOff>50800</xdr:colOff>
          <xdr:row>13</xdr:row>
          <xdr:rowOff>273050</xdr:rowOff>
        </xdr:to>
        <xdr:sp macro="" textlink="">
          <xdr:nvSpPr>
            <xdr:cNvPr id="23585" name="TaskCheck_BW14" hidden="1">
              <a:extLst>
                <a:ext uri="{63B3BB69-23CF-44E3-9099-C40C66FF867C}">
                  <a14:compatExt spid="_x0000_s23585"/>
                </a:ext>
                <a:ext uri="{FF2B5EF4-FFF2-40B4-BE49-F238E27FC236}">
                  <a16:creationId xmlns:a16="http://schemas.microsoft.com/office/drawing/2014/main" id="{00000000-0008-0000-0600-000021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14</xdr:row>
          <xdr:rowOff>12700</xdr:rowOff>
        </xdr:from>
        <xdr:to>
          <xdr:col>75</xdr:col>
          <xdr:colOff>50800</xdr:colOff>
          <xdr:row>14</xdr:row>
          <xdr:rowOff>273050</xdr:rowOff>
        </xdr:to>
        <xdr:sp macro="" textlink="">
          <xdr:nvSpPr>
            <xdr:cNvPr id="23586" name="TaskCheck_BW15" hidden="1">
              <a:extLst>
                <a:ext uri="{63B3BB69-23CF-44E3-9099-C40C66FF867C}">
                  <a14:compatExt spid="_x0000_s23586"/>
                </a:ext>
                <a:ext uri="{FF2B5EF4-FFF2-40B4-BE49-F238E27FC236}">
                  <a16:creationId xmlns:a16="http://schemas.microsoft.com/office/drawing/2014/main" id="{00000000-0008-0000-0600-000022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15</xdr:row>
          <xdr:rowOff>12700</xdr:rowOff>
        </xdr:from>
        <xdr:to>
          <xdr:col>75</xdr:col>
          <xdr:colOff>50800</xdr:colOff>
          <xdr:row>15</xdr:row>
          <xdr:rowOff>273050</xdr:rowOff>
        </xdr:to>
        <xdr:sp macro="" textlink="">
          <xdr:nvSpPr>
            <xdr:cNvPr id="23587" name="TaskCheck_BW16" hidden="1">
              <a:extLst>
                <a:ext uri="{63B3BB69-23CF-44E3-9099-C40C66FF867C}">
                  <a14:compatExt spid="_x0000_s23587"/>
                </a:ext>
                <a:ext uri="{FF2B5EF4-FFF2-40B4-BE49-F238E27FC236}">
                  <a16:creationId xmlns:a16="http://schemas.microsoft.com/office/drawing/2014/main" id="{00000000-0008-0000-0600-000023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18</xdr:row>
          <xdr:rowOff>12700</xdr:rowOff>
        </xdr:from>
        <xdr:to>
          <xdr:col>75</xdr:col>
          <xdr:colOff>50800</xdr:colOff>
          <xdr:row>18</xdr:row>
          <xdr:rowOff>273050</xdr:rowOff>
        </xdr:to>
        <xdr:sp macro="" textlink="">
          <xdr:nvSpPr>
            <xdr:cNvPr id="23588" name="TaskCheck_BW19" hidden="1">
              <a:extLst>
                <a:ext uri="{63B3BB69-23CF-44E3-9099-C40C66FF867C}">
                  <a14:compatExt spid="_x0000_s23588"/>
                </a:ext>
                <a:ext uri="{FF2B5EF4-FFF2-40B4-BE49-F238E27FC236}">
                  <a16:creationId xmlns:a16="http://schemas.microsoft.com/office/drawing/2014/main" id="{00000000-0008-0000-0600-000024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19</xdr:row>
          <xdr:rowOff>12700</xdr:rowOff>
        </xdr:from>
        <xdr:to>
          <xdr:col>75</xdr:col>
          <xdr:colOff>50800</xdr:colOff>
          <xdr:row>19</xdr:row>
          <xdr:rowOff>273050</xdr:rowOff>
        </xdr:to>
        <xdr:sp macro="" textlink="">
          <xdr:nvSpPr>
            <xdr:cNvPr id="23589" name="TaskCheck_BW20" hidden="1">
              <a:extLst>
                <a:ext uri="{63B3BB69-23CF-44E3-9099-C40C66FF867C}">
                  <a14:compatExt spid="_x0000_s23589"/>
                </a:ext>
                <a:ext uri="{FF2B5EF4-FFF2-40B4-BE49-F238E27FC236}">
                  <a16:creationId xmlns:a16="http://schemas.microsoft.com/office/drawing/2014/main" id="{00000000-0008-0000-0600-000025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20</xdr:row>
          <xdr:rowOff>12700</xdr:rowOff>
        </xdr:from>
        <xdr:to>
          <xdr:col>75</xdr:col>
          <xdr:colOff>50800</xdr:colOff>
          <xdr:row>20</xdr:row>
          <xdr:rowOff>273050</xdr:rowOff>
        </xdr:to>
        <xdr:sp macro="" textlink="">
          <xdr:nvSpPr>
            <xdr:cNvPr id="23590" name="TaskCheck_BW21" hidden="1">
              <a:extLst>
                <a:ext uri="{63B3BB69-23CF-44E3-9099-C40C66FF867C}">
                  <a14:compatExt spid="_x0000_s23590"/>
                </a:ext>
                <a:ext uri="{FF2B5EF4-FFF2-40B4-BE49-F238E27FC236}">
                  <a16:creationId xmlns:a16="http://schemas.microsoft.com/office/drawing/2014/main" id="{00000000-0008-0000-0600-000026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21</xdr:row>
          <xdr:rowOff>12700</xdr:rowOff>
        </xdr:from>
        <xdr:to>
          <xdr:col>75</xdr:col>
          <xdr:colOff>50800</xdr:colOff>
          <xdr:row>21</xdr:row>
          <xdr:rowOff>273050</xdr:rowOff>
        </xdr:to>
        <xdr:sp macro="" textlink="">
          <xdr:nvSpPr>
            <xdr:cNvPr id="23591" name="TaskCheck_BW22" hidden="1">
              <a:extLst>
                <a:ext uri="{63B3BB69-23CF-44E3-9099-C40C66FF867C}">
                  <a14:compatExt spid="_x0000_s23591"/>
                </a:ext>
                <a:ext uri="{FF2B5EF4-FFF2-40B4-BE49-F238E27FC236}">
                  <a16:creationId xmlns:a16="http://schemas.microsoft.com/office/drawing/2014/main" id="{00000000-0008-0000-0600-000027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22</xdr:row>
          <xdr:rowOff>12700</xdr:rowOff>
        </xdr:from>
        <xdr:to>
          <xdr:col>75</xdr:col>
          <xdr:colOff>50800</xdr:colOff>
          <xdr:row>22</xdr:row>
          <xdr:rowOff>273050</xdr:rowOff>
        </xdr:to>
        <xdr:sp macro="" textlink="">
          <xdr:nvSpPr>
            <xdr:cNvPr id="23592" name="TaskCheck_BW23" hidden="1">
              <a:extLst>
                <a:ext uri="{63B3BB69-23CF-44E3-9099-C40C66FF867C}">
                  <a14:compatExt spid="_x0000_s23592"/>
                </a:ext>
                <a:ext uri="{FF2B5EF4-FFF2-40B4-BE49-F238E27FC236}">
                  <a16:creationId xmlns:a16="http://schemas.microsoft.com/office/drawing/2014/main" id="{00000000-0008-0000-0600-000028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23</xdr:row>
          <xdr:rowOff>12700</xdr:rowOff>
        </xdr:from>
        <xdr:to>
          <xdr:col>75</xdr:col>
          <xdr:colOff>50800</xdr:colOff>
          <xdr:row>23</xdr:row>
          <xdr:rowOff>273050</xdr:rowOff>
        </xdr:to>
        <xdr:sp macro="" textlink="">
          <xdr:nvSpPr>
            <xdr:cNvPr id="23593" name="TaskCheck_BW24" hidden="1">
              <a:extLst>
                <a:ext uri="{63B3BB69-23CF-44E3-9099-C40C66FF867C}">
                  <a14:compatExt spid="_x0000_s23593"/>
                </a:ext>
                <a:ext uri="{FF2B5EF4-FFF2-40B4-BE49-F238E27FC236}">
                  <a16:creationId xmlns:a16="http://schemas.microsoft.com/office/drawing/2014/main" id="{00000000-0008-0000-0600-000029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24</xdr:row>
          <xdr:rowOff>12700</xdr:rowOff>
        </xdr:from>
        <xdr:to>
          <xdr:col>75</xdr:col>
          <xdr:colOff>50800</xdr:colOff>
          <xdr:row>24</xdr:row>
          <xdr:rowOff>273050</xdr:rowOff>
        </xdr:to>
        <xdr:sp macro="" textlink="">
          <xdr:nvSpPr>
            <xdr:cNvPr id="23594" name="TaskCheck_BW25" hidden="1">
              <a:extLst>
                <a:ext uri="{63B3BB69-23CF-44E3-9099-C40C66FF867C}">
                  <a14:compatExt spid="_x0000_s23594"/>
                </a:ext>
                <a:ext uri="{FF2B5EF4-FFF2-40B4-BE49-F238E27FC236}">
                  <a16:creationId xmlns:a16="http://schemas.microsoft.com/office/drawing/2014/main" id="{00000000-0008-0000-0600-00002A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25</xdr:row>
          <xdr:rowOff>12700</xdr:rowOff>
        </xdr:from>
        <xdr:to>
          <xdr:col>75</xdr:col>
          <xdr:colOff>50800</xdr:colOff>
          <xdr:row>25</xdr:row>
          <xdr:rowOff>273050</xdr:rowOff>
        </xdr:to>
        <xdr:sp macro="" textlink="">
          <xdr:nvSpPr>
            <xdr:cNvPr id="23595" name="TaskCheck_BW26" hidden="1">
              <a:extLst>
                <a:ext uri="{63B3BB69-23CF-44E3-9099-C40C66FF867C}">
                  <a14:compatExt spid="_x0000_s23595"/>
                </a:ext>
                <a:ext uri="{FF2B5EF4-FFF2-40B4-BE49-F238E27FC236}">
                  <a16:creationId xmlns:a16="http://schemas.microsoft.com/office/drawing/2014/main" id="{00000000-0008-0000-0600-00002B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26</xdr:row>
          <xdr:rowOff>12700</xdr:rowOff>
        </xdr:from>
        <xdr:to>
          <xdr:col>75</xdr:col>
          <xdr:colOff>50800</xdr:colOff>
          <xdr:row>26</xdr:row>
          <xdr:rowOff>273050</xdr:rowOff>
        </xdr:to>
        <xdr:sp macro="" textlink="">
          <xdr:nvSpPr>
            <xdr:cNvPr id="23596" name="TaskCheck_BW27" hidden="1">
              <a:extLst>
                <a:ext uri="{63B3BB69-23CF-44E3-9099-C40C66FF867C}">
                  <a14:compatExt spid="_x0000_s23596"/>
                </a:ext>
                <a:ext uri="{FF2B5EF4-FFF2-40B4-BE49-F238E27FC236}">
                  <a16:creationId xmlns:a16="http://schemas.microsoft.com/office/drawing/2014/main" id="{00000000-0008-0000-0600-00002C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27</xdr:row>
          <xdr:rowOff>12700</xdr:rowOff>
        </xdr:from>
        <xdr:to>
          <xdr:col>75</xdr:col>
          <xdr:colOff>50800</xdr:colOff>
          <xdr:row>27</xdr:row>
          <xdr:rowOff>273050</xdr:rowOff>
        </xdr:to>
        <xdr:sp macro="" textlink="">
          <xdr:nvSpPr>
            <xdr:cNvPr id="23597" name="TaskCheck_BW28" hidden="1">
              <a:extLst>
                <a:ext uri="{63B3BB69-23CF-44E3-9099-C40C66FF867C}">
                  <a14:compatExt spid="_x0000_s23597"/>
                </a:ext>
                <a:ext uri="{FF2B5EF4-FFF2-40B4-BE49-F238E27FC236}">
                  <a16:creationId xmlns:a16="http://schemas.microsoft.com/office/drawing/2014/main" id="{00000000-0008-0000-0600-00002D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28</xdr:row>
          <xdr:rowOff>12700</xdr:rowOff>
        </xdr:from>
        <xdr:to>
          <xdr:col>75</xdr:col>
          <xdr:colOff>50800</xdr:colOff>
          <xdr:row>28</xdr:row>
          <xdr:rowOff>273050</xdr:rowOff>
        </xdr:to>
        <xdr:sp macro="" textlink="">
          <xdr:nvSpPr>
            <xdr:cNvPr id="23598" name="TaskCheck_BW29" hidden="1">
              <a:extLst>
                <a:ext uri="{63B3BB69-23CF-44E3-9099-C40C66FF867C}">
                  <a14:compatExt spid="_x0000_s23598"/>
                </a:ext>
                <a:ext uri="{FF2B5EF4-FFF2-40B4-BE49-F238E27FC236}">
                  <a16:creationId xmlns:a16="http://schemas.microsoft.com/office/drawing/2014/main" id="{00000000-0008-0000-0600-00002E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29</xdr:row>
          <xdr:rowOff>12700</xdr:rowOff>
        </xdr:from>
        <xdr:to>
          <xdr:col>75</xdr:col>
          <xdr:colOff>50800</xdr:colOff>
          <xdr:row>29</xdr:row>
          <xdr:rowOff>273050</xdr:rowOff>
        </xdr:to>
        <xdr:sp macro="" textlink="">
          <xdr:nvSpPr>
            <xdr:cNvPr id="23599" name="TaskCheck_BW30" hidden="1">
              <a:extLst>
                <a:ext uri="{63B3BB69-23CF-44E3-9099-C40C66FF867C}">
                  <a14:compatExt spid="_x0000_s23599"/>
                </a:ext>
                <a:ext uri="{FF2B5EF4-FFF2-40B4-BE49-F238E27FC236}">
                  <a16:creationId xmlns:a16="http://schemas.microsoft.com/office/drawing/2014/main" id="{00000000-0008-0000-0600-00002F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30</xdr:row>
          <xdr:rowOff>12700</xdr:rowOff>
        </xdr:from>
        <xdr:to>
          <xdr:col>75</xdr:col>
          <xdr:colOff>50800</xdr:colOff>
          <xdr:row>30</xdr:row>
          <xdr:rowOff>273050</xdr:rowOff>
        </xdr:to>
        <xdr:sp macro="" textlink="">
          <xdr:nvSpPr>
            <xdr:cNvPr id="23600" name="TaskCheck_BW31" hidden="1">
              <a:extLst>
                <a:ext uri="{63B3BB69-23CF-44E3-9099-C40C66FF867C}">
                  <a14:compatExt spid="_x0000_s23600"/>
                </a:ext>
                <a:ext uri="{FF2B5EF4-FFF2-40B4-BE49-F238E27FC236}">
                  <a16:creationId xmlns:a16="http://schemas.microsoft.com/office/drawing/2014/main" id="{00000000-0008-0000-0600-000030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31</xdr:row>
          <xdr:rowOff>12700</xdr:rowOff>
        </xdr:from>
        <xdr:to>
          <xdr:col>75</xdr:col>
          <xdr:colOff>50800</xdr:colOff>
          <xdr:row>31</xdr:row>
          <xdr:rowOff>273050</xdr:rowOff>
        </xdr:to>
        <xdr:sp macro="" textlink="">
          <xdr:nvSpPr>
            <xdr:cNvPr id="23601" name="TaskCheck_BW32" hidden="1">
              <a:extLst>
                <a:ext uri="{63B3BB69-23CF-44E3-9099-C40C66FF867C}">
                  <a14:compatExt spid="_x0000_s23601"/>
                </a:ext>
                <a:ext uri="{FF2B5EF4-FFF2-40B4-BE49-F238E27FC236}">
                  <a16:creationId xmlns:a16="http://schemas.microsoft.com/office/drawing/2014/main" id="{00000000-0008-0000-0600-000031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32</xdr:row>
          <xdr:rowOff>12700</xdr:rowOff>
        </xdr:from>
        <xdr:to>
          <xdr:col>75</xdr:col>
          <xdr:colOff>50800</xdr:colOff>
          <xdr:row>32</xdr:row>
          <xdr:rowOff>273050</xdr:rowOff>
        </xdr:to>
        <xdr:sp macro="" textlink="">
          <xdr:nvSpPr>
            <xdr:cNvPr id="23602" name="TaskCheck_BW33" hidden="1">
              <a:extLst>
                <a:ext uri="{63B3BB69-23CF-44E3-9099-C40C66FF867C}">
                  <a14:compatExt spid="_x0000_s23602"/>
                </a:ext>
                <a:ext uri="{FF2B5EF4-FFF2-40B4-BE49-F238E27FC236}">
                  <a16:creationId xmlns:a16="http://schemas.microsoft.com/office/drawing/2014/main" id="{00000000-0008-0000-0600-000032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35</xdr:row>
          <xdr:rowOff>12700</xdr:rowOff>
        </xdr:from>
        <xdr:to>
          <xdr:col>75</xdr:col>
          <xdr:colOff>50800</xdr:colOff>
          <xdr:row>35</xdr:row>
          <xdr:rowOff>273050</xdr:rowOff>
        </xdr:to>
        <xdr:sp macro="" textlink="">
          <xdr:nvSpPr>
            <xdr:cNvPr id="23603" name="TaskCheck_BW36" hidden="1">
              <a:extLst>
                <a:ext uri="{63B3BB69-23CF-44E3-9099-C40C66FF867C}">
                  <a14:compatExt spid="_x0000_s23603"/>
                </a:ext>
                <a:ext uri="{FF2B5EF4-FFF2-40B4-BE49-F238E27FC236}">
                  <a16:creationId xmlns:a16="http://schemas.microsoft.com/office/drawing/2014/main" id="{00000000-0008-0000-0600-000033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36</xdr:row>
          <xdr:rowOff>12700</xdr:rowOff>
        </xdr:from>
        <xdr:to>
          <xdr:col>69</xdr:col>
          <xdr:colOff>50800</xdr:colOff>
          <xdr:row>36</xdr:row>
          <xdr:rowOff>273050</xdr:rowOff>
        </xdr:to>
        <xdr:sp macro="" textlink="">
          <xdr:nvSpPr>
            <xdr:cNvPr id="23604" name="TaskCheck_BQ37" hidden="1">
              <a:extLst>
                <a:ext uri="{63B3BB69-23CF-44E3-9099-C40C66FF867C}">
                  <a14:compatExt spid="_x0000_s23604"/>
                </a:ext>
                <a:ext uri="{FF2B5EF4-FFF2-40B4-BE49-F238E27FC236}">
                  <a16:creationId xmlns:a16="http://schemas.microsoft.com/office/drawing/2014/main" id="{00000000-0008-0000-0600-000034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36</xdr:row>
          <xdr:rowOff>12700</xdr:rowOff>
        </xdr:from>
        <xdr:to>
          <xdr:col>75</xdr:col>
          <xdr:colOff>50800</xdr:colOff>
          <xdr:row>36</xdr:row>
          <xdr:rowOff>273050</xdr:rowOff>
        </xdr:to>
        <xdr:sp macro="" textlink="">
          <xdr:nvSpPr>
            <xdr:cNvPr id="23605" name="TaskCheck_BW37" hidden="1">
              <a:extLst>
                <a:ext uri="{63B3BB69-23CF-44E3-9099-C40C66FF867C}">
                  <a14:compatExt spid="_x0000_s23605"/>
                </a:ext>
                <a:ext uri="{FF2B5EF4-FFF2-40B4-BE49-F238E27FC236}">
                  <a16:creationId xmlns:a16="http://schemas.microsoft.com/office/drawing/2014/main" id="{00000000-0008-0000-0600-000035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37</xdr:row>
          <xdr:rowOff>12700</xdr:rowOff>
        </xdr:from>
        <xdr:to>
          <xdr:col>69</xdr:col>
          <xdr:colOff>50800</xdr:colOff>
          <xdr:row>37</xdr:row>
          <xdr:rowOff>273050</xdr:rowOff>
        </xdr:to>
        <xdr:sp macro="" textlink="">
          <xdr:nvSpPr>
            <xdr:cNvPr id="23606" name="TaskCheck_BQ38" hidden="1">
              <a:extLst>
                <a:ext uri="{63B3BB69-23CF-44E3-9099-C40C66FF867C}">
                  <a14:compatExt spid="_x0000_s23606"/>
                </a:ext>
                <a:ext uri="{FF2B5EF4-FFF2-40B4-BE49-F238E27FC236}">
                  <a16:creationId xmlns:a16="http://schemas.microsoft.com/office/drawing/2014/main" id="{00000000-0008-0000-0600-000036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37</xdr:row>
          <xdr:rowOff>12700</xdr:rowOff>
        </xdr:from>
        <xdr:to>
          <xdr:col>75</xdr:col>
          <xdr:colOff>50800</xdr:colOff>
          <xdr:row>37</xdr:row>
          <xdr:rowOff>273050</xdr:rowOff>
        </xdr:to>
        <xdr:sp macro="" textlink="">
          <xdr:nvSpPr>
            <xdr:cNvPr id="23607" name="TaskCheck_BW38" hidden="1">
              <a:extLst>
                <a:ext uri="{63B3BB69-23CF-44E3-9099-C40C66FF867C}">
                  <a14:compatExt spid="_x0000_s23607"/>
                </a:ext>
                <a:ext uri="{FF2B5EF4-FFF2-40B4-BE49-F238E27FC236}">
                  <a16:creationId xmlns:a16="http://schemas.microsoft.com/office/drawing/2014/main" id="{00000000-0008-0000-0600-000037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38</xdr:row>
          <xdr:rowOff>12700</xdr:rowOff>
        </xdr:from>
        <xdr:to>
          <xdr:col>69</xdr:col>
          <xdr:colOff>50800</xdr:colOff>
          <xdr:row>38</xdr:row>
          <xdr:rowOff>273050</xdr:rowOff>
        </xdr:to>
        <xdr:sp macro="" textlink="">
          <xdr:nvSpPr>
            <xdr:cNvPr id="23608" name="TaskCheck_BQ39" hidden="1">
              <a:extLst>
                <a:ext uri="{63B3BB69-23CF-44E3-9099-C40C66FF867C}">
                  <a14:compatExt spid="_x0000_s23608"/>
                </a:ext>
                <a:ext uri="{FF2B5EF4-FFF2-40B4-BE49-F238E27FC236}">
                  <a16:creationId xmlns:a16="http://schemas.microsoft.com/office/drawing/2014/main" id="{00000000-0008-0000-0600-000038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38</xdr:row>
          <xdr:rowOff>12700</xdr:rowOff>
        </xdr:from>
        <xdr:to>
          <xdr:col>75</xdr:col>
          <xdr:colOff>50800</xdr:colOff>
          <xdr:row>38</xdr:row>
          <xdr:rowOff>273050</xdr:rowOff>
        </xdr:to>
        <xdr:sp macro="" textlink="">
          <xdr:nvSpPr>
            <xdr:cNvPr id="23609" name="TaskCheck_BW39" hidden="1">
              <a:extLst>
                <a:ext uri="{63B3BB69-23CF-44E3-9099-C40C66FF867C}">
                  <a14:compatExt spid="_x0000_s23609"/>
                </a:ext>
                <a:ext uri="{FF2B5EF4-FFF2-40B4-BE49-F238E27FC236}">
                  <a16:creationId xmlns:a16="http://schemas.microsoft.com/office/drawing/2014/main" id="{00000000-0008-0000-0600-000039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39</xdr:row>
          <xdr:rowOff>12700</xdr:rowOff>
        </xdr:from>
        <xdr:to>
          <xdr:col>69</xdr:col>
          <xdr:colOff>50800</xdr:colOff>
          <xdr:row>39</xdr:row>
          <xdr:rowOff>273050</xdr:rowOff>
        </xdr:to>
        <xdr:sp macro="" textlink="">
          <xdr:nvSpPr>
            <xdr:cNvPr id="23610" name="TaskCheck_BQ40" hidden="1">
              <a:extLst>
                <a:ext uri="{63B3BB69-23CF-44E3-9099-C40C66FF867C}">
                  <a14:compatExt spid="_x0000_s23610"/>
                </a:ext>
                <a:ext uri="{FF2B5EF4-FFF2-40B4-BE49-F238E27FC236}">
                  <a16:creationId xmlns:a16="http://schemas.microsoft.com/office/drawing/2014/main" id="{00000000-0008-0000-0600-00003A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39</xdr:row>
          <xdr:rowOff>12700</xdr:rowOff>
        </xdr:from>
        <xdr:to>
          <xdr:col>75</xdr:col>
          <xdr:colOff>50800</xdr:colOff>
          <xdr:row>39</xdr:row>
          <xdr:rowOff>273050</xdr:rowOff>
        </xdr:to>
        <xdr:sp macro="" textlink="">
          <xdr:nvSpPr>
            <xdr:cNvPr id="23611" name="TaskCheck_BW40" hidden="1">
              <a:extLst>
                <a:ext uri="{63B3BB69-23CF-44E3-9099-C40C66FF867C}">
                  <a14:compatExt spid="_x0000_s23611"/>
                </a:ext>
                <a:ext uri="{FF2B5EF4-FFF2-40B4-BE49-F238E27FC236}">
                  <a16:creationId xmlns:a16="http://schemas.microsoft.com/office/drawing/2014/main" id="{00000000-0008-0000-0600-00003B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40</xdr:row>
          <xdr:rowOff>12700</xdr:rowOff>
        </xdr:from>
        <xdr:to>
          <xdr:col>69</xdr:col>
          <xdr:colOff>50800</xdr:colOff>
          <xdr:row>40</xdr:row>
          <xdr:rowOff>273050</xdr:rowOff>
        </xdr:to>
        <xdr:sp macro="" textlink="">
          <xdr:nvSpPr>
            <xdr:cNvPr id="23612" name="TaskCheck_BQ41" hidden="1">
              <a:extLst>
                <a:ext uri="{63B3BB69-23CF-44E3-9099-C40C66FF867C}">
                  <a14:compatExt spid="_x0000_s23612"/>
                </a:ext>
                <a:ext uri="{FF2B5EF4-FFF2-40B4-BE49-F238E27FC236}">
                  <a16:creationId xmlns:a16="http://schemas.microsoft.com/office/drawing/2014/main" id="{00000000-0008-0000-0600-00003C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40</xdr:row>
          <xdr:rowOff>12700</xdr:rowOff>
        </xdr:from>
        <xdr:to>
          <xdr:col>75</xdr:col>
          <xdr:colOff>50800</xdr:colOff>
          <xdr:row>40</xdr:row>
          <xdr:rowOff>273050</xdr:rowOff>
        </xdr:to>
        <xdr:sp macro="" textlink="">
          <xdr:nvSpPr>
            <xdr:cNvPr id="23613" name="TaskCheck_BW41" hidden="1">
              <a:extLst>
                <a:ext uri="{63B3BB69-23CF-44E3-9099-C40C66FF867C}">
                  <a14:compatExt spid="_x0000_s23613"/>
                </a:ext>
                <a:ext uri="{FF2B5EF4-FFF2-40B4-BE49-F238E27FC236}">
                  <a16:creationId xmlns:a16="http://schemas.microsoft.com/office/drawing/2014/main" id="{00000000-0008-0000-0600-00003D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41</xdr:row>
          <xdr:rowOff>12700</xdr:rowOff>
        </xdr:from>
        <xdr:to>
          <xdr:col>69</xdr:col>
          <xdr:colOff>50800</xdr:colOff>
          <xdr:row>41</xdr:row>
          <xdr:rowOff>273050</xdr:rowOff>
        </xdr:to>
        <xdr:sp macro="" textlink="">
          <xdr:nvSpPr>
            <xdr:cNvPr id="23614" name="TaskCheck_BQ42" hidden="1">
              <a:extLst>
                <a:ext uri="{63B3BB69-23CF-44E3-9099-C40C66FF867C}">
                  <a14:compatExt spid="_x0000_s23614"/>
                </a:ext>
                <a:ext uri="{FF2B5EF4-FFF2-40B4-BE49-F238E27FC236}">
                  <a16:creationId xmlns:a16="http://schemas.microsoft.com/office/drawing/2014/main" id="{00000000-0008-0000-0600-00003E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41</xdr:row>
          <xdr:rowOff>12700</xdr:rowOff>
        </xdr:from>
        <xdr:to>
          <xdr:col>75</xdr:col>
          <xdr:colOff>50800</xdr:colOff>
          <xdr:row>41</xdr:row>
          <xdr:rowOff>273050</xdr:rowOff>
        </xdr:to>
        <xdr:sp macro="" textlink="">
          <xdr:nvSpPr>
            <xdr:cNvPr id="23615" name="TaskCheck_BW42" hidden="1">
              <a:extLst>
                <a:ext uri="{63B3BB69-23CF-44E3-9099-C40C66FF867C}">
                  <a14:compatExt spid="_x0000_s23615"/>
                </a:ext>
                <a:ext uri="{FF2B5EF4-FFF2-40B4-BE49-F238E27FC236}">
                  <a16:creationId xmlns:a16="http://schemas.microsoft.com/office/drawing/2014/main" id="{00000000-0008-0000-0600-00003F5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74</xdr:col>
          <xdr:colOff>19050</xdr:colOff>
          <xdr:row>2</xdr:row>
          <xdr:rowOff>12700</xdr:rowOff>
        </xdr:from>
        <xdr:to>
          <xdr:col>75</xdr:col>
          <xdr:colOff>50800</xdr:colOff>
          <xdr:row>2</xdr:row>
          <xdr:rowOff>273050</xdr:rowOff>
        </xdr:to>
        <xdr:sp macro="" textlink="">
          <xdr:nvSpPr>
            <xdr:cNvPr id="58373" name="TaskCheck_BW3" hidden="1">
              <a:extLst>
                <a:ext uri="{63B3BB69-23CF-44E3-9099-C40C66FF867C}">
                  <a14:compatExt spid="_x0000_s58373"/>
                </a:ext>
                <a:ext uri="{FF2B5EF4-FFF2-40B4-BE49-F238E27FC236}">
                  <a16:creationId xmlns:a16="http://schemas.microsoft.com/office/drawing/2014/main" id="{00000000-0008-0000-0700-00000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xdr:row>
          <xdr:rowOff>12700</xdr:rowOff>
        </xdr:from>
        <xdr:to>
          <xdr:col>75</xdr:col>
          <xdr:colOff>50800</xdr:colOff>
          <xdr:row>3</xdr:row>
          <xdr:rowOff>273050</xdr:rowOff>
        </xdr:to>
        <xdr:sp macro="" textlink="">
          <xdr:nvSpPr>
            <xdr:cNvPr id="58374" name="TaskCheck_BW4" hidden="1">
              <a:extLst>
                <a:ext uri="{63B3BB69-23CF-44E3-9099-C40C66FF867C}">
                  <a14:compatExt spid="_x0000_s58374"/>
                </a:ext>
                <a:ext uri="{FF2B5EF4-FFF2-40B4-BE49-F238E27FC236}">
                  <a16:creationId xmlns:a16="http://schemas.microsoft.com/office/drawing/2014/main" id="{00000000-0008-0000-0700-00000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4</xdr:row>
          <xdr:rowOff>12700</xdr:rowOff>
        </xdr:from>
        <xdr:to>
          <xdr:col>75</xdr:col>
          <xdr:colOff>50800</xdr:colOff>
          <xdr:row>4</xdr:row>
          <xdr:rowOff>273050</xdr:rowOff>
        </xdr:to>
        <xdr:sp macro="" textlink="">
          <xdr:nvSpPr>
            <xdr:cNvPr id="58375" name="TaskCheck_BW5" hidden="1">
              <a:extLst>
                <a:ext uri="{63B3BB69-23CF-44E3-9099-C40C66FF867C}">
                  <a14:compatExt spid="_x0000_s58375"/>
                </a:ext>
                <a:ext uri="{FF2B5EF4-FFF2-40B4-BE49-F238E27FC236}">
                  <a16:creationId xmlns:a16="http://schemas.microsoft.com/office/drawing/2014/main" id="{00000000-0008-0000-0700-00000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5</xdr:row>
          <xdr:rowOff>12700</xdr:rowOff>
        </xdr:from>
        <xdr:to>
          <xdr:col>75</xdr:col>
          <xdr:colOff>50800</xdr:colOff>
          <xdr:row>5</xdr:row>
          <xdr:rowOff>273050</xdr:rowOff>
        </xdr:to>
        <xdr:sp macro="" textlink="">
          <xdr:nvSpPr>
            <xdr:cNvPr id="58376" name="TaskCheck_BW6" hidden="1">
              <a:extLst>
                <a:ext uri="{63B3BB69-23CF-44E3-9099-C40C66FF867C}">
                  <a14:compatExt spid="_x0000_s58376"/>
                </a:ext>
                <a:ext uri="{FF2B5EF4-FFF2-40B4-BE49-F238E27FC236}">
                  <a16:creationId xmlns:a16="http://schemas.microsoft.com/office/drawing/2014/main" id="{00000000-0008-0000-0700-00000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6</xdr:row>
          <xdr:rowOff>12700</xdr:rowOff>
        </xdr:from>
        <xdr:to>
          <xdr:col>75</xdr:col>
          <xdr:colOff>50800</xdr:colOff>
          <xdr:row>6</xdr:row>
          <xdr:rowOff>273050</xdr:rowOff>
        </xdr:to>
        <xdr:sp macro="" textlink="">
          <xdr:nvSpPr>
            <xdr:cNvPr id="58377" name="TaskCheck_BW7" hidden="1">
              <a:extLst>
                <a:ext uri="{63B3BB69-23CF-44E3-9099-C40C66FF867C}">
                  <a14:compatExt spid="_x0000_s58377"/>
                </a:ext>
                <a:ext uri="{FF2B5EF4-FFF2-40B4-BE49-F238E27FC236}">
                  <a16:creationId xmlns:a16="http://schemas.microsoft.com/office/drawing/2014/main" id="{00000000-0008-0000-0700-00000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7</xdr:row>
          <xdr:rowOff>12700</xdr:rowOff>
        </xdr:from>
        <xdr:to>
          <xdr:col>75</xdr:col>
          <xdr:colOff>50800</xdr:colOff>
          <xdr:row>7</xdr:row>
          <xdr:rowOff>273050</xdr:rowOff>
        </xdr:to>
        <xdr:sp macro="" textlink="">
          <xdr:nvSpPr>
            <xdr:cNvPr id="58378" name="TaskCheck_BW8" hidden="1">
              <a:extLst>
                <a:ext uri="{63B3BB69-23CF-44E3-9099-C40C66FF867C}">
                  <a14:compatExt spid="_x0000_s58378"/>
                </a:ext>
                <a:ext uri="{FF2B5EF4-FFF2-40B4-BE49-F238E27FC236}">
                  <a16:creationId xmlns:a16="http://schemas.microsoft.com/office/drawing/2014/main" id="{00000000-0008-0000-0700-00000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8</xdr:row>
          <xdr:rowOff>12700</xdr:rowOff>
        </xdr:from>
        <xdr:to>
          <xdr:col>75</xdr:col>
          <xdr:colOff>50800</xdr:colOff>
          <xdr:row>8</xdr:row>
          <xdr:rowOff>273050</xdr:rowOff>
        </xdr:to>
        <xdr:sp macro="" textlink="">
          <xdr:nvSpPr>
            <xdr:cNvPr id="58379" name="TaskCheck_BW9" hidden="1">
              <a:extLst>
                <a:ext uri="{63B3BB69-23CF-44E3-9099-C40C66FF867C}">
                  <a14:compatExt spid="_x0000_s58379"/>
                </a:ext>
                <a:ext uri="{FF2B5EF4-FFF2-40B4-BE49-F238E27FC236}">
                  <a16:creationId xmlns:a16="http://schemas.microsoft.com/office/drawing/2014/main" id="{00000000-0008-0000-0700-00000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9</xdr:row>
          <xdr:rowOff>12700</xdr:rowOff>
        </xdr:from>
        <xdr:to>
          <xdr:col>75</xdr:col>
          <xdr:colOff>50800</xdr:colOff>
          <xdr:row>9</xdr:row>
          <xdr:rowOff>273050</xdr:rowOff>
        </xdr:to>
        <xdr:sp macro="" textlink="">
          <xdr:nvSpPr>
            <xdr:cNvPr id="58380" name="TaskCheck_BW10" hidden="1">
              <a:extLst>
                <a:ext uri="{63B3BB69-23CF-44E3-9099-C40C66FF867C}">
                  <a14:compatExt spid="_x0000_s58380"/>
                </a:ext>
                <a:ext uri="{FF2B5EF4-FFF2-40B4-BE49-F238E27FC236}">
                  <a16:creationId xmlns:a16="http://schemas.microsoft.com/office/drawing/2014/main" id="{00000000-0008-0000-0700-00000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10</xdr:row>
          <xdr:rowOff>12700</xdr:rowOff>
        </xdr:from>
        <xdr:to>
          <xdr:col>75</xdr:col>
          <xdr:colOff>50800</xdr:colOff>
          <xdr:row>10</xdr:row>
          <xdr:rowOff>273050</xdr:rowOff>
        </xdr:to>
        <xdr:sp macro="" textlink="">
          <xdr:nvSpPr>
            <xdr:cNvPr id="58381" name="TaskCheck_BW11" hidden="1">
              <a:extLst>
                <a:ext uri="{63B3BB69-23CF-44E3-9099-C40C66FF867C}">
                  <a14:compatExt spid="_x0000_s58381"/>
                </a:ext>
                <a:ext uri="{FF2B5EF4-FFF2-40B4-BE49-F238E27FC236}">
                  <a16:creationId xmlns:a16="http://schemas.microsoft.com/office/drawing/2014/main" id="{00000000-0008-0000-0700-00000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11</xdr:row>
          <xdr:rowOff>12700</xdr:rowOff>
        </xdr:from>
        <xdr:to>
          <xdr:col>75</xdr:col>
          <xdr:colOff>50800</xdr:colOff>
          <xdr:row>11</xdr:row>
          <xdr:rowOff>273050</xdr:rowOff>
        </xdr:to>
        <xdr:sp macro="" textlink="">
          <xdr:nvSpPr>
            <xdr:cNvPr id="58382" name="TaskCheck_BW12" hidden="1">
              <a:extLst>
                <a:ext uri="{63B3BB69-23CF-44E3-9099-C40C66FF867C}">
                  <a14:compatExt spid="_x0000_s58382"/>
                </a:ext>
                <a:ext uri="{FF2B5EF4-FFF2-40B4-BE49-F238E27FC236}">
                  <a16:creationId xmlns:a16="http://schemas.microsoft.com/office/drawing/2014/main" id="{00000000-0008-0000-0700-00000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12</xdr:row>
          <xdr:rowOff>12700</xdr:rowOff>
        </xdr:from>
        <xdr:to>
          <xdr:col>75</xdr:col>
          <xdr:colOff>50800</xdr:colOff>
          <xdr:row>12</xdr:row>
          <xdr:rowOff>273050</xdr:rowOff>
        </xdr:to>
        <xdr:sp macro="" textlink="">
          <xdr:nvSpPr>
            <xdr:cNvPr id="58383" name="TaskCheck_BW13" hidden="1">
              <a:extLst>
                <a:ext uri="{63B3BB69-23CF-44E3-9099-C40C66FF867C}">
                  <a14:compatExt spid="_x0000_s58383"/>
                </a:ext>
                <a:ext uri="{FF2B5EF4-FFF2-40B4-BE49-F238E27FC236}">
                  <a16:creationId xmlns:a16="http://schemas.microsoft.com/office/drawing/2014/main" id="{00000000-0008-0000-0700-00000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13</xdr:row>
          <xdr:rowOff>12700</xdr:rowOff>
        </xdr:from>
        <xdr:to>
          <xdr:col>75</xdr:col>
          <xdr:colOff>50800</xdr:colOff>
          <xdr:row>13</xdr:row>
          <xdr:rowOff>273050</xdr:rowOff>
        </xdr:to>
        <xdr:sp macro="" textlink="">
          <xdr:nvSpPr>
            <xdr:cNvPr id="58384" name="TaskCheck_BW14" hidden="1">
              <a:extLst>
                <a:ext uri="{63B3BB69-23CF-44E3-9099-C40C66FF867C}">
                  <a14:compatExt spid="_x0000_s58384"/>
                </a:ext>
                <a:ext uri="{FF2B5EF4-FFF2-40B4-BE49-F238E27FC236}">
                  <a16:creationId xmlns:a16="http://schemas.microsoft.com/office/drawing/2014/main" id="{00000000-0008-0000-0700-000010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14</xdr:row>
          <xdr:rowOff>12700</xdr:rowOff>
        </xdr:from>
        <xdr:to>
          <xdr:col>75</xdr:col>
          <xdr:colOff>50800</xdr:colOff>
          <xdr:row>14</xdr:row>
          <xdr:rowOff>273050</xdr:rowOff>
        </xdr:to>
        <xdr:sp macro="" textlink="">
          <xdr:nvSpPr>
            <xdr:cNvPr id="58385" name="TaskCheck_BW15" hidden="1">
              <a:extLst>
                <a:ext uri="{63B3BB69-23CF-44E3-9099-C40C66FF867C}">
                  <a14:compatExt spid="_x0000_s58385"/>
                </a:ext>
                <a:ext uri="{FF2B5EF4-FFF2-40B4-BE49-F238E27FC236}">
                  <a16:creationId xmlns:a16="http://schemas.microsoft.com/office/drawing/2014/main" id="{00000000-0008-0000-0700-00001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15</xdr:row>
          <xdr:rowOff>12700</xdr:rowOff>
        </xdr:from>
        <xdr:to>
          <xdr:col>75</xdr:col>
          <xdr:colOff>50800</xdr:colOff>
          <xdr:row>15</xdr:row>
          <xdr:rowOff>273050</xdr:rowOff>
        </xdr:to>
        <xdr:sp macro="" textlink="">
          <xdr:nvSpPr>
            <xdr:cNvPr id="58386" name="TaskCheck_BW16" hidden="1">
              <a:extLst>
                <a:ext uri="{63B3BB69-23CF-44E3-9099-C40C66FF867C}">
                  <a14:compatExt spid="_x0000_s58386"/>
                </a:ext>
                <a:ext uri="{FF2B5EF4-FFF2-40B4-BE49-F238E27FC236}">
                  <a16:creationId xmlns:a16="http://schemas.microsoft.com/office/drawing/2014/main" id="{00000000-0008-0000-0700-00001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18</xdr:row>
          <xdr:rowOff>12700</xdr:rowOff>
        </xdr:from>
        <xdr:to>
          <xdr:col>75</xdr:col>
          <xdr:colOff>50800</xdr:colOff>
          <xdr:row>18</xdr:row>
          <xdr:rowOff>273050</xdr:rowOff>
        </xdr:to>
        <xdr:sp macro="" textlink="">
          <xdr:nvSpPr>
            <xdr:cNvPr id="58387" name="TaskCheck_BW19" hidden="1">
              <a:extLst>
                <a:ext uri="{63B3BB69-23CF-44E3-9099-C40C66FF867C}">
                  <a14:compatExt spid="_x0000_s58387"/>
                </a:ext>
                <a:ext uri="{FF2B5EF4-FFF2-40B4-BE49-F238E27FC236}">
                  <a16:creationId xmlns:a16="http://schemas.microsoft.com/office/drawing/2014/main" id="{00000000-0008-0000-0700-00001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19</xdr:row>
          <xdr:rowOff>12700</xdr:rowOff>
        </xdr:from>
        <xdr:to>
          <xdr:col>75</xdr:col>
          <xdr:colOff>50800</xdr:colOff>
          <xdr:row>19</xdr:row>
          <xdr:rowOff>273050</xdr:rowOff>
        </xdr:to>
        <xdr:sp macro="" textlink="">
          <xdr:nvSpPr>
            <xdr:cNvPr id="58388" name="TaskCheck_BW20" hidden="1">
              <a:extLst>
                <a:ext uri="{63B3BB69-23CF-44E3-9099-C40C66FF867C}">
                  <a14:compatExt spid="_x0000_s58388"/>
                </a:ext>
                <a:ext uri="{FF2B5EF4-FFF2-40B4-BE49-F238E27FC236}">
                  <a16:creationId xmlns:a16="http://schemas.microsoft.com/office/drawing/2014/main" id="{00000000-0008-0000-0700-00001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20</xdr:row>
          <xdr:rowOff>12700</xdr:rowOff>
        </xdr:from>
        <xdr:to>
          <xdr:col>75</xdr:col>
          <xdr:colOff>50800</xdr:colOff>
          <xdr:row>20</xdr:row>
          <xdr:rowOff>273050</xdr:rowOff>
        </xdr:to>
        <xdr:sp macro="" textlink="">
          <xdr:nvSpPr>
            <xdr:cNvPr id="58389" name="TaskCheck_BW21" hidden="1">
              <a:extLst>
                <a:ext uri="{63B3BB69-23CF-44E3-9099-C40C66FF867C}">
                  <a14:compatExt spid="_x0000_s58389"/>
                </a:ext>
                <a:ext uri="{FF2B5EF4-FFF2-40B4-BE49-F238E27FC236}">
                  <a16:creationId xmlns:a16="http://schemas.microsoft.com/office/drawing/2014/main" id="{00000000-0008-0000-0700-00001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21</xdr:row>
          <xdr:rowOff>12700</xdr:rowOff>
        </xdr:from>
        <xdr:to>
          <xdr:col>75</xdr:col>
          <xdr:colOff>50800</xdr:colOff>
          <xdr:row>21</xdr:row>
          <xdr:rowOff>273050</xdr:rowOff>
        </xdr:to>
        <xdr:sp macro="" textlink="">
          <xdr:nvSpPr>
            <xdr:cNvPr id="58390" name="TaskCheck_BW22" hidden="1">
              <a:extLst>
                <a:ext uri="{63B3BB69-23CF-44E3-9099-C40C66FF867C}">
                  <a14:compatExt spid="_x0000_s58390"/>
                </a:ext>
                <a:ext uri="{FF2B5EF4-FFF2-40B4-BE49-F238E27FC236}">
                  <a16:creationId xmlns:a16="http://schemas.microsoft.com/office/drawing/2014/main" id="{00000000-0008-0000-0700-00001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22</xdr:row>
          <xdr:rowOff>12700</xdr:rowOff>
        </xdr:from>
        <xdr:to>
          <xdr:col>75</xdr:col>
          <xdr:colOff>50800</xdr:colOff>
          <xdr:row>22</xdr:row>
          <xdr:rowOff>273050</xdr:rowOff>
        </xdr:to>
        <xdr:sp macro="" textlink="">
          <xdr:nvSpPr>
            <xdr:cNvPr id="58391" name="TaskCheck_BW23" hidden="1">
              <a:extLst>
                <a:ext uri="{63B3BB69-23CF-44E3-9099-C40C66FF867C}">
                  <a14:compatExt spid="_x0000_s58391"/>
                </a:ext>
                <a:ext uri="{FF2B5EF4-FFF2-40B4-BE49-F238E27FC236}">
                  <a16:creationId xmlns:a16="http://schemas.microsoft.com/office/drawing/2014/main" id="{00000000-0008-0000-0700-00001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23</xdr:row>
          <xdr:rowOff>12700</xdr:rowOff>
        </xdr:from>
        <xdr:to>
          <xdr:col>75</xdr:col>
          <xdr:colOff>50800</xdr:colOff>
          <xdr:row>23</xdr:row>
          <xdr:rowOff>273050</xdr:rowOff>
        </xdr:to>
        <xdr:sp macro="" textlink="">
          <xdr:nvSpPr>
            <xdr:cNvPr id="58392" name="TaskCheck_BW24" hidden="1">
              <a:extLst>
                <a:ext uri="{63B3BB69-23CF-44E3-9099-C40C66FF867C}">
                  <a14:compatExt spid="_x0000_s58392"/>
                </a:ext>
                <a:ext uri="{FF2B5EF4-FFF2-40B4-BE49-F238E27FC236}">
                  <a16:creationId xmlns:a16="http://schemas.microsoft.com/office/drawing/2014/main" id="{00000000-0008-0000-0700-00001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24</xdr:row>
          <xdr:rowOff>12700</xdr:rowOff>
        </xdr:from>
        <xdr:to>
          <xdr:col>75</xdr:col>
          <xdr:colOff>50800</xdr:colOff>
          <xdr:row>24</xdr:row>
          <xdr:rowOff>273050</xdr:rowOff>
        </xdr:to>
        <xdr:sp macro="" textlink="">
          <xdr:nvSpPr>
            <xdr:cNvPr id="58393" name="TaskCheck_BW25" hidden="1">
              <a:extLst>
                <a:ext uri="{63B3BB69-23CF-44E3-9099-C40C66FF867C}">
                  <a14:compatExt spid="_x0000_s58393"/>
                </a:ext>
                <a:ext uri="{FF2B5EF4-FFF2-40B4-BE49-F238E27FC236}">
                  <a16:creationId xmlns:a16="http://schemas.microsoft.com/office/drawing/2014/main" id="{00000000-0008-0000-0700-00001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25</xdr:row>
          <xdr:rowOff>12700</xdr:rowOff>
        </xdr:from>
        <xdr:to>
          <xdr:col>75</xdr:col>
          <xdr:colOff>50800</xdr:colOff>
          <xdr:row>25</xdr:row>
          <xdr:rowOff>273050</xdr:rowOff>
        </xdr:to>
        <xdr:sp macro="" textlink="">
          <xdr:nvSpPr>
            <xdr:cNvPr id="58394" name="TaskCheck_BW26" hidden="1">
              <a:extLst>
                <a:ext uri="{63B3BB69-23CF-44E3-9099-C40C66FF867C}">
                  <a14:compatExt spid="_x0000_s58394"/>
                </a:ext>
                <a:ext uri="{FF2B5EF4-FFF2-40B4-BE49-F238E27FC236}">
                  <a16:creationId xmlns:a16="http://schemas.microsoft.com/office/drawing/2014/main" id="{00000000-0008-0000-0700-00001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26</xdr:row>
          <xdr:rowOff>12700</xdr:rowOff>
        </xdr:from>
        <xdr:to>
          <xdr:col>75</xdr:col>
          <xdr:colOff>50800</xdr:colOff>
          <xdr:row>26</xdr:row>
          <xdr:rowOff>273050</xdr:rowOff>
        </xdr:to>
        <xdr:sp macro="" textlink="">
          <xdr:nvSpPr>
            <xdr:cNvPr id="58395" name="TaskCheck_BW27" hidden="1">
              <a:extLst>
                <a:ext uri="{63B3BB69-23CF-44E3-9099-C40C66FF867C}">
                  <a14:compatExt spid="_x0000_s58395"/>
                </a:ext>
                <a:ext uri="{FF2B5EF4-FFF2-40B4-BE49-F238E27FC236}">
                  <a16:creationId xmlns:a16="http://schemas.microsoft.com/office/drawing/2014/main" id="{00000000-0008-0000-0700-00001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27</xdr:row>
          <xdr:rowOff>12700</xdr:rowOff>
        </xdr:from>
        <xdr:to>
          <xdr:col>75</xdr:col>
          <xdr:colOff>50800</xdr:colOff>
          <xdr:row>27</xdr:row>
          <xdr:rowOff>273050</xdr:rowOff>
        </xdr:to>
        <xdr:sp macro="" textlink="">
          <xdr:nvSpPr>
            <xdr:cNvPr id="58396" name="TaskCheck_BW28" hidden="1">
              <a:extLst>
                <a:ext uri="{63B3BB69-23CF-44E3-9099-C40C66FF867C}">
                  <a14:compatExt spid="_x0000_s58396"/>
                </a:ext>
                <a:ext uri="{FF2B5EF4-FFF2-40B4-BE49-F238E27FC236}">
                  <a16:creationId xmlns:a16="http://schemas.microsoft.com/office/drawing/2014/main" id="{00000000-0008-0000-0700-00001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28</xdr:row>
          <xdr:rowOff>12700</xdr:rowOff>
        </xdr:from>
        <xdr:to>
          <xdr:col>75</xdr:col>
          <xdr:colOff>50800</xdr:colOff>
          <xdr:row>28</xdr:row>
          <xdr:rowOff>273050</xdr:rowOff>
        </xdr:to>
        <xdr:sp macro="" textlink="">
          <xdr:nvSpPr>
            <xdr:cNvPr id="58397" name="TaskCheck_BW29" hidden="1">
              <a:extLst>
                <a:ext uri="{63B3BB69-23CF-44E3-9099-C40C66FF867C}">
                  <a14:compatExt spid="_x0000_s58397"/>
                </a:ext>
                <a:ext uri="{FF2B5EF4-FFF2-40B4-BE49-F238E27FC236}">
                  <a16:creationId xmlns:a16="http://schemas.microsoft.com/office/drawing/2014/main" id="{00000000-0008-0000-0700-00001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29</xdr:row>
          <xdr:rowOff>12700</xdr:rowOff>
        </xdr:from>
        <xdr:to>
          <xdr:col>75</xdr:col>
          <xdr:colOff>50800</xdr:colOff>
          <xdr:row>29</xdr:row>
          <xdr:rowOff>273050</xdr:rowOff>
        </xdr:to>
        <xdr:sp macro="" textlink="">
          <xdr:nvSpPr>
            <xdr:cNvPr id="58398" name="TaskCheck_BW30" hidden="1">
              <a:extLst>
                <a:ext uri="{63B3BB69-23CF-44E3-9099-C40C66FF867C}">
                  <a14:compatExt spid="_x0000_s58398"/>
                </a:ext>
                <a:ext uri="{FF2B5EF4-FFF2-40B4-BE49-F238E27FC236}">
                  <a16:creationId xmlns:a16="http://schemas.microsoft.com/office/drawing/2014/main" id="{00000000-0008-0000-0700-00001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30</xdr:row>
          <xdr:rowOff>12700</xdr:rowOff>
        </xdr:from>
        <xdr:to>
          <xdr:col>75</xdr:col>
          <xdr:colOff>50800</xdr:colOff>
          <xdr:row>30</xdr:row>
          <xdr:rowOff>273050</xdr:rowOff>
        </xdr:to>
        <xdr:sp macro="" textlink="">
          <xdr:nvSpPr>
            <xdr:cNvPr id="58399" name="TaskCheck_BW31" hidden="1">
              <a:extLst>
                <a:ext uri="{63B3BB69-23CF-44E3-9099-C40C66FF867C}">
                  <a14:compatExt spid="_x0000_s58399"/>
                </a:ext>
                <a:ext uri="{FF2B5EF4-FFF2-40B4-BE49-F238E27FC236}">
                  <a16:creationId xmlns:a16="http://schemas.microsoft.com/office/drawing/2014/main" id="{00000000-0008-0000-0700-00001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31</xdr:row>
          <xdr:rowOff>12700</xdr:rowOff>
        </xdr:from>
        <xdr:to>
          <xdr:col>75</xdr:col>
          <xdr:colOff>50800</xdr:colOff>
          <xdr:row>31</xdr:row>
          <xdr:rowOff>273050</xdr:rowOff>
        </xdr:to>
        <xdr:sp macro="" textlink="">
          <xdr:nvSpPr>
            <xdr:cNvPr id="58400" name="TaskCheck_BW32" hidden="1">
              <a:extLst>
                <a:ext uri="{63B3BB69-23CF-44E3-9099-C40C66FF867C}">
                  <a14:compatExt spid="_x0000_s58400"/>
                </a:ext>
                <a:ext uri="{FF2B5EF4-FFF2-40B4-BE49-F238E27FC236}">
                  <a16:creationId xmlns:a16="http://schemas.microsoft.com/office/drawing/2014/main" id="{00000000-0008-0000-0700-000020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32</xdr:row>
          <xdr:rowOff>12700</xdr:rowOff>
        </xdr:from>
        <xdr:to>
          <xdr:col>75</xdr:col>
          <xdr:colOff>50800</xdr:colOff>
          <xdr:row>32</xdr:row>
          <xdr:rowOff>273050</xdr:rowOff>
        </xdr:to>
        <xdr:sp macro="" textlink="">
          <xdr:nvSpPr>
            <xdr:cNvPr id="58401" name="TaskCheck_BW33" hidden="1">
              <a:extLst>
                <a:ext uri="{63B3BB69-23CF-44E3-9099-C40C66FF867C}">
                  <a14:compatExt spid="_x0000_s58401"/>
                </a:ext>
                <a:ext uri="{FF2B5EF4-FFF2-40B4-BE49-F238E27FC236}">
                  <a16:creationId xmlns:a16="http://schemas.microsoft.com/office/drawing/2014/main" id="{00000000-0008-0000-0700-00002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35</xdr:row>
          <xdr:rowOff>12700</xdr:rowOff>
        </xdr:from>
        <xdr:to>
          <xdr:col>75</xdr:col>
          <xdr:colOff>50800</xdr:colOff>
          <xdr:row>35</xdr:row>
          <xdr:rowOff>273050</xdr:rowOff>
        </xdr:to>
        <xdr:sp macro="" textlink="">
          <xdr:nvSpPr>
            <xdr:cNvPr id="58402" name="TaskCheck_BW36" hidden="1">
              <a:extLst>
                <a:ext uri="{63B3BB69-23CF-44E3-9099-C40C66FF867C}">
                  <a14:compatExt spid="_x0000_s58402"/>
                </a:ext>
                <a:ext uri="{FF2B5EF4-FFF2-40B4-BE49-F238E27FC236}">
                  <a16:creationId xmlns:a16="http://schemas.microsoft.com/office/drawing/2014/main" id="{00000000-0008-0000-0700-00002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36</xdr:row>
          <xdr:rowOff>12700</xdr:rowOff>
        </xdr:from>
        <xdr:to>
          <xdr:col>69</xdr:col>
          <xdr:colOff>50800</xdr:colOff>
          <xdr:row>36</xdr:row>
          <xdr:rowOff>273050</xdr:rowOff>
        </xdr:to>
        <xdr:sp macro="" textlink="">
          <xdr:nvSpPr>
            <xdr:cNvPr id="58403" name="TaskCheck_BQ37" hidden="1">
              <a:extLst>
                <a:ext uri="{63B3BB69-23CF-44E3-9099-C40C66FF867C}">
                  <a14:compatExt spid="_x0000_s58403"/>
                </a:ext>
                <a:ext uri="{FF2B5EF4-FFF2-40B4-BE49-F238E27FC236}">
                  <a16:creationId xmlns:a16="http://schemas.microsoft.com/office/drawing/2014/main" id="{00000000-0008-0000-0700-00002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36</xdr:row>
          <xdr:rowOff>12700</xdr:rowOff>
        </xdr:from>
        <xdr:to>
          <xdr:col>75</xdr:col>
          <xdr:colOff>50800</xdr:colOff>
          <xdr:row>36</xdr:row>
          <xdr:rowOff>273050</xdr:rowOff>
        </xdr:to>
        <xdr:sp macro="" textlink="">
          <xdr:nvSpPr>
            <xdr:cNvPr id="58404" name="TaskCheck_BW37" hidden="1">
              <a:extLst>
                <a:ext uri="{63B3BB69-23CF-44E3-9099-C40C66FF867C}">
                  <a14:compatExt spid="_x0000_s58404"/>
                </a:ext>
                <a:ext uri="{FF2B5EF4-FFF2-40B4-BE49-F238E27FC236}">
                  <a16:creationId xmlns:a16="http://schemas.microsoft.com/office/drawing/2014/main" id="{00000000-0008-0000-0700-00002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37</xdr:row>
          <xdr:rowOff>12700</xdr:rowOff>
        </xdr:from>
        <xdr:to>
          <xdr:col>69</xdr:col>
          <xdr:colOff>50800</xdr:colOff>
          <xdr:row>37</xdr:row>
          <xdr:rowOff>273050</xdr:rowOff>
        </xdr:to>
        <xdr:sp macro="" textlink="">
          <xdr:nvSpPr>
            <xdr:cNvPr id="58405" name="TaskCheck_BQ38" hidden="1">
              <a:extLst>
                <a:ext uri="{63B3BB69-23CF-44E3-9099-C40C66FF867C}">
                  <a14:compatExt spid="_x0000_s58405"/>
                </a:ext>
                <a:ext uri="{FF2B5EF4-FFF2-40B4-BE49-F238E27FC236}">
                  <a16:creationId xmlns:a16="http://schemas.microsoft.com/office/drawing/2014/main" id="{00000000-0008-0000-0700-00002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37</xdr:row>
          <xdr:rowOff>12700</xdr:rowOff>
        </xdr:from>
        <xdr:to>
          <xdr:col>75</xdr:col>
          <xdr:colOff>50800</xdr:colOff>
          <xdr:row>37</xdr:row>
          <xdr:rowOff>273050</xdr:rowOff>
        </xdr:to>
        <xdr:sp macro="" textlink="">
          <xdr:nvSpPr>
            <xdr:cNvPr id="58406" name="TaskCheck_BW38" hidden="1">
              <a:extLst>
                <a:ext uri="{63B3BB69-23CF-44E3-9099-C40C66FF867C}">
                  <a14:compatExt spid="_x0000_s58406"/>
                </a:ext>
                <a:ext uri="{FF2B5EF4-FFF2-40B4-BE49-F238E27FC236}">
                  <a16:creationId xmlns:a16="http://schemas.microsoft.com/office/drawing/2014/main" id="{00000000-0008-0000-0700-00002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38</xdr:row>
          <xdr:rowOff>12700</xdr:rowOff>
        </xdr:from>
        <xdr:to>
          <xdr:col>69</xdr:col>
          <xdr:colOff>50800</xdr:colOff>
          <xdr:row>38</xdr:row>
          <xdr:rowOff>273050</xdr:rowOff>
        </xdr:to>
        <xdr:sp macro="" textlink="">
          <xdr:nvSpPr>
            <xdr:cNvPr id="58407" name="TaskCheck_BQ39" hidden="1">
              <a:extLst>
                <a:ext uri="{63B3BB69-23CF-44E3-9099-C40C66FF867C}">
                  <a14:compatExt spid="_x0000_s58407"/>
                </a:ext>
                <a:ext uri="{FF2B5EF4-FFF2-40B4-BE49-F238E27FC236}">
                  <a16:creationId xmlns:a16="http://schemas.microsoft.com/office/drawing/2014/main" id="{00000000-0008-0000-0700-00002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38</xdr:row>
          <xdr:rowOff>12700</xdr:rowOff>
        </xdr:from>
        <xdr:to>
          <xdr:col>75</xdr:col>
          <xdr:colOff>50800</xdr:colOff>
          <xdr:row>38</xdr:row>
          <xdr:rowOff>273050</xdr:rowOff>
        </xdr:to>
        <xdr:sp macro="" textlink="">
          <xdr:nvSpPr>
            <xdr:cNvPr id="58408" name="TaskCheck_BW39" hidden="1">
              <a:extLst>
                <a:ext uri="{63B3BB69-23CF-44E3-9099-C40C66FF867C}">
                  <a14:compatExt spid="_x0000_s58408"/>
                </a:ext>
                <a:ext uri="{FF2B5EF4-FFF2-40B4-BE49-F238E27FC236}">
                  <a16:creationId xmlns:a16="http://schemas.microsoft.com/office/drawing/2014/main" id="{00000000-0008-0000-0700-00002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39</xdr:row>
          <xdr:rowOff>12700</xdr:rowOff>
        </xdr:from>
        <xdr:to>
          <xdr:col>69</xdr:col>
          <xdr:colOff>50800</xdr:colOff>
          <xdr:row>39</xdr:row>
          <xdr:rowOff>273050</xdr:rowOff>
        </xdr:to>
        <xdr:sp macro="" textlink="">
          <xdr:nvSpPr>
            <xdr:cNvPr id="58409" name="TaskCheck_BQ40" hidden="1">
              <a:extLst>
                <a:ext uri="{63B3BB69-23CF-44E3-9099-C40C66FF867C}">
                  <a14:compatExt spid="_x0000_s58409"/>
                </a:ext>
                <a:ext uri="{FF2B5EF4-FFF2-40B4-BE49-F238E27FC236}">
                  <a16:creationId xmlns:a16="http://schemas.microsoft.com/office/drawing/2014/main" id="{00000000-0008-0000-0700-00002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39</xdr:row>
          <xdr:rowOff>12700</xdr:rowOff>
        </xdr:from>
        <xdr:to>
          <xdr:col>75</xdr:col>
          <xdr:colOff>50800</xdr:colOff>
          <xdr:row>39</xdr:row>
          <xdr:rowOff>273050</xdr:rowOff>
        </xdr:to>
        <xdr:sp macro="" textlink="">
          <xdr:nvSpPr>
            <xdr:cNvPr id="58410" name="TaskCheck_BW40" hidden="1">
              <a:extLst>
                <a:ext uri="{63B3BB69-23CF-44E3-9099-C40C66FF867C}">
                  <a14:compatExt spid="_x0000_s58410"/>
                </a:ext>
                <a:ext uri="{FF2B5EF4-FFF2-40B4-BE49-F238E27FC236}">
                  <a16:creationId xmlns:a16="http://schemas.microsoft.com/office/drawing/2014/main" id="{00000000-0008-0000-0700-00002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40</xdr:row>
          <xdr:rowOff>12700</xdr:rowOff>
        </xdr:from>
        <xdr:to>
          <xdr:col>69</xdr:col>
          <xdr:colOff>50800</xdr:colOff>
          <xdr:row>40</xdr:row>
          <xdr:rowOff>273050</xdr:rowOff>
        </xdr:to>
        <xdr:sp macro="" textlink="">
          <xdr:nvSpPr>
            <xdr:cNvPr id="58411" name="TaskCheck_BQ41" hidden="1">
              <a:extLst>
                <a:ext uri="{63B3BB69-23CF-44E3-9099-C40C66FF867C}">
                  <a14:compatExt spid="_x0000_s58411"/>
                </a:ext>
                <a:ext uri="{FF2B5EF4-FFF2-40B4-BE49-F238E27FC236}">
                  <a16:creationId xmlns:a16="http://schemas.microsoft.com/office/drawing/2014/main" id="{00000000-0008-0000-0700-00002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40</xdr:row>
          <xdr:rowOff>12700</xdr:rowOff>
        </xdr:from>
        <xdr:to>
          <xdr:col>75</xdr:col>
          <xdr:colOff>50800</xdr:colOff>
          <xdr:row>40</xdr:row>
          <xdr:rowOff>273050</xdr:rowOff>
        </xdr:to>
        <xdr:sp macro="" textlink="">
          <xdr:nvSpPr>
            <xdr:cNvPr id="58412" name="TaskCheck_BW41" hidden="1">
              <a:extLst>
                <a:ext uri="{63B3BB69-23CF-44E3-9099-C40C66FF867C}">
                  <a14:compatExt spid="_x0000_s58412"/>
                </a:ext>
                <a:ext uri="{FF2B5EF4-FFF2-40B4-BE49-F238E27FC236}">
                  <a16:creationId xmlns:a16="http://schemas.microsoft.com/office/drawing/2014/main" id="{00000000-0008-0000-0700-00002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41</xdr:row>
          <xdr:rowOff>12700</xdr:rowOff>
        </xdr:from>
        <xdr:to>
          <xdr:col>69</xdr:col>
          <xdr:colOff>50800</xdr:colOff>
          <xdr:row>41</xdr:row>
          <xdr:rowOff>273050</xdr:rowOff>
        </xdr:to>
        <xdr:sp macro="" textlink="">
          <xdr:nvSpPr>
            <xdr:cNvPr id="58413" name="TaskCheck_BQ42" hidden="1">
              <a:extLst>
                <a:ext uri="{63B3BB69-23CF-44E3-9099-C40C66FF867C}">
                  <a14:compatExt spid="_x0000_s58413"/>
                </a:ext>
                <a:ext uri="{FF2B5EF4-FFF2-40B4-BE49-F238E27FC236}">
                  <a16:creationId xmlns:a16="http://schemas.microsoft.com/office/drawing/2014/main" id="{00000000-0008-0000-0700-00002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41</xdr:row>
          <xdr:rowOff>12700</xdr:rowOff>
        </xdr:from>
        <xdr:to>
          <xdr:col>75</xdr:col>
          <xdr:colOff>50800</xdr:colOff>
          <xdr:row>41</xdr:row>
          <xdr:rowOff>273050</xdr:rowOff>
        </xdr:to>
        <xdr:sp macro="" textlink="">
          <xdr:nvSpPr>
            <xdr:cNvPr id="58414" name="TaskCheck_BW42" hidden="1">
              <a:extLst>
                <a:ext uri="{63B3BB69-23CF-44E3-9099-C40C66FF867C}">
                  <a14:compatExt spid="_x0000_s58414"/>
                </a:ext>
                <a:ext uri="{FF2B5EF4-FFF2-40B4-BE49-F238E27FC236}">
                  <a16:creationId xmlns:a16="http://schemas.microsoft.com/office/drawing/2014/main" id="{00000000-0008-0000-0700-00002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74</xdr:col>
          <xdr:colOff>19050</xdr:colOff>
          <xdr:row>2</xdr:row>
          <xdr:rowOff>12700</xdr:rowOff>
        </xdr:from>
        <xdr:to>
          <xdr:col>75</xdr:col>
          <xdr:colOff>76200</xdr:colOff>
          <xdr:row>2</xdr:row>
          <xdr:rowOff>273050</xdr:rowOff>
        </xdr:to>
        <xdr:sp macro="" textlink="">
          <xdr:nvSpPr>
            <xdr:cNvPr id="71682" name="TaskCheck_BW3" hidden="1">
              <a:extLst>
                <a:ext uri="{63B3BB69-23CF-44E3-9099-C40C66FF867C}">
                  <a14:compatExt spid="_x0000_s71682"/>
                </a:ext>
                <a:ext uri="{FF2B5EF4-FFF2-40B4-BE49-F238E27FC236}">
                  <a16:creationId xmlns:a16="http://schemas.microsoft.com/office/drawing/2014/main" id="{00000000-0008-0000-0800-000002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xdr:row>
          <xdr:rowOff>12700</xdr:rowOff>
        </xdr:from>
        <xdr:to>
          <xdr:col>75</xdr:col>
          <xdr:colOff>76200</xdr:colOff>
          <xdr:row>3</xdr:row>
          <xdr:rowOff>273050</xdr:rowOff>
        </xdr:to>
        <xdr:sp macro="" textlink="">
          <xdr:nvSpPr>
            <xdr:cNvPr id="71683" name="TaskCheck_BW4" hidden="1">
              <a:extLst>
                <a:ext uri="{63B3BB69-23CF-44E3-9099-C40C66FF867C}">
                  <a14:compatExt spid="_x0000_s71683"/>
                </a:ext>
                <a:ext uri="{FF2B5EF4-FFF2-40B4-BE49-F238E27FC236}">
                  <a16:creationId xmlns:a16="http://schemas.microsoft.com/office/drawing/2014/main" id="{00000000-0008-0000-0800-000003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4</xdr:row>
          <xdr:rowOff>12700</xdr:rowOff>
        </xdr:from>
        <xdr:to>
          <xdr:col>75</xdr:col>
          <xdr:colOff>76200</xdr:colOff>
          <xdr:row>4</xdr:row>
          <xdr:rowOff>273050</xdr:rowOff>
        </xdr:to>
        <xdr:sp macro="" textlink="">
          <xdr:nvSpPr>
            <xdr:cNvPr id="71684" name="TaskCheck_BW5" hidden="1">
              <a:extLst>
                <a:ext uri="{63B3BB69-23CF-44E3-9099-C40C66FF867C}">
                  <a14:compatExt spid="_x0000_s71684"/>
                </a:ext>
                <a:ext uri="{FF2B5EF4-FFF2-40B4-BE49-F238E27FC236}">
                  <a16:creationId xmlns:a16="http://schemas.microsoft.com/office/drawing/2014/main" id="{00000000-0008-0000-0800-000004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5</xdr:row>
          <xdr:rowOff>12700</xdr:rowOff>
        </xdr:from>
        <xdr:to>
          <xdr:col>75</xdr:col>
          <xdr:colOff>76200</xdr:colOff>
          <xdr:row>5</xdr:row>
          <xdr:rowOff>273050</xdr:rowOff>
        </xdr:to>
        <xdr:sp macro="" textlink="">
          <xdr:nvSpPr>
            <xdr:cNvPr id="71685" name="TaskCheck_BW6" hidden="1">
              <a:extLst>
                <a:ext uri="{63B3BB69-23CF-44E3-9099-C40C66FF867C}">
                  <a14:compatExt spid="_x0000_s71685"/>
                </a:ext>
                <a:ext uri="{FF2B5EF4-FFF2-40B4-BE49-F238E27FC236}">
                  <a16:creationId xmlns:a16="http://schemas.microsoft.com/office/drawing/2014/main" id="{00000000-0008-0000-0800-000005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6</xdr:row>
          <xdr:rowOff>12700</xdr:rowOff>
        </xdr:from>
        <xdr:to>
          <xdr:col>75</xdr:col>
          <xdr:colOff>76200</xdr:colOff>
          <xdr:row>6</xdr:row>
          <xdr:rowOff>273050</xdr:rowOff>
        </xdr:to>
        <xdr:sp macro="" textlink="">
          <xdr:nvSpPr>
            <xdr:cNvPr id="71686" name="TaskCheck_BW7" hidden="1">
              <a:extLst>
                <a:ext uri="{63B3BB69-23CF-44E3-9099-C40C66FF867C}">
                  <a14:compatExt spid="_x0000_s71686"/>
                </a:ext>
                <a:ext uri="{FF2B5EF4-FFF2-40B4-BE49-F238E27FC236}">
                  <a16:creationId xmlns:a16="http://schemas.microsoft.com/office/drawing/2014/main" id="{00000000-0008-0000-0800-000006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7</xdr:row>
          <xdr:rowOff>12700</xdr:rowOff>
        </xdr:from>
        <xdr:to>
          <xdr:col>75</xdr:col>
          <xdr:colOff>76200</xdr:colOff>
          <xdr:row>7</xdr:row>
          <xdr:rowOff>273050</xdr:rowOff>
        </xdr:to>
        <xdr:sp macro="" textlink="">
          <xdr:nvSpPr>
            <xdr:cNvPr id="71687" name="TaskCheck_BW8" hidden="1">
              <a:extLst>
                <a:ext uri="{63B3BB69-23CF-44E3-9099-C40C66FF867C}">
                  <a14:compatExt spid="_x0000_s71687"/>
                </a:ext>
                <a:ext uri="{FF2B5EF4-FFF2-40B4-BE49-F238E27FC236}">
                  <a16:creationId xmlns:a16="http://schemas.microsoft.com/office/drawing/2014/main" id="{00000000-0008-0000-0800-000007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8</xdr:row>
          <xdr:rowOff>12700</xdr:rowOff>
        </xdr:from>
        <xdr:to>
          <xdr:col>75</xdr:col>
          <xdr:colOff>76200</xdr:colOff>
          <xdr:row>8</xdr:row>
          <xdr:rowOff>273050</xdr:rowOff>
        </xdr:to>
        <xdr:sp macro="" textlink="">
          <xdr:nvSpPr>
            <xdr:cNvPr id="71688" name="TaskCheck_BW9" hidden="1">
              <a:extLst>
                <a:ext uri="{63B3BB69-23CF-44E3-9099-C40C66FF867C}">
                  <a14:compatExt spid="_x0000_s71688"/>
                </a:ext>
                <a:ext uri="{FF2B5EF4-FFF2-40B4-BE49-F238E27FC236}">
                  <a16:creationId xmlns:a16="http://schemas.microsoft.com/office/drawing/2014/main" id="{00000000-0008-0000-0800-000008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9</xdr:row>
          <xdr:rowOff>12700</xdr:rowOff>
        </xdr:from>
        <xdr:to>
          <xdr:col>75</xdr:col>
          <xdr:colOff>76200</xdr:colOff>
          <xdr:row>9</xdr:row>
          <xdr:rowOff>273050</xdr:rowOff>
        </xdr:to>
        <xdr:sp macro="" textlink="">
          <xdr:nvSpPr>
            <xdr:cNvPr id="71689" name="TaskCheck_BW10" hidden="1">
              <a:extLst>
                <a:ext uri="{63B3BB69-23CF-44E3-9099-C40C66FF867C}">
                  <a14:compatExt spid="_x0000_s71689"/>
                </a:ext>
                <a:ext uri="{FF2B5EF4-FFF2-40B4-BE49-F238E27FC236}">
                  <a16:creationId xmlns:a16="http://schemas.microsoft.com/office/drawing/2014/main" id="{00000000-0008-0000-0800-000009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10</xdr:row>
          <xdr:rowOff>12700</xdr:rowOff>
        </xdr:from>
        <xdr:to>
          <xdr:col>75</xdr:col>
          <xdr:colOff>76200</xdr:colOff>
          <xdr:row>10</xdr:row>
          <xdr:rowOff>273050</xdr:rowOff>
        </xdr:to>
        <xdr:sp macro="" textlink="">
          <xdr:nvSpPr>
            <xdr:cNvPr id="71690" name="TaskCheck_BW11" hidden="1">
              <a:extLst>
                <a:ext uri="{63B3BB69-23CF-44E3-9099-C40C66FF867C}">
                  <a14:compatExt spid="_x0000_s71690"/>
                </a:ext>
                <a:ext uri="{FF2B5EF4-FFF2-40B4-BE49-F238E27FC236}">
                  <a16:creationId xmlns:a16="http://schemas.microsoft.com/office/drawing/2014/main" id="{00000000-0008-0000-0800-00000A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11</xdr:row>
          <xdr:rowOff>12700</xdr:rowOff>
        </xdr:from>
        <xdr:to>
          <xdr:col>75</xdr:col>
          <xdr:colOff>76200</xdr:colOff>
          <xdr:row>11</xdr:row>
          <xdr:rowOff>273050</xdr:rowOff>
        </xdr:to>
        <xdr:sp macro="" textlink="">
          <xdr:nvSpPr>
            <xdr:cNvPr id="71691" name="TaskCheck_BW12" hidden="1">
              <a:extLst>
                <a:ext uri="{63B3BB69-23CF-44E3-9099-C40C66FF867C}">
                  <a14:compatExt spid="_x0000_s71691"/>
                </a:ext>
                <a:ext uri="{FF2B5EF4-FFF2-40B4-BE49-F238E27FC236}">
                  <a16:creationId xmlns:a16="http://schemas.microsoft.com/office/drawing/2014/main" id="{00000000-0008-0000-0800-00000B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12</xdr:row>
          <xdr:rowOff>12700</xdr:rowOff>
        </xdr:from>
        <xdr:to>
          <xdr:col>75</xdr:col>
          <xdr:colOff>76200</xdr:colOff>
          <xdr:row>12</xdr:row>
          <xdr:rowOff>273050</xdr:rowOff>
        </xdr:to>
        <xdr:sp macro="" textlink="">
          <xdr:nvSpPr>
            <xdr:cNvPr id="71692" name="TaskCheck_BW13" hidden="1">
              <a:extLst>
                <a:ext uri="{63B3BB69-23CF-44E3-9099-C40C66FF867C}">
                  <a14:compatExt spid="_x0000_s71692"/>
                </a:ext>
                <a:ext uri="{FF2B5EF4-FFF2-40B4-BE49-F238E27FC236}">
                  <a16:creationId xmlns:a16="http://schemas.microsoft.com/office/drawing/2014/main" id="{00000000-0008-0000-0800-00000C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13</xdr:row>
          <xdr:rowOff>12700</xdr:rowOff>
        </xdr:from>
        <xdr:to>
          <xdr:col>75</xdr:col>
          <xdr:colOff>76200</xdr:colOff>
          <xdr:row>13</xdr:row>
          <xdr:rowOff>273050</xdr:rowOff>
        </xdr:to>
        <xdr:sp macro="" textlink="">
          <xdr:nvSpPr>
            <xdr:cNvPr id="71693" name="TaskCheck_BW14" hidden="1">
              <a:extLst>
                <a:ext uri="{63B3BB69-23CF-44E3-9099-C40C66FF867C}">
                  <a14:compatExt spid="_x0000_s71693"/>
                </a:ext>
                <a:ext uri="{FF2B5EF4-FFF2-40B4-BE49-F238E27FC236}">
                  <a16:creationId xmlns:a16="http://schemas.microsoft.com/office/drawing/2014/main" id="{00000000-0008-0000-0800-00000D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14</xdr:row>
          <xdr:rowOff>12700</xdr:rowOff>
        </xdr:from>
        <xdr:to>
          <xdr:col>75</xdr:col>
          <xdr:colOff>76200</xdr:colOff>
          <xdr:row>14</xdr:row>
          <xdr:rowOff>273050</xdr:rowOff>
        </xdr:to>
        <xdr:sp macro="" textlink="">
          <xdr:nvSpPr>
            <xdr:cNvPr id="71694" name="TaskCheck_BW15" hidden="1">
              <a:extLst>
                <a:ext uri="{63B3BB69-23CF-44E3-9099-C40C66FF867C}">
                  <a14:compatExt spid="_x0000_s71694"/>
                </a:ext>
                <a:ext uri="{FF2B5EF4-FFF2-40B4-BE49-F238E27FC236}">
                  <a16:creationId xmlns:a16="http://schemas.microsoft.com/office/drawing/2014/main" id="{00000000-0008-0000-0800-00000E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15</xdr:row>
          <xdr:rowOff>12700</xdr:rowOff>
        </xdr:from>
        <xdr:to>
          <xdr:col>75</xdr:col>
          <xdr:colOff>76200</xdr:colOff>
          <xdr:row>15</xdr:row>
          <xdr:rowOff>273050</xdr:rowOff>
        </xdr:to>
        <xdr:sp macro="" textlink="">
          <xdr:nvSpPr>
            <xdr:cNvPr id="71695" name="TaskCheck_BW16" hidden="1">
              <a:extLst>
                <a:ext uri="{63B3BB69-23CF-44E3-9099-C40C66FF867C}">
                  <a14:compatExt spid="_x0000_s71695"/>
                </a:ext>
                <a:ext uri="{FF2B5EF4-FFF2-40B4-BE49-F238E27FC236}">
                  <a16:creationId xmlns:a16="http://schemas.microsoft.com/office/drawing/2014/main" id="{00000000-0008-0000-0800-00000F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18</xdr:row>
          <xdr:rowOff>12700</xdr:rowOff>
        </xdr:from>
        <xdr:to>
          <xdr:col>75</xdr:col>
          <xdr:colOff>76200</xdr:colOff>
          <xdr:row>18</xdr:row>
          <xdr:rowOff>273050</xdr:rowOff>
        </xdr:to>
        <xdr:sp macro="" textlink="">
          <xdr:nvSpPr>
            <xdr:cNvPr id="71696" name="TaskCheck_BW19" hidden="1">
              <a:extLst>
                <a:ext uri="{63B3BB69-23CF-44E3-9099-C40C66FF867C}">
                  <a14:compatExt spid="_x0000_s71696"/>
                </a:ext>
                <a:ext uri="{FF2B5EF4-FFF2-40B4-BE49-F238E27FC236}">
                  <a16:creationId xmlns:a16="http://schemas.microsoft.com/office/drawing/2014/main" id="{00000000-0008-0000-0800-000010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19</xdr:row>
          <xdr:rowOff>12700</xdr:rowOff>
        </xdr:from>
        <xdr:to>
          <xdr:col>75</xdr:col>
          <xdr:colOff>76200</xdr:colOff>
          <xdr:row>19</xdr:row>
          <xdr:rowOff>273050</xdr:rowOff>
        </xdr:to>
        <xdr:sp macro="" textlink="">
          <xdr:nvSpPr>
            <xdr:cNvPr id="71697" name="TaskCheck_BW20" hidden="1">
              <a:extLst>
                <a:ext uri="{63B3BB69-23CF-44E3-9099-C40C66FF867C}">
                  <a14:compatExt spid="_x0000_s71697"/>
                </a:ext>
                <a:ext uri="{FF2B5EF4-FFF2-40B4-BE49-F238E27FC236}">
                  <a16:creationId xmlns:a16="http://schemas.microsoft.com/office/drawing/2014/main" id="{00000000-0008-0000-0800-000011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20</xdr:row>
          <xdr:rowOff>12700</xdr:rowOff>
        </xdr:from>
        <xdr:to>
          <xdr:col>75</xdr:col>
          <xdr:colOff>76200</xdr:colOff>
          <xdr:row>20</xdr:row>
          <xdr:rowOff>273050</xdr:rowOff>
        </xdr:to>
        <xdr:sp macro="" textlink="">
          <xdr:nvSpPr>
            <xdr:cNvPr id="71698" name="TaskCheck_BW21" hidden="1">
              <a:extLst>
                <a:ext uri="{63B3BB69-23CF-44E3-9099-C40C66FF867C}">
                  <a14:compatExt spid="_x0000_s71698"/>
                </a:ext>
                <a:ext uri="{FF2B5EF4-FFF2-40B4-BE49-F238E27FC236}">
                  <a16:creationId xmlns:a16="http://schemas.microsoft.com/office/drawing/2014/main" id="{00000000-0008-0000-0800-000012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21</xdr:row>
          <xdr:rowOff>12700</xdr:rowOff>
        </xdr:from>
        <xdr:to>
          <xdr:col>75</xdr:col>
          <xdr:colOff>76200</xdr:colOff>
          <xdr:row>21</xdr:row>
          <xdr:rowOff>273050</xdr:rowOff>
        </xdr:to>
        <xdr:sp macro="" textlink="">
          <xdr:nvSpPr>
            <xdr:cNvPr id="71699" name="TaskCheck_BW22" hidden="1">
              <a:extLst>
                <a:ext uri="{63B3BB69-23CF-44E3-9099-C40C66FF867C}">
                  <a14:compatExt spid="_x0000_s71699"/>
                </a:ext>
                <a:ext uri="{FF2B5EF4-FFF2-40B4-BE49-F238E27FC236}">
                  <a16:creationId xmlns:a16="http://schemas.microsoft.com/office/drawing/2014/main" id="{00000000-0008-0000-0800-000013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22</xdr:row>
          <xdr:rowOff>12700</xdr:rowOff>
        </xdr:from>
        <xdr:to>
          <xdr:col>75</xdr:col>
          <xdr:colOff>76200</xdr:colOff>
          <xdr:row>22</xdr:row>
          <xdr:rowOff>273050</xdr:rowOff>
        </xdr:to>
        <xdr:sp macro="" textlink="">
          <xdr:nvSpPr>
            <xdr:cNvPr id="71700" name="TaskCheck_BW23" hidden="1">
              <a:extLst>
                <a:ext uri="{63B3BB69-23CF-44E3-9099-C40C66FF867C}">
                  <a14:compatExt spid="_x0000_s71700"/>
                </a:ext>
                <a:ext uri="{FF2B5EF4-FFF2-40B4-BE49-F238E27FC236}">
                  <a16:creationId xmlns:a16="http://schemas.microsoft.com/office/drawing/2014/main" id="{00000000-0008-0000-0800-000014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23</xdr:row>
          <xdr:rowOff>12700</xdr:rowOff>
        </xdr:from>
        <xdr:to>
          <xdr:col>75</xdr:col>
          <xdr:colOff>76200</xdr:colOff>
          <xdr:row>23</xdr:row>
          <xdr:rowOff>273050</xdr:rowOff>
        </xdr:to>
        <xdr:sp macro="" textlink="">
          <xdr:nvSpPr>
            <xdr:cNvPr id="71701" name="TaskCheck_BW24" hidden="1">
              <a:extLst>
                <a:ext uri="{63B3BB69-23CF-44E3-9099-C40C66FF867C}">
                  <a14:compatExt spid="_x0000_s71701"/>
                </a:ext>
                <a:ext uri="{FF2B5EF4-FFF2-40B4-BE49-F238E27FC236}">
                  <a16:creationId xmlns:a16="http://schemas.microsoft.com/office/drawing/2014/main" id="{00000000-0008-0000-0800-000015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24</xdr:row>
          <xdr:rowOff>12700</xdr:rowOff>
        </xdr:from>
        <xdr:to>
          <xdr:col>75</xdr:col>
          <xdr:colOff>76200</xdr:colOff>
          <xdr:row>24</xdr:row>
          <xdr:rowOff>273050</xdr:rowOff>
        </xdr:to>
        <xdr:sp macro="" textlink="">
          <xdr:nvSpPr>
            <xdr:cNvPr id="71702" name="TaskCheck_BW25" hidden="1">
              <a:extLst>
                <a:ext uri="{63B3BB69-23CF-44E3-9099-C40C66FF867C}">
                  <a14:compatExt spid="_x0000_s71702"/>
                </a:ext>
                <a:ext uri="{FF2B5EF4-FFF2-40B4-BE49-F238E27FC236}">
                  <a16:creationId xmlns:a16="http://schemas.microsoft.com/office/drawing/2014/main" id="{00000000-0008-0000-0800-000016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25</xdr:row>
          <xdr:rowOff>12700</xdr:rowOff>
        </xdr:from>
        <xdr:to>
          <xdr:col>75</xdr:col>
          <xdr:colOff>76200</xdr:colOff>
          <xdr:row>25</xdr:row>
          <xdr:rowOff>273050</xdr:rowOff>
        </xdr:to>
        <xdr:sp macro="" textlink="">
          <xdr:nvSpPr>
            <xdr:cNvPr id="71703" name="TaskCheck_BW26" hidden="1">
              <a:extLst>
                <a:ext uri="{63B3BB69-23CF-44E3-9099-C40C66FF867C}">
                  <a14:compatExt spid="_x0000_s71703"/>
                </a:ext>
                <a:ext uri="{FF2B5EF4-FFF2-40B4-BE49-F238E27FC236}">
                  <a16:creationId xmlns:a16="http://schemas.microsoft.com/office/drawing/2014/main" id="{00000000-0008-0000-0800-000017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26</xdr:row>
          <xdr:rowOff>12700</xdr:rowOff>
        </xdr:from>
        <xdr:to>
          <xdr:col>75</xdr:col>
          <xdr:colOff>76200</xdr:colOff>
          <xdr:row>26</xdr:row>
          <xdr:rowOff>273050</xdr:rowOff>
        </xdr:to>
        <xdr:sp macro="" textlink="">
          <xdr:nvSpPr>
            <xdr:cNvPr id="71704" name="TaskCheck_BW27" hidden="1">
              <a:extLst>
                <a:ext uri="{63B3BB69-23CF-44E3-9099-C40C66FF867C}">
                  <a14:compatExt spid="_x0000_s71704"/>
                </a:ext>
                <a:ext uri="{FF2B5EF4-FFF2-40B4-BE49-F238E27FC236}">
                  <a16:creationId xmlns:a16="http://schemas.microsoft.com/office/drawing/2014/main" id="{00000000-0008-0000-0800-000018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27</xdr:row>
          <xdr:rowOff>12700</xdr:rowOff>
        </xdr:from>
        <xdr:to>
          <xdr:col>75</xdr:col>
          <xdr:colOff>76200</xdr:colOff>
          <xdr:row>27</xdr:row>
          <xdr:rowOff>273050</xdr:rowOff>
        </xdr:to>
        <xdr:sp macro="" textlink="">
          <xdr:nvSpPr>
            <xdr:cNvPr id="71705" name="TaskCheck_BW28" hidden="1">
              <a:extLst>
                <a:ext uri="{63B3BB69-23CF-44E3-9099-C40C66FF867C}">
                  <a14:compatExt spid="_x0000_s71705"/>
                </a:ext>
                <a:ext uri="{FF2B5EF4-FFF2-40B4-BE49-F238E27FC236}">
                  <a16:creationId xmlns:a16="http://schemas.microsoft.com/office/drawing/2014/main" id="{00000000-0008-0000-0800-000019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28</xdr:row>
          <xdr:rowOff>12700</xdr:rowOff>
        </xdr:from>
        <xdr:to>
          <xdr:col>75</xdr:col>
          <xdr:colOff>76200</xdr:colOff>
          <xdr:row>28</xdr:row>
          <xdr:rowOff>273050</xdr:rowOff>
        </xdr:to>
        <xdr:sp macro="" textlink="">
          <xdr:nvSpPr>
            <xdr:cNvPr id="71706" name="TaskCheck_BW29" hidden="1">
              <a:extLst>
                <a:ext uri="{63B3BB69-23CF-44E3-9099-C40C66FF867C}">
                  <a14:compatExt spid="_x0000_s71706"/>
                </a:ext>
                <a:ext uri="{FF2B5EF4-FFF2-40B4-BE49-F238E27FC236}">
                  <a16:creationId xmlns:a16="http://schemas.microsoft.com/office/drawing/2014/main" id="{00000000-0008-0000-0800-00001A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29</xdr:row>
          <xdr:rowOff>12700</xdr:rowOff>
        </xdr:from>
        <xdr:to>
          <xdr:col>75</xdr:col>
          <xdr:colOff>76200</xdr:colOff>
          <xdr:row>29</xdr:row>
          <xdr:rowOff>273050</xdr:rowOff>
        </xdr:to>
        <xdr:sp macro="" textlink="">
          <xdr:nvSpPr>
            <xdr:cNvPr id="71707" name="TaskCheck_BW30" hidden="1">
              <a:extLst>
                <a:ext uri="{63B3BB69-23CF-44E3-9099-C40C66FF867C}">
                  <a14:compatExt spid="_x0000_s71707"/>
                </a:ext>
                <a:ext uri="{FF2B5EF4-FFF2-40B4-BE49-F238E27FC236}">
                  <a16:creationId xmlns:a16="http://schemas.microsoft.com/office/drawing/2014/main" id="{00000000-0008-0000-0800-00001B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30</xdr:row>
          <xdr:rowOff>12700</xdr:rowOff>
        </xdr:from>
        <xdr:to>
          <xdr:col>75</xdr:col>
          <xdr:colOff>76200</xdr:colOff>
          <xdr:row>30</xdr:row>
          <xdr:rowOff>273050</xdr:rowOff>
        </xdr:to>
        <xdr:sp macro="" textlink="">
          <xdr:nvSpPr>
            <xdr:cNvPr id="71708" name="TaskCheck_BW31" hidden="1">
              <a:extLst>
                <a:ext uri="{63B3BB69-23CF-44E3-9099-C40C66FF867C}">
                  <a14:compatExt spid="_x0000_s71708"/>
                </a:ext>
                <a:ext uri="{FF2B5EF4-FFF2-40B4-BE49-F238E27FC236}">
                  <a16:creationId xmlns:a16="http://schemas.microsoft.com/office/drawing/2014/main" id="{00000000-0008-0000-0800-00001C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31</xdr:row>
          <xdr:rowOff>12700</xdr:rowOff>
        </xdr:from>
        <xdr:to>
          <xdr:col>75</xdr:col>
          <xdr:colOff>76200</xdr:colOff>
          <xdr:row>31</xdr:row>
          <xdr:rowOff>273050</xdr:rowOff>
        </xdr:to>
        <xdr:sp macro="" textlink="">
          <xdr:nvSpPr>
            <xdr:cNvPr id="71709" name="TaskCheck_BW32" hidden="1">
              <a:extLst>
                <a:ext uri="{63B3BB69-23CF-44E3-9099-C40C66FF867C}">
                  <a14:compatExt spid="_x0000_s71709"/>
                </a:ext>
                <a:ext uri="{FF2B5EF4-FFF2-40B4-BE49-F238E27FC236}">
                  <a16:creationId xmlns:a16="http://schemas.microsoft.com/office/drawing/2014/main" id="{00000000-0008-0000-0800-00001D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32</xdr:row>
          <xdr:rowOff>12700</xdr:rowOff>
        </xdr:from>
        <xdr:to>
          <xdr:col>75</xdr:col>
          <xdr:colOff>76200</xdr:colOff>
          <xdr:row>32</xdr:row>
          <xdr:rowOff>273050</xdr:rowOff>
        </xdr:to>
        <xdr:sp macro="" textlink="">
          <xdr:nvSpPr>
            <xdr:cNvPr id="71710" name="TaskCheck_BW33" hidden="1">
              <a:extLst>
                <a:ext uri="{63B3BB69-23CF-44E3-9099-C40C66FF867C}">
                  <a14:compatExt spid="_x0000_s71710"/>
                </a:ext>
                <a:ext uri="{FF2B5EF4-FFF2-40B4-BE49-F238E27FC236}">
                  <a16:creationId xmlns:a16="http://schemas.microsoft.com/office/drawing/2014/main" id="{00000000-0008-0000-0800-00001E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35</xdr:row>
          <xdr:rowOff>12700</xdr:rowOff>
        </xdr:from>
        <xdr:to>
          <xdr:col>75</xdr:col>
          <xdr:colOff>76200</xdr:colOff>
          <xdr:row>35</xdr:row>
          <xdr:rowOff>273050</xdr:rowOff>
        </xdr:to>
        <xdr:sp macro="" textlink="">
          <xdr:nvSpPr>
            <xdr:cNvPr id="71711" name="TaskCheck_BW36" hidden="1">
              <a:extLst>
                <a:ext uri="{63B3BB69-23CF-44E3-9099-C40C66FF867C}">
                  <a14:compatExt spid="_x0000_s71711"/>
                </a:ext>
                <a:ext uri="{FF2B5EF4-FFF2-40B4-BE49-F238E27FC236}">
                  <a16:creationId xmlns:a16="http://schemas.microsoft.com/office/drawing/2014/main" id="{00000000-0008-0000-0800-00001F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36</xdr:row>
          <xdr:rowOff>12700</xdr:rowOff>
        </xdr:from>
        <xdr:to>
          <xdr:col>69</xdr:col>
          <xdr:colOff>76200</xdr:colOff>
          <xdr:row>36</xdr:row>
          <xdr:rowOff>273050</xdr:rowOff>
        </xdr:to>
        <xdr:sp macro="" textlink="">
          <xdr:nvSpPr>
            <xdr:cNvPr id="71712" name="TaskCheck_BQ37" hidden="1">
              <a:extLst>
                <a:ext uri="{63B3BB69-23CF-44E3-9099-C40C66FF867C}">
                  <a14:compatExt spid="_x0000_s71712"/>
                </a:ext>
                <a:ext uri="{FF2B5EF4-FFF2-40B4-BE49-F238E27FC236}">
                  <a16:creationId xmlns:a16="http://schemas.microsoft.com/office/drawing/2014/main" id="{00000000-0008-0000-0800-000020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36</xdr:row>
          <xdr:rowOff>12700</xdr:rowOff>
        </xdr:from>
        <xdr:to>
          <xdr:col>75</xdr:col>
          <xdr:colOff>76200</xdr:colOff>
          <xdr:row>36</xdr:row>
          <xdr:rowOff>273050</xdr:rowOff>
        </xdr:to>
        <xdr:sp macro="" textlink="">
          <xdr:nvSpPr>
            <xdr:cNvPr id="71713" name="TaskCheck_BW37" hidden="1">
              <a:extLst>
                <a:ext uri="{63B3BB69-23CF-44E3-9099-C40C66FF867C}">
                  <a14:compatExt spid="_x0000_s71713"/>
                </a:ext>
                <a:ext uri="{FF2B5EF4-FFF2-40B4-BE49-F238E27FC236}">
                  <a16:creationId xmlns:a16="http://schemas.microsoft.com/office/drawing/2014/main" id="{00000000-0008-0000-0800-000021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37</xdr:row>
          <xdr:rowOff>12700</xdr:rowOff>
        </xdr:from>
        <xdr:to>
          <xdr:col>69</xdr:col>
          <xdr:colOff>76200</xdr:colOff>
          <xdr:row>37</xdr:row>
          <xdr:rowOff>273050</xdr:rowOff>
        </xdr:to>
        <xdr:sp macro="" textlink="">
          <xdr:nvSpPr>
            <xdr:cNvPr id="71714" name="TaskCheck_BQ38" hidden="1">
              <a:extLst>
                <a:ext uri="{63B3BB69-23CF-44E3-9099-C40C66FF867C}">
                  <a14:compatExt spid="_x0000_s71714"/>
                </a:ext>
                <a:ext uri="{FF2B5EF4-FFF2-40B4-BE49-F238E27FC236}">
                  <a16:creationId xmlns:a16="http://schemas.microsoft.com/office/drawing/2014/main" id="{00000000-0008-0000-0800-000022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37</xdr:row>
          <xdr:rowOff>12700</xdr:rowOff>
        </xdr:from>
        <xdr:to>
          <xdr:col>75</xdr:col>
          <xdr:colOff>76200</xdr:colOff>
          <xdr:row>37</xdr:row>
          <xdr:rowOff>273050</xdr:rowOff>
        </xdr:to>
        <xdr:sp macro="" textlink="">
          <xdr:nvSpPr>
            <xdr:cNvPr id="71715" name="TaskCheck_BW38" hidden="1">
              <a:extLst>
                <a:ext uri="{63B3BB69-23CF-44E3-9099-C40C66FF867C}">
                  <a14:compatExt spid="_x0000_s71715"/>
                </a:ext>
                <a:ext uri="{FF2B5EF4-FFF2-40B4-BE49-F238E27FC236}">
                  <a16:creationId xmlns:a16="http://schemas.microsoft.com/office/drawing/2014/main" id="{00000000-0008-0000-0800-000023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38</xdr:row>
          <xdr:rowOff>12700</xdr:rowOff>
        </xdr:from>
        <xdr:to>
          <xdr:col>69</xdr:col>
          <xdr:colOff>76200</xdr:colOff>
          <xdr:row>38</xdr:row>
          <xdr:rowOff>273050</xdr:rowOff>
        </xdr:to>
        <xdr:sp macro="" textlink="">
          <xdr:nvSpPr>
            <xdr:cNvPr id="71716" name="TaskCheck_BQ39" hidden="1">
              <a:extLst>
                <a:ext uri="{63B3BB69-23CF-44E3-9099-C40C66FF867C}">
                  <a14:compatExt spid="_x0000_s71716"/>
                </a:ext>
                <a:ext uri="{FF2B5EF4-FFF2-40B4-BE49-F238E27FC236}">
                  <a16:creationId xmlns:a16="http://schemas.microsoft.com/office/drawing/2014/main" id="{00000000-0008-0000-0800-000024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38</xdr:row>
          <xdr:rowOff>12700</xdr:rowOff>
        </xdr:from>
        <xdr:to>
          <xdr:col>75</xdr:col>
          <xdr:colOff>76200</xdr:colOff>
          <xdr:row>38</xdr:row>
          <xdr:rowOff>273050</xdr:rowOff>
        </xdr:to>
        <xdr:sp macro="" textlink="">
          <xdr:nvSpPr>
            <xdr:cNvPr id="71717" name="TaskCheck_BW39" hidden="1">
              <a:extLst>
                <a:ext uri="{63B3BB69-23CF-44E3-9099-C40C66FF867C}">
                  <a14:compatExt spid="_x0000_s71717"/>
                </a:ext>
                <a:ext uri="{FF2B5EF4-FFF2-40B4-BE49-F238E27FC236}">
                  <a16:creationId xmlns:a16="http://schemas.microsoft.com/office/drawing/2014/main" id="{00000000-0008-0000-0800-000025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39</xdr:row>
          <xdr:rowOff>12700</xdr:rowOff>
        </xdr:from>
        <xdr:to>
          <xdr:col>69</xdr:col>
          <xdr:colOff>76200</xdr:colOff>
          <xdr:row>39</xdr:row>
          <xdr:rowOff>273050</xdr:rowOff>
        </xdr:to>
        <xdr:sp macro="" textlink="">
          <xdr:nvSpPr>
            <xdr:cNvPr id="71718" name="TaskCheck_BQ40" hidden="1">
              <a:extLst>
                <a:ext uri="{63B3BB69-23CF-44E3-9099-C40C66FF867C}">
                  <a14:compatExt spid="_x0000_s71718"/>
                </a:ext>
                <a:ext uri="{FF2B5EF4-FFF2-40B4-BE49-F238E27FC236}">
                  <a16:creationId xmlns:a16="http://schemas.microsoft.com/office/drawing/2014/main" id="{00000000-0008-0000-0800-000026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39</xdr:row>
          <xdr:rowOff>12700</xdr:rowOff>
        </xdr:from>
        <xdr:to>
          <xdr:col>75</xdr:col>
          <xdr:colOff>76200</xdr:colOff>
          <xdr:row>39</xdr:row>
          <xdr:rowOff>273050</xdr:rowOff>
        </xdr:to>
        <xdr:sp macro="" textlink="">
          <xdr:nvSpPr>
            <xdr:cNvPr id="71719" name="TaskCheck_BW40" hidden="1">
              <a:extLst>
                <a:ext uri="{63B3BB69-23CF-44E3-9099-C40C66FF867C}">
                  <a14:compatExt spid="_x0000_s71719"/>
                </a:ext>
                <a:ext uri="{FF2B5EF4-FFF2-40B4-BE49-F238E27FC236}">
                  <a16:creationId xmlns:a16="http://schemas.microsoft.com/office/drawing/2014/main" id="{00000000-0008-0000-0800-000027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40</xdr:row>
          <xdr:rowOff>12700</xdr:rowOff>
        </xdr:from>
        <xdr:to>
          <xdr:col>69</xdr:col>
          <xdr:colOff>76200</xdr:colOff>
          <xdr:row>40</xdr:row>
          <xdr:rowOff>273050</xdr:rowOff>
        </xdr:to>
        <xdr:sp macro="" textlink="">
          <xdr:nvSpPr>
            <xdr:cNvPr id="71720" name="TaskCheck_BQ41" hidden="1">
              <a:extLst>
                <a:ext uri="{63B3BB69-23CF-44E3-9099-C40C66FF867C}">
                  <a14:compatExt spid="_x0000_s71720"/>
                </a:ext>
                <a:ext uri="{FF2B5EF4-FFF2-40B4-BE49-F238E27FC236}">
                  <a16:creationId xmlns:a16="http://schemas.microsoft.com/office/drawing/2014/main" id="{00000000-0008-0000-0800-000028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40</xdr:row>
          <xdr:rowOff>12700</xdr:rowOff>
        </xdr:from>
        <xdr:to>
          <xdr:col>75</xdr:col>
          <xdr:colOff>76200</xdr:colOff>
          <xdr:row>40</xdr:row>
          <xdr:rowOff>273050</xdr:rowOff>
        </xdr:to>
        <xdr:sp macro="" textlink="">
          <xdr:nvSpPr>
            <xdr:cNvPr id="71721" name="TaskCheck_BW41" hidden="1">
              <a:extLst>
                <a:ext uri="{63B3BB69-23CF-44E3-9099-C40C66FF867C}">
                  <a14:compatExt spid="_x0000_s71721"/>
                </a:ext>
                <a:ext uri="{FF2B5EF4-FFF2-40B4-BE49-F238E27FC236}">
                  <a16:creationId xmlns:a16="http://schemas.microsoft.com/office/drawing/2014/main" id="{00000000-0008-0000-0800-000029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41</xdr:row>
          <xdr:rowOff>12700</xdr:rowOff>
        </xdr:from>
        <xdr:to>
          <xdr:col>69</xdr:col>
          <xdr:colOff>76200</xdr:colOff>
          <xdr:row>41</xdr:row>
          <xdr:rowOff>273050</xdr:rowOff>
        </xdr:to>
        <xdr:sp macro="" textlink="">
          <xdr:nvSpPr>
            <xdr:cNvPr id="71722" name="TaskCheck_BQ42" hidden="1">
              <a:extLst>
                <a:ext uri="{63B3BB69-23CF-44E3-9099-C40C66FF867C}">
                  <a14:compatExt spid="_x0000_s71722"/>
                </a:ext>
                <a:ext uri="{FF2B5EF4-FFF2-40B4-BE49-F238E27FC236}">
                  <a16:creationId xmlns:a16="http://schemas.microsoft.com/office/drawing/2014/main" id="{00000000-0008-0000-0800-00002A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41</xdr:row>
          <xdr:rowOff>12700</xdr:rowOff>
        </xdr:from>
        <xdr:to>
          <xdr:col>75</xdr:col>
          <xdr:colOff>76200</xdr:colOff>
          <xdr:row>41</xdr:row>
          <xdr:rowOff>273050</xdr:rowOff>
        </xdr:to>
        <xdr:sp macro="" textlink="">
          <xdr:nvSpPr>
            <xdr:cNvPr id="71723" name="TaskCheck_BW42" hidden="1">
              <a:extLst>
                <a:ext uri="{63B3BB69-23CF-44E3-9099-C40C66FF867C}">
                  <a14:compatExt spid="_x0000_s71723"/>
                </a:ext>
                <a:ext uri="{FF2B5EF4-FFF2-40B4-BE49-F238E27FC236}">
                  <a16:creationId xmlns:a16="http://schemas.microsoft.com/office/drawing/2014/main" id="{00000000-0008-0000-0800-00002B1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74</xdr:col>
          <xdr:colOff>19050</xdr:colOff>
          <xdr:row>2</xdr:row>
          <xdr:rowOff>12700</xdr:rowOff>
        </xdr:from>
        <xdr:to>
          <xdr:col>75</xdr:col>
          <xdr:colOff>50800</xdr:colOff>
          <xdr:row>2</xdr:row>
          <xdr:rowOff>273050</xdr:rowOff>
        </xdr:to>
        <xdr:sp macro="" textlink="">
          <xdr:nvSpPr>
            <xdr:cNvPr id="68611" name="TaskCheck_BW3" hidden="1">
              <a:extLst>
                <a:ext uri="{63B3BB69-23CF-44E3-9099-C40C66FF867C}">
                  <a14:compatExt spid="_x0000_s68611"/>
                </a:ext>
                <a:ext uri="{FF2B5EF4-FFF2-40B4-BE49-F238E27FC236}">
                  <a16:creationId xmlns:a16="http://schemas.microsoft.com/office/drawing/2014/main" id="{00000000-0008-0000-0900-000003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xdr:row>
          <xdr:rowOff>12700</xdr:rowOff>
        </xdr:from>
        <xdr:to>
          <xdr:col>75</xdr:col>
          <xdr:colOff>50800</xdr:colOff>
          <xdr:row>3</xdr:row>
          <xdr:rowOff>273050</xdr:rowOff>
        </xdr:to>
        <xdr:sp macro="" textlink="">
          <xdr:nvSpPr>
            <xdr:cNvPr id="68612" name="TaskCheck_BW4" hidden="1">
              <a:extLst>
                <a:ext uri="{63B3BB69-23CF-44E3-9099-C40C66FF867C}">
                  <a14:compatExt spid="_x0000_s68612"/>
                </a:ext>
                <a:ext uri="{FF2B5EF4-FFF2-40B4-BE49-F238E27FC236}">
                  <a16:creationId xmlns:a16="http://schemas.microsoft.com/office/drawing/2014/main" id="{00000000-0008-0000-0900-000004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4</xdr:row>
          <xdr:rowOff>12700</xdr:rowOff>
        </xdr:from>
        <xdr:to>
          <xdr:col>75</xdr:col>
          <xdr:colOff>50800</xdr:colOff>
          <xdr:row>4</xdr:row>
          <xdr:rowOff>273050</xdr:rowOff>
        </xdr:to>
        <xdr:sp macro="" textlink="">
          <xdr:nvSpPr>
            <xdr:cNvPr id="68613" name="TaskCheck_BW5" hidden="1">
              <a:extLst>
                <a:ext uri="{63B3BB69-23CF-44E3-9099-C40C66FF867C}">
                  <a14:compatExt spid="_x0000_s68613"/>
                </a:ext>
                <a:ext uri="{FF2B5EF4-FFF2-40B4-BE49-F238E27FC236}">
                  <a16:creationId xmlns:a16="http://schemas.microsoft.com/office/drawing/2014/main" id="{00000000-0008-0000-0900-000005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5</xdr:row>
          <xdr:rowOff>12700</xdr:rowOff>
        </xdr:from>
        <xdr:to>
          <xdr:col>75</xdr:col>
          <xdr:colOff>50800</xdr:colOff>
          <xdr:row>5</xdr:row>
          <xdr:rowOff>273050</xdr:rowOff>
        </xdr:to>
        <xdr:sp macro="" textlink="">
          <xdr:nvSpPr>
            <xdr:cNvPr id="68614" name="TaskCheck_BW6" hidden="1">
              <a:extLst>
                <a:ext uri="{63B3BB69-23CF-44E3-9099-C40C66FF867C}">
                  <a14:compatExt spid="_x0000_s68614"/>
                </a:ext>
                <a:ext uri="{FF2B5EF4-FFF2-40B4-BE49-F238E27FC236}">
                  <a16:creationId xmlns:a16="http://schemas.microsoft.com/office/drawing/2014/main" id="{00000000-0008-0000-0900-000006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6</xdr:row>
          <xdr:rowOff>12700</xdr:rowOff>
        </xdr:from>
        <xdr:to>
          <xdr:col>75</xdr:col>
          <xdr:colOff>50800</xdr:colOff>
          <xdr:row>6</xdr:row>
          <xdr:rowOff>273050</xdr:rowOff>
        </xdr:to>
        <xdr:sp macro="" textlink="">
          <xdr:nvSpPr>
            <xdr:cNvPr id="68615" name="TaskCheck_BW7" hidden="1">
              <a:extLst>
                <a:ext uri="{63B3BB69-23CF-44E3-9099-C40C66FF867C}">
                  <a14:compatExt spid="_x0000_s68615"/>
                </a:ext>
                <a:ext uri="{FF2B5EF4-FFF2-40B4-BE49-F238E27FC236}">
                  <a16:creationId xmlns:a16="http://schemas.microsoft.com/office/drawing/2014/main" id="{00000000-0008-0000-0900-000007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7</xdr:row>
          <xdr:rowOff>12700</xdr:rowOff>
        </xdr:from>
        <xdr:to>
          <xdr:col>75</xdr:col>
          <xdr:colOff>50800</xdr:colOff>
          <xdr:row>7</xdr:row>
          <xdr:rowOff>273050</xdr:rowOff>
        </xdr:to>
        <xdr:sp macro="" textlink="">
          <xdr:nvSpPr>
            <xdr:cNvPr id="68616" name="TaskCheck_BW8" hidden="1">
              <a:extLst>
                <a:ext uri="{63B3BB69-23CF-44E3-9099-C40C66FF867C}">
                  <a14:compatExt spid="_x0000_s68616"/>
                </a:ext>
                <a:ext uri="{FF2B5EF4-FFF2-40B4-BE49-F238E27FC236}">
                  <a16:creationId xmlns:a16="http://schemas.microsoft.com/office/drawing/2014/main" id="{00000000-0008-0000-0900-000008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8</xdr:row>
          <xdr:rowOff>12700</xdr:rowOff>
        </xdr:from>
        <xdr:to>
          <xdr:col>75</xdr:col>
          <xdr:colOff>50800</xdr:colOff>
          <xdr:row>8</xdr:row>
          <xdr:rowOff>273050</xdr:rowOff>
        </xdr:to>
        <xdr:sp macro="" textlink="">
          <xdr:nvSpPr>
            <xdr:cNvPr id="68617" name="TaskCheck_BW9" hidden="1">
              <a:extLst>
                <a:ext uri="{63B3BB69-23CF-44E3-9099-C40C66FF867C}">
                  <a14:compatExt spid="_x0000_s68617"/>
                </a:ext>
                <a:ext uri="{FF2B5EF4-FFF2-40B4-BE49-F238E27FC236}">
                  <a16:creationId xmlns:a16="http://schemas.microsoft.com/office/drawing/2014/main" id="{00000000-0008-0000-0900-000009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9</xdr:row>
          <xdr:rowOff>12700</xdr:rowOff>
        </xdr:from>
        <xdr:to>
          <xdr:col>75</xdr:col>
          <xdr:colOff>50800</xdr:colOff>
          <xdr:row>9</xdr:row>
          <xdr:rowOff>273050</xdr:rowOff>
        </xdr:to>
        <xdr:sp macro="" textlink="">
          <xdr:nvSpPr>
            <xdr:cNvPr id="68618" name="TaskCheck_BW10" hidden="1">
              <a:extLst>
                <a:ext uri="{63B3BB69-23CF-44E3-9099-C40C66FF867C}">
                  <a14:compatExt spid="_x0000_s68618"/>
                </a:ext>
                <a:ext uri="{FF2B5EF4-FFF2-40B4-BE49-F238E27FC236}">
                  <a16:creationId xmlns:a16="http://schemas.microsoft.com/office/drawing/2014/main" id="{00000000-0008-0000-0900-00000A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10</xdr:row>
          <xdr:rowOff>12700</xdr:rowOff>
        </xdr:from>
        <xdr:to>
          <xdr:col>75</xdr:col>
          <xdr:colOff>50800</xdr:colOff>
          <xdr:row>10</xdr:row>
          <xdr:rowOff>273050</xdr:rowOff>
        </xdr:to>
        <xdr:sp macro="" textlink="">
          <xdr:nvSpPr>
            <xdr:cNvPr id="68619" name="TaskCheck_BW11" hidden="1">
              <a:extLst>
                <a:ext uri="{63B3BB69-23CF-44E3-9099-C40C66FF867C}">
                  <a14:compatExt spid="_x0000_s68619"/>
                </a:ext>
                <a:ext uri="{FF2B5EF4-FFF2-40B4-BE49-F238E27FC236}">
                  <a16:creationId xmlns:a16="http://schemas.microsoft.com/office/drawing/2014/main" id="{00000000-0008-0000-0900-00000B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11</xdr:row>
          <xdr:rowOff>12700</xdr:rowOff>
        </xdr:from>
        <xdr:to>
          <xdr:col>75</xdr:col>
          <xdr:colOff>50800</xdr:colOff>
          <xdr:row>11</xdr:row>
          <xdr:rowOff>273050</xdr:rowOff>
        </xdr:to>
        <xdr:sp macro="" textlink="">
          <xdr:nvSpPr>
            <xdr:cNvPr id="68620" name="TaskCheck_BW12" hidden="1">
              <a:extLst>
                <a:ext uri="{63B3BB69-23CF-44E3-9099-C40C66FF867C}">
                  <a14:compatExt spid="_x0000_s68620"/>
                </a:ext>
                <a:ext uri="{FF2B5EF4-FFF2-40B4-BE49-F238E27FC236}">
                  <a16:creationId xmlns:a16="http://schemas.microsoft.com/office/drawing/2014/main" id="{00000000-0008-0000-0900-00000C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12</xdr:row>
          <xdr:rowOff>12700</xdr:rowOff>
        </xdr:from>
        <xdr:to>
          <xdr:col>75</xdr:col>
          <xdr:colOff>50800</xdr:colOff>
          <xdr:row>12</xdr:row>
          <xdr:rowOff>273050</xdr:rowOff>
        </xdr:to>
        <xdr:sp macro="" textlink="">
          <xdr:nvSpPr>
            <xdr:cNvPr id="68621" name="TaskCheck_BW13" hidden="1">
              <a:extLst>
                <a:ext uri="{63B3BB69-23CF-44E3-9099-C40C66FF867C}">
                  <a14:compatExt spid="_x0000_s68621"/>
                </a:ext>
                <a:ext uri="{FF2B5EF4-FFF2-40B4-BE49-F238E27FC236}">
                  <a16:creationId xmlns:a16="http://schemas.microsoft.com/office/drawing/2014/main" id="{00000000-0008-0000-0900-00000D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13</xdr:row>
          <xdr:rowOff>12700</xdr:rowOff>
        </xdr:from>
        <xdr:to>
          <xdr:col>75</xdr:col>
          <xdr:colOff>50800</xdr:colOff>
          <xdr:row>13</xdr:row>
          <xdr:rowOff>273050</xdr:rowOff>
        </xdr:to>
        <xdr:sp macro="" textlink="">
          <xdr:nvSpPr>
            <xdr:cNvPr id="68622" name="TaskCheck_BW14" hidden="1">
              <a:extLst>
                <a:ext uri="{63B3BB69-23CF-44E3-9099-C40C66FF867C}">
                  <a14:compatExt spid="_x0000_s68622"/>
                </a:ext>
                <a:ext uri="{FF2B5EF4-FFF2-40B4-BE49-F238E27FC236}">
                  <a16:creationId xmlns:a16="http://schemas.microsoft.com/office/drawing/2014/main" id="{00000000-0008-0000-0900-00000E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14</xdr:row>
          <xdr:rowOff>12700</xdr:rowOff>
        </xdr:from>
        <xdr:to>
          <xdr:col>75</xdr:col>
          <xdr:colOff>50800</xdr:colOff>
          <xdr:row>14</xdr:row>
          <xdr:rowOff>273050</xdr:rowOff>
        </xdr:to>
        <xdr:sp macro="" textlink="">
          <xdr:nvSpPr>
            <xdr:cNvPr id="68623" name="TaskCheck_BW15" hidden="1">
              <a:extLst>
                <a:ext uri="{63B3BB69-23CF-44E3-9099-C40C66FF867C}">
                  <a14:compatExt spid="_x0000_s68623"/>
                </a:ext>
                <a:ext uri="{FF2B5EF4-FFF2-40B4-BE49-F238E27FC236}">
                  <a16:creationId xmlns:a16="http://schemas.microsoft.com/office/drawing/2014/main" id="{00000000-0008-0000-0900-00000F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15</xdr:row>
          <xdr:rowOff>12700</xdr:rowOff>
        </xdr:from>
        <xdr:to>
          <xdr:col>75</xdr:col>
          <xdr:colOff>50800</xdr:colOff>
          <xdr:row>15</xdr:row>
          <xdr:rowOff>273050</xdr:rowOff>
        </xdr:to>
        <xdr:sp macro="" textlink="">
          <xdr:nvSpPr>
            <xdr:cNvPr id="68624" name="TaskCheck_BW16" hidden="1">
              <a:extLst>
                <a:ext uri="{63B3BB69-23CF-44E3-9099-C40C66FF867C}">
                  <a14:compatExt spid="_x0000_s68624"/>
                </a:ext>
                <a:ext uri="{FF2B5EF4-FFF2-40B4-BE49-F238E27FC236}">
                  <a16:creationId xmlns:a16="http://schemas.microsoft.com/office/drawing/2014/main" id="{00000000-0008-0000-0900-000010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18</xdr:row>
          <xdr:rowOff>12700</xdr:rowOff>
        </xdr:from>
        <xdr:to>
          <xdr:col>75</xdr:col>
          <xdr:colOff>50800</xdr:colOff>
          <xdr:row>18</xdr:row>
          <xdr:rowOff>273050</xdr:rowOff>
        </xdr:to>
        <xdr:sp macro="" textlink="">
          <xdr:nvSpPr>
            <xdr:cNvPr id="68625" name="TaskCheck_BW19" hidden="1">
              <a:extLst>
                <a:ext uri="{63B3BB69-23CF-44E3-9099-C40C66FF867C}">
                  <a14:compatExt spid="_x0000_s68625"/>
                </a:ext>
                <a:ext uri="{FF2B5EF4-FFF2-40B4-BE49-F238E27FC236}">
                  <a16:creationId xmlns:a16="http://schemas.microsoft.com/office/drawing/2014/main" id="{00000000-0008-0000-0900-000011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19</xdr:row>
          <xdr:rowOff>12700</xdr:rowOff>
        </xdr:from>
        <xdr:to>
          <xdr:col>75</xdr:col>
          <xdr:colOff>50800</xdr:colOff>
          <xdr:row>19</xdr:row>
          <xdr:rowOff>273050</xdr:rowOff>
        </xdr:to>
        <xdr:sp macro="" textlink="">
          <xdr:nvSpPr>
            <xdr:cNvPr id="68626" name="TaskCheck_BW20" hidden="1">
              <a:extLst>
                <a:ext uri="{63B3BB69-23CF-44E3-9099-C40C66FF867C}">
                  <a14:compatExt spid="_x0000_s68626"/>
                </a:ext>
                <a:ext uri="{FF2B5EF4-FFF2-40B4-BE49-F238E27FC236}">
                  <a16:creationId xmlns:a16="http://schemas.microsoft.com/office/drawing/2014/main" id="{00000000-0008-0000-0900-000012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20</xdr:row>
          <xdr:rowOff>12700</xdr:rowOff>
        </xdr:from>
        <xdr:to>
          <xdr:col>75</xdr:col>
          <xdr:colOff>50800</xdr:colOff>
          <xdr:row>20</xdr:row>
          <xdr:rowOff>273050</xdr:rowOff>
        </xdr:to>
        <xdr:sp macro="" textlink="">
          <xdr:nvSpPr>
            <xdr:cNvPr id="68627" name="TaskCheck_BW21" hidden="1">
              <a:extLst>
                <a:ext uri="{63B3BB69-23CF-44E3-9099-C40C66FF867C}">
                  <a14:compatExt spid="_x0000_s68627"/>
                </a:ext>
                <a:ext uri="{FF2B5EF4-FFF2-40B4-BE49-F238E27FC236}">
                  <a16:creationId xmlns:a16="http://schemas.microsoft.com/office/drawing/2014/main" id="{00000000-0008-0000-0900-000013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21</xdr:row>
          <xdr:rowOff>12700</xdr:rowOff>
        </xdr:from>
        <xdr:to>
          <xdr:col>75</xdr:col>
          <xdr:colOff>50800</xdr:colOff>
          <xdr:row>21</xdr:row>
          <xdr:rowOff>273050</xdr:rowOff>
        </xdr:to>
        <xdr:sp macro="" textlink="">
          <xdr:nvSpPr>
            <xdr:cNvPr id="68628" name="TaskCheck_BW22" hidden="1">
              <a:extLst>
                <a:ext uri="{63B3BB69-23CF-44E3-9099-C40C66FF867C}">
                  <a14:compatExt spid="_x0000_s68628"/>
                </a:ext>
                <a:ext uri="{FF2B5EF4-FFF2-40B4-BE49-F238E27FC236}">
                  <a16:creationId xmlns:a16="http://schemas.microsoft.com/office/drawing/2014/main" id="{00000000-0008-0000-0900-000014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22</xdr:row>
          <xdr:rowOff>12700</xdr:rowOff>
        </xdr:from>
        <xdr:to>
          <xdr:col>75</xdr:col>
          <xdr:colOff>50800</xdr:colOff>
          <xdr:row>22</xdr:row>
          <xdr:rowOff>273050</xdr:rowOff>
        </xdr:to>
        <xdr:sp macro="" textlink="">
          <xdr:nvSpPr>
            <xdr:cNvPr id="68629" name="TaskCheck_BW23" hidden="1">
              <a:extLst>
                <a:ext uri="{63B3BB69-23CF-44E3-9099-C40C66FF867C}">
                  <a14:compatExt spid="_x0000_s68629"/>
                </a:ext>
                <a:ext uri="{FF2B5EF4-FFF2-40B4-BE49-F238E27FC236}">
                  <a16:creationId xmlns:a16="http://schemas.microsoft.com/office/drawing/2014/main" id="{00000000-0008-0000-0900-000015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23</xdr:row>
          <xdr:rowOff>12700</xdr:rowOff>
        </xdr:from>
        <xdr:to>
          <xdr:col>75</xdr:col>
          <xdr:colOff>50800</xdr:colOff>
          <xdr:row>23</xdr:row>
          <xdr:rowOff>273050</xdr:rowOff>
        </xdr:to>
        <xdr:sp macro="" textlink="">
          <xdr:nvSpPr>
            <xdr:cNvPr id="68630" name="TaskCheck_BW24" hidden="1">
              <a:extLst>
                <a:ext uri="{63B3BB69-23CF-44E3-9099-C40C66FF867C}">
                  <a14:compatExt spid="_x0000_s68630"/>
                </a:ext>
                <a:ext uri="{FF2B5EF4-FFF2-40B4-BE49-F238E27FC236}">
                  <a16:creationId xmlns:a16="http://schemas.microsoft.com/office/drawing/2014/main" id="{00000000-0008-0000-0900-000016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24</xdr:row>
          <xdr:rowOff>12700</xdr:rowOff>
        </xdr:from>
        <xdr:to>
          <xdr:col>75</xdr:col>
          <xdr:colOff>50800</xdr:colOff>
          <xdr:row>24</xdr:row>
          <xdr:rowOff>273050</xdr:rowOff>
        </xdr:to>
        <xdr:sp macro="" textlink="">
          <xdr:nvSpPr>
            <xdr:cNvPr id="68631" name="TaskCheck_BW25" hidden="1">
              <a:extLst>
                <a:ext uri="{63B3BB69-23CF-44E3-9099-C40C66FF867C}">
                  <a14:compatExt spid="_x0000_s68631"/>
                </a:ext>
                <a:ext uri="{FF2B5EF4-FFF2-40B4-BE49-F238E27FC236}">
                  <a16:creationId xmlns:a16="http://schemas.microsoft.com/office/drawing/2014/main" id="{00000000-0008-0000-0900-000017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25</xdr:row>
          <xdr:rowOff>12700</xdr:rowOff>
        </xdr:from>
        <xdr:to>
          <xdr:col>75</xdr:col>
          <xdr:colOff>50800</xdr:colOff>
          <xdr:row>25</xdr:row>
          <xdr:rowOff>273050</xdr:rowOff>
        </xdr:to>
        <xdr:sp macro="" textlink="">
          <xdr:nvSpPr>
            <xdr:cNvPr id="68632" name="TaskCheck_BW26" hidden="1">
              <a:extLst>
                <a:ext uri="{63B3BB69-23CF-44E3-9099-C40C66FF867C}">
                  <a14:compatExt spid="_x0000_s68632"/>
                </a:ext>
                <a:ext uri="{FF2B5EF4-FFF2-40B4-BE49-F238E27FC236}">
                  <a16:creationId xmlns:a16="http://schemas.microsoft.com/office/drawing/2014/main" id="{00000000-0008-0000-0900-000018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26</xdr:row>
          <xdr:rowOff>12700</xdr:rowOff>
        </xdr:from>
        <xdr:to>
          <xdr:col>75</xdr:col>
          <xdr:colOff>50800</xdr:colOff>
          <xdr:row>26</xdr:row>
          <xdr:rowOff>273050</xdr:rowOff>
        </xdr:to>
        <xdr:sp macro="" textlink="">
          <xdr:nvSpPr>
            <xdr:cNvPr id="68633" name="TaskCheck_BW27" hidden="1">
              <a:extLst>
                <a:ext uri="{63B3BB69-23CF-44E3-9099-C40C66FF867C}">
                  <a14:compatExt spid="_x0000_s68633"/>
                </a:ext>
                <a:ext uri="{FF2B5EF4-FFF2-40B4-BE49-F238E27FC236}">
                  <a16:creationId xmlns:a16="http://schemas.microsoft.com/office/drawing/2014/main" id="{00000000-0008-0000-0900-000019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27</xdr:row>
          <xdr:rowOff>12700</xdr:rowOff>
        </xdr:from>
        <xdr:to>
          <xdr:col>75</xdr:col>
          <xdr:colOff>50800</xdr:colOff>
          <xdr:row>27</xdr:row>
          <xdr:rowOff>273050</xdr:rowOff>
        </xdr:to>
        <xdr:sp macro="" textlink="">
          <xdr:nvSpPr>
            <xdr:cNvPr id="68634" name="TaskCheck_BW28" hidden="1">
              <a:extLst>
                <a:ext uri="{63B3BB69-23CF-44E3-9099-C40C66FF867C}">
                  <a14:compatExt spid="_x0000_s68634"/>
                </a:ext>
                <a:ext uri="{FF2B5EF4-FFF2-40B4-BE49-F238E27FC236}">
                  <a16:creationId xmlns:a16="http://schemas.microsoft.com/office/drawing/2014/main" id="{00000000-0008-0000-0900-00001A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28</xdr:row>
          <xdr:rowOff>12700</xdr:rowOff>
        </xdr:from>
        <xdr:to>
          <xdr:col>75</xdr:col>
          <xdr:colOff>50800</xdr:colOff>
          <xdr:row>28</xdr:row>
          <xdr:rowOff>273050</xdr:rowOff>
        </xdr:to>
        <xdr:sp macro="" textlink="">
          <xdr:nvSpPr>
            <xdr:cNvPr id="68635" name="TaskCheck_BW29" hidden="1">
              <a:extLst>
                <a:ext uri="{63B3BB69-23CF-44E3-9099-C40C66FF867C}">
                  <a14:compatExt spid="_x0000_s68635"/>
                </a:ext>
                <a:ext uri="{FF2B5EF4-FFF2-40B4-BE49-F238E27FC236}">
                  <a16:creationId xmlns:a16="http://schemas.microsoft.com/office/drawing/2014/main" id="{00000000-0008-0000-0900-00001B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29</xdr:row>
          <xdr:rowOff>12700</xdr:rowOff>
        </xdr:from>
        <xdr:to>
          <xdr:col>75</xdr:col>
          <xdr:colOff>50800</xdr:colOff>
          <xdr:row>29</xdr:row>
          <xdr:rowOff>273050</xdr:rowOff>
        </xdr:to>
        <xdr:sp macro="" textlink="">
          <xdr:nvSpPr>
            <xdr:cNvPr id="68636" name="TaskCheck_BW30" hidden="1">
              <a:extLst>
                <a:ext uri="{63B3BB69-23CF-44E3-9099-C40C66FF867C}">
                  <a14:compatExt spid="_x0000_s68636"/>
                </a:ext>
                <a:ext uri="{FF2B5EF4-FFF2-40B4-BE49-F238E27FC236}">
                  <a16:creationId xmlns:a16="http://schemas.microsoft.com/office/drawing/2014/main" id="{00000000-0008-0000-0900-00001C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30</xdr:row>
          <xdr:rowOff>12700</xdr:rowOff>
        </xdr:from>
        <xdr:to>
          <xdr:col>75</xdr:col>
          <xdr:colOff>50800</xdr:colOff>
          <xdr:row>30</xdr:row>
          <xdr:rowOff>273050</xdr:rowOff>
        </xdr:to>
        <xdr:sp macro="" textlink="">
          <xdr:nvSpPr>
            <xdr:cNvPr id="68637" name="TaskCheck_BW31" hidden="1">
              <a:extLst>
                <a:ext uri="{63B3BB69-23CF-44E3-9099-C40C66FF867C}">
                  <a14:compatExt spid="_x0000_s68637"/>
                </a:ext>
                <a:ext uri="{FF2B5EF4-FFF2-40B4-BE49-F238E27FC236}">
                  <a16:creationId xmlns:a16="http://schemas.microsoft.com/office/drawing/2014/main" id="{00000000-0008-0000-0900-00001D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31</xdr:row>
          <xdr:rowOff>12700</xdr:rowOff>
        </xdr:from>
        <xdr:to>
          <xdr:col>75</xdr:col>
          <xdr:colOff>50800</xdr:colOff>
          <xdr:row>31</xdr:row>
          <xdr:rowOff>273050</xdr:rowOff>
        </xdr:to>
        <xdr:sp macro="" textlink="">
          <xdr:nvSpPr>
            <xdr:cNvPr id="68638" name="TaskCheck_BW32" hidden="1">
              <a:extLst>
                <a:ext uri="{63B3BB69-23CF-44E3-9099-C40C66FF867C}">
                  <a14:compatExt spid="_x0000_s68638"/>
                </a:ext>
                <a:ext uri="{FF2B5EF4-FFF2-40B4-BE49-F238E27FC236}">
                  <a16:creationId xmlns:a16="http://schemas.microsoft.com/office/drawing/2014/main" id="{00000000-0008-0000-0900-00001E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32</xdr:row>
          <xdr:rowOff>12700</xdr:rowOff>
        </xdr:from>
        <xdr:to>
          <xdr:col>75</xdr:col>
          <xdr:colOff>50800</xdr:colOff>
          <xdr:row>32</xdr:row>
          <xdr:rowOff>273050</xdr:rowOff>
        </xdr:to>
        <xdr:sp macro="" textlink="">
          <xdr:nvSpPr>
            <xdr:cNvPr id="68639" name="TaskCheck_BW33" hidden="1">
              <a:extLst>
                <a:ext uri="{63B3BB69-23CF-44E3-9099-C40C66FF867C}">
                  <a14:compatExt spid="_x0000_s68639"/>
                </a:ext>
                <a:ext uri="{FF2B5EF4-FFF2-40B4-BE49-F238E27FC236}">
                  <a16:creationId xmlns:a16="http://schemas.microsoft.com/office/drawing/2014/main" id="{00000000-0008-0000-0900-00001F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35</xdr:row>
          <xdr:rowOff>12700</xdr:rowOff>
        </xdr:from>
        <xdr:to>
          <xdr:col>75</xdr:col>
          <xdr:colOff>50800</xdr:colOff>
          <xdr:row>35</xdr:row>
          <xdr:rowOff>273050</xdr:rowOff>
        </xdr:to>
        <xdr:sp macro="" textlink="">
          <xdr:nvSpPr>
            <xdr:cNvPr id="68640" name="TaskCheck_BW36" hidden="1">
              <a:extLst>
                <a:ext uri="{63B3BB69-23CF-44E3-9099-C40C66FF867C}">
                  <a14:compatExt spid="_x0000_s68640"/>
                </a:ext>
                <a:ext uri="{FF2B5EF4-FFF2-40B4-BE49-F238E27FC236}">
                  <a16:creationId xmlns:a16="http://schemas.microsoft.com/office/drawing/2014/main" id="{00000000-0008-0000-0900-000020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36</xdr:row>
          <xdr:rowOff>12700</xdr:rowOff>
        </xdr:from>
        <xdr:to>
          <xdr:col>69</xdr:col>
          <xdr:colOff>50800</xdr:colOff>
          <xdr:row>36</xdr:row>
          <xdr:rowOff>273050</xdr:rowOff>
        </xdr:to>
        <xdr:sp macro="" textlink="">
          <xdr:nvSpPr>
            <xdr:cNvPr id="68641" name="TaskCheck_BQ37" hidden="1">
              <a:extLst>
                <a:ext uri="{63B3BB69-23CF-44E3-9099-C40C66FF867C}">
                  <a14:compatExt spid="_x0000_s68641"/>
                </a:ext>
                <a:ext uri="{FF2B5EF4-FFF2-40B4-BE49-F238E27FC236}">
                  <a16:creationId xmlns:a16="http://schemas.microsoft.com/office/drawing/2014/main" id="{00000000-0008-0000-0900-000021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36</xdr:row>
          <xdr:rowOff>12700</xdr:rowOff>
        </xdr:from>
        <xdr:to>
          <xdr:col>75</xdr:col>
          <xdr:colOff>50800</xdr:colOff>
          <xdr:row>36</xdr:row>
          <xdr:rowOff>273050</xdr:rowOff>
        </xdr:to>
        <xdr:sp macro="" textlink="">
          <xdr:nvSpPr>
            <xdr:cNvPr id="68642" name="TaskCheck_BW37" hidden="1">
              <a:extLst>
                <a:ext uri="{63B3BB69-23CF-44E3-9099-C40C66FF867C}">
                  <a14:compatExt spid="_x0000_s68642"/>
                </a:ext>
                <a:ext uri="{FF2B5EF4-FFF2-40B4-BE49-F238E27FC236}">
                  <a16:creationId xmlns:a16="http://schemas.microsoft.com/office/drawing/2014/main" id="{00000000-0008-0000-0900-000022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37</xdr:row>
          <xdr:rowOff>12700</xdr:rowOff>
        </xdr:from>
        <xdr:to>
          <xdr:col>69</xdr:col>
          <xdr:colOff>50800</xdr:colOff>
          <xdr:row>37</xdr:row>
          <xdr:rowOff>273050</xdr:rowOff>
        </xdr:to>
        <xdr:sp macro="" textlink="">
          <xdr:nvSpPr>
            <xdr:cNvPr id="68643" name="TaskCheck_BQ38" hidden="1">
              <a:extLst>
                <a:ext uri="{63B3BB69-23CF-44E3-9099-C40C66FF867C}">
                  <a14:compatExt spid="_x0000_s68643"/>
                </a:ext>
                <a:ext uri="{FF2B5EF4-FFF2-40B4-BE49-F238E27FC236}">
                  <a16:creationId xmlns:a16="http://schemas.microsoft.com/office/drawing/2014/main" id="{00000000-0008-0000-0900-000023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37</xdr:row>
          <xdr:rowOff>12700</xdr:rowOff>
        </xdr:from>
        <xdr:to>
          <xdr:col>75</xdr:col>
          <xdr:colOff>50800</xdr:colOff>
          <xdr:row>37</xdr:row>
          <xdr:rowOff>273050</xdr:rowOff>
        </xdr:to>
        <xdr:sp macro="" textlink="">
          <xdr:nvSpPr>
            <xdr:cNvPr id="68644" name="TaskCheck_BW38" hidden="1">
              <a:extLst>
                <a:ext uri="{63B3BB69-23CF-44E3-9099-C40C66FF867C}">
                  <a14:compatExt spid="_x0000_s68644"/>
                </a:ext>
                <a:ext uri="{FF2B5EF4-FFF2-40B4-BE49-F238E27FC236}">
                  <a16:creationId xmlns:a16="http://schemas.microsoft.com/office/drawing/2014/main" id="{00000000-0008-0000-0900-000024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38</xdr:row>
          <xdr:rowOff>12700</xdr:rowOff>
        </xdr:from>
        <xdr:to>
          <xdr:col>69</xdr:col>
          <xdr:colOff>50800</xdr:colOff>
          <xdr:row>38</xdr:row>
          <xdr:rowOff>273050</xdr:rowOff>
        </xdr:to>
        <xdr:sp macro="" textlink="">
          <xdr:nvSpPr>
            <xdr:cNvPr id="68645" name="TaskCheck_BQ39" hidden="1">
              <a:extLst>
                <a:ext uri="{63B3BB69-23CF-44E3-9099-C40C66FF867C}">
                  <a14:compatExt spid="_x0000_s68645"/>
                </a:ext>
                <a:ext uri="{FF2B5EF4-FFF2-40B4-BE49-F238E27FC236}">
                  <a16:creationId xmlns:a16="http://schemas.microsoft.com/office/drawing/2014/main" id="{00000000-0008-0000-0900-000025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38</xdr:row>
          <xdr:rowOff>12700</xdr:rowOff>
        </xdr:from>
        <xdr:to>
          <xdr:col>75</xdr:col>
          <xdr:colOff>50800</xdr:colOff>
          <xdr:row>38</xdr:row>
          <xdr:rowOff>273050</xdr:rowOff>
        </xdr:to>
        <xdr:sp macro="" textlink="">
          <xdr:nvSpPr>
            <xdr:cNvPr id="68646" name="TaskCheck_BW39" hidden="1">
              <a:extLst>
                <a:ext uri="{63B3BB69-23CF-44E3-9099-C40C66FF867C}">
                  <a14:compatExt spid="_x0000_s68646"/>
                </a:ext>
                <a:ext uri="{FF2B5EF4-FFF2-40B4-BE49-F238E27FC236}">
                  <a16:creationId xmlns:a16="http://schemas.microsoft.com/office/drawing/2014/main" id="{00000000-0008-0000-0900-000026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39</xdr:row>
          <xdr:rowOff>12700</xdr:rowOff>
        </xdr:from>
        <xdr:to>
          <xdr:col>69</xdr:col>
          <xdr:colOff>50800</xdr:colOff>
          <xdr:row>39</xdr:row>
          <xdr:rowOff>273050</xdr:rowOff>
        </xdr:to>
        <xdr:sp macro="" textlink="">
          <xdr:nvSpPr>
            <xdr:cNvPr id="68647" name="TaskCheck_BQ40" hidden="1">
              <a:extLst>
                <a:ext uri="{63B3BB69-23CF-44E3-9099-C40C66FF867C}">
                  <a14:compatExt spid="_x0000_s68647"/>
                </a:ext>
                <a:ext uri="{FF2B5EF4-FFF2-40B4-BE49-F238E27FC236}">
                  <a16:creationId xmlns:a16="http://schemas.microsoft.com/office/drawing/2014/main" id="{00000000-0008-0000-0900-000027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39</xdr:row>
          <xdr:rowOff>12700</xdr:rowOff>
        </xdr:from>
        <xdr:to>
          <xdr:col>75</xdr:col>
          <xdr:colOff>50800</xdr:colOff>
          <xdr:row>39</xdr:row>
          <xdr:rowOff>273050</xdr:rowOff>
        </xdr:to>
        <xdr:sp macro="" textlink="">
          <xdr:nvSpPr>
            <xdr:cNvPr id="68648" name="TaskCheck_BW40" hidden="1">
              <a:extLst>
                <a:ext uri="{63B3BB69-23CF-44E3-9099-C40C66FF867C}">
                  <a14:compatExt spid="_x0000_s68648"/>
                </a:ext>
                <a:ext uri="{FF2B5EF4-FFF2-40B4-BE49-F238E27FC236}">
                  <a16:creationId xmlns:a16="http://schemas.microsoft.com/office/drawing/2014/main" id="{00000000-0008-0000-0900-000028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40</xdr:row>
          <xdr:rowOff>12700</xdr:rowOff>
        </xdr:from>
        <xdr:to>
          <xdr:col>69</xdr:col>
          <xdr:colOff>50800</xdr:colOff>
          <xdr:row>40</xdr:row>
          <xdr:rowOff>273050</xdr:rowOff>
        </xdr:to>
        <xdr:sp macro="" textlink="">
          <xdr:nvSpPr>
            <xdr:cNvPr id="68649" name="TaskCheck_BQ41" hidden="1">
              <a:extLst>
                <a:ext uri="{63B3BB69-23CF-44E3-9099-C40C66FF867C}">
                  <a14:compatExt spid="_x0000_s68649"/>
                </a:ext>
                <a:ext uri="{FF2B5EF4-FFF2-40B4-BE49-F238E27FC236}">
                  <a16:creationId xmlns:a16="http://schemas.microsoft.com/office/drawing/2014/main" id="{00000000-0008-0000-0900-000029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40</xdr:row>
          <xdr:rowOff>12700</xdr:rowOff>
        </xdr:from>
        <xdr:to>
          <xdr:col>75</xdr:col>
          <xdr:colOff>50800</xdr:colOff>
          <xdr:row>40</xdr:row>
          <xdr:rowOff>273050</xdr:rowOff>
        </xdr:to>
        <xdr:sp macro="" textlink="">
          <xdr:nvSpPr>
            <xdr:cNvPr id="68650" name="TaskCheck_BW41" hidden="1">
              <a:extLst>
                <a:ext uri="{63B3BB69-23CF-44E3-9099-C40C66FF867C}">
                  <a14:compatExt spid="_x0000_s68650"/>
                </a:ext>
                <a:ext uri="{FF2B5EF4-FFF2-40B4-BE49-F238E27FC236}">
                  <a16:creationId xmlns:a16="http://schemas.microsoft.com/office/drawing/2014/main" id="{00000000-0008-0000-0900-00002A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19050</xdr:colOff>
          <xdr:row>41</xdr:row>
          <xdr:rowOff>12700</xdr:rowOff>
        </xdr:from>
        <xdr:to>
          <xdr:col>69</xdr:col>
          <xdr:colOff>50800</xdr:colOff>
          <xdr:row>41</xdr:row>
          <xdr:rowOff>273050</xdr:rowOff>
        </xdr:to>
        <xdr:sp macro="" textlink="">
          <xdr:nvSpPr>
            <xdr:cNvPr id="68651" name="TaskCheck_BQ42" hidden="1">
              <a:extLst>
                <a:ext uri="{63B3BB69-23CF-44E3-9099-C40C66FF867C}">
                  <a14:compatExt spid="_x0000_s68651"/>
                </a:ext>
                <a:ext uri="{FF2B5EF4-FFF2-40B4-BE49-F238E27FC236}">
                  <a16:creationId xmlns:a16="http://schemas.microsoft.com/office/drawing/2014/main" id="{00000000-0008-0000-0900-00002B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19050</xdr:colOff>
          <xdr:row>41</xdr:row>
          <xdr:rowOff>12700</xdr:rowOff>
        </xdr:from>
        <xdr:to>
          <xdr:col>75</xdr:col>
          <xdr:colOff>50800</xdr:colOff>
          <xdr:row>41</xdr:row>
          <xdr:rowOff>273050</xdr:rowOff>
        </xdr:to>
        <xdr:sp macro="" textlink="">
          <xdr:nvSpPr>
            <xdr:cNvPr id="68652" name="TaskCheck_BW42" hidden="1">
              <a:extLst>
                <a:ext uri="{63B3BB69-23CF-44E3-9099-C40C66FF867C}">
                  <a14:compatExt spid="_x0000_s68652"/>
                </a:ext>
                <a:ext uri="{FF2B5EF4-FFF2-40B4-BE49-F238E27FC236}">
                  <a16:creationId xmlns:a16="http://schemas.microsoft.com/office/drawing/2014/main" id="{00000000-0008-0000-0900-00002C0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74</xdr:col>
          <xdr:colOff>25400</xdr:colOff>
          <xdr:row>2</xdr:row>
          <xdr:rowOff>12700</xdr:rowOff>
        </xdr:from>
        <xdr:to>
          <xdr:col>75</xdr:col>
          <xdr:colOff>127000</xdr:colOff>
          <xdr:row>2</xdr:row>
          <xdr:rowOff>279400</xdr:rowOff>
        </xdr:to>
        <xdr:sp macro="" textlink="">
          <xdr:nvSpPr>
            <xdr:cNvPr id="59405" name="TaskCheck_BW3" hidden="1">
              <a:extLst>
                <a:ext uri="{63B3BB69-23CF-44E3-9099-C40C66FF867C}">
                  <a14:compatExt spid="_x0000_s59405"/>
                </a:ext>
                <a:ext uri="{FF2B5EF4-FFF2-40B4-BE49-F238E27FC236}">
                  <a16:creationId xmlns:a16="http://schemas.microsoft.com/office/drawing/2014/main" id="{00000000-0008-0000-0A00-00000D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3</xdr:row>
          <xdr:rowOff>12700</xdr:rowOff>
        </xdr:from>
        <xdr:to>
          <xdr:col>75</xdr:col>
          <xdr:colOff>127000</xdr:colOff>
          <xdr:row>3</xdr:row>
          <xdr:rowOff>279400</xdr:rowOff>
        </xdr:to>
        <xdr:sp macro="" textlink="">
          <xdr:nvSpPr>
            <xdr:cNvPr id="59406" name="TaskCheck_BW4" hidden="1">
              <a:extLst>
                <a:ext uri="{63B3BB69-23CF-44E3-9099-C40C66FF867C}">
                  <a14:compatExt spid="_x0000_s59406"/>
                </a:ext>
                <a:ext uri="{FF2B5EF4-FFF2-40B4-BE49-F238E27FC236}">
                  <a16:creationId xmlns:a16="http://schemas.microsoft.com/office/drawing/2014/main" id="{00000000-0008-0000-0A00-00000E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4</xdr:row>
          <xdr:rowOff>12700</xdr:rowOff>
        </xdr:from>
        <xdr:to>
          <xdr:col>75</xdr:col>
          <xdr:colOff>127000</xdr:colOff>
          <xdr:row>4</xdr:row>
          <xdr:rowOff>279400</xdr:rowOff>
        </xdr:to>
        <xdr:sp macro="" textlink="">
          <xdr:nvSpPr>
            <xdr:cNvPr id="59407" name="TaskCheck_BW5" hidden="1">
              <a:extLst>
                <a:ext uri="{63B3BB69-23CF-44E3-9099-C40C66FF867C}">
                  <a14:compatExt spid="_x0000_s59407"/>
                </a:ext>
                <a:ext uri="{FF2B5EF4-FFF2-40B4-BE49-F238E27FC236}">
                  <a16:creationId xmlns:a16="http://schemas.microsoft.com/office/drawing/2014/main" id="{00000000-0008-0000-0A00-00000F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5</xdr:row>
          <xdr:rowOff>12700</xdr:rowOff>
        </xdr:from>
        <xdr:to>
          <xdr:col>75</xdr:col>
          <xdr:colOff>127000</xdr:colOff>
          <xdr:row>5</xdr:row>
          <xdr:rowOff>279400</xdr:rowOff>
        </xdr:to>
        <xdr:sp macro="" textlink="">
          <xdr:nvSpPr>
            <xdr:cNvPr id="59408" name="TaskCheck_BW6" hidden="1">
              <a:extLst>
                <a:ext uri="{63B3BB69-23CF-44E3-9099-C40C66FF867C}">
                  <a14:compatExt spid="_x0000_s59408"/>
                </a:ext>
                <a:ext uri="{FF2B5EF4-FFF2-40B4-BE49-F238E27FC236}">
                  <a16:creationId xmlns:a16="http://schemas.microsoft.com/office/drawing/2014/main" id="{00000000-0008-0000-0A00-000010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6</xdr:row>
          <xdr:rowOff>12700</xdr:rowOff>
        </xdr:from>
        <xdr:to>
          <xdr:col>75</xdr:col>
          <xdr:colOff>127000</xdr:colOff>
          <xdr:row>6</xdr:row>
          <xdr:rowOff>279400</xdr:rowOff>
        </xdr:to>
        <xdr:sp macro="" textlink="">
          <xdr:nvSpPr>
            <xdr:cNvPr id="59409" name="TaskCheck_BW7" hidden="1">
              <a:extLst>
                <a:ext uri="{63B3BB69-23CF-44E3-9099-C40C66FF867C}">
                  <a14:compatExt spid="_x0000_s59409"/>
                </a:ext>
                <a:ext uri="{FF2B5EF4-FFF2-40B4-BE49-F238E27FC236}">
                  <a16:creationId xmlns:a16="http://schemas.microsoft.com/office/drawing/2014/main" id="{00000000-0008-0000-0A00-000011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7</xdr:row>
          <xdr:rowOff>12700</xdr:rowOff>
        </xdr:from>
        <xdr:to>
          <xdr:col>75</xdr:col>
          <xdr:colOff>127000</xdr:colOff>
          <xdr:row>7</xdr:row>
          <xdr:rowOff>279400</xdr:rowOff>
        </xdr:to>
        <xdr:sp macro="" textlink="">
          <xdr:nvSpPr>
            <xdr:cNvPr id="59410" name="TaskCheck_BW8" hidden="1">
              <a:extLst>
                <a:ext uri="{63B3BB69-23CF-44E3-9099-C40C66FF867C}">
                  <a14:compatExt spid="_x0000_s59410"/>
                </a:ext>
                <a:ext uri="{FF2B5EF4-FFF2-40B4-BE49-F238E27FC236}">
                  <a16:creationId xmlns:a16="http://schemas.microsoft.com/office/drawing/2014/main" id="{00000000-0008-0000-0A00-000012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8</xdr:row>
          <xdr:rowOff>12700</xdr:rowOff>
        </xdr:from>
        <xdr:to>
          <xdr:col>75</xdr:col>
          <xdr:colOff>127000</xdr:colOff>
          <xdr:row>8</xdr:row>
          <xdr:rowOff>279400</xdr:rowOff>
        </xdr:to>
        <xdr:sp macro="" textlink="">
          <xdr:nvSpPr>
            <xdr:cNvPr id="59411" name="TaskCheck_BW9" hidden="1">
              <a:extLst>
                <a:ext uri="{63B3BB69-23CF-44E3-9099-C40C66FF867C}">
                  <a14:compatExt spid="_x0000_s59411"/>
                </a:ext>
                <a:ext uri="{FF2B5EF4-FFF2-40B4-BE49-F238E27FC236}">
                  <a16:creationId xmlns:a16="http://schemas.microsoft.com/office/drawing/2014/main" id="{00000000-0008-0000-0A00-000013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9</xdr:row>
          <xdr:rowOff>12700</xdr:rowOff>
        </xdr:from>
        <xdr:to>
          <xdr:col>75</xdr:col>
          <xdr:colOff>127000</xdr:colOff>
          <xdr:row>9</xdr:row>
          <xdr:rowOff>279400</xdr:rowOff>
        </xdr:to>
        <xdr:sp macro="" textlink="">
          <xdr:nvSpPr>
            <xdr:cNvPr id="59412" name="TaskCheck_BW10" hidden="1">
              <a:extLst>
                <a:ext uri="{63B3BB69-23CF-44E3-9099-C40C66FF867C}">
                  <a14:compatExt spid="_x0000_s59412"/>
                </a:ext>
                <a:ext uri="{FF2B5EF4-FFF2-40B4-BE49-F238E27FC236}">
                  <a16:creationId xmlns:a16="http://schemas.microsoft.com/office/drawing/2014/main" id="{00000000-0008-0000-0A00-000014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10</xdr:row>
          <xdr:rowOff>12700</xdr:rowOff>
        </xdr:from>
        <xdr:to>
          <xdr:col>75</xdr:col>
          <xdr:colOff>127000</xdr:colOff>
          <xdr:row>10</xdr:row>
          <xdr:rowOff>279400</xdr:rowOff>
        </xdr:to>
        <xdr:sp macro="" textlink="">
          <xdr:nvSpPr>
            <xdr:cNvPr id="59413" name="TaskCheck_BW11" hidden="1">
              <a:extLst>
                <a:ext uri="{63B3BB69-23CF-44E3-9099-C40C66FF867C}">
                  <a14:compatExt spid="_x0000_s59413"/>
                </a:ext>
                <a:ext uri="{FF2B5EF4-FFF2-40B4-BE49-F238E27FC236}">
                  <a16:creationId xmlns:a16="http://schemas.microsoft.com/office/drawing/2014/main" id="{00000000-0008-0000-0A00-000015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11</xdr:row>
          <xdr:rowOff>12700</xdr:rowOff>
        </xdr:from>
        <xdr:to>
          <xdr:col>75</xdr:col>
          <xdr:colOff>127000</xdr:colOff>
          <xdr:row>11</xdr:row>
          <xdr:rowOff>279400</xdr:rowOff>
        </xdr:to>
        <xdr:sp macro="" textlink="">
          <xdr:nvSpPr>
            <xdr:cNvPr id="59414" name="TaskCheck_BW12" hidden="1">
              <a:extLst>
                <a:ext uri="{63B3BB69-23CF-44E3-9099-C40C66FF867C}">
                  <a14:compatExt spid="_x0000_s59414"/>
                </a:ext>
                <a:ext uri="{FF2B5EF4-FFF2-40B4-BE49-F238E27FC236}">
                  <a16:creationId xmlns:a16="http://schemas.microsoft.com/office/drawing/2014/main" id="{00000000-0008-0000-0A00-000016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12</xdr:row>
          <xdr:rowOff>12700</xdr:rowOff>
        </xdr:from>
        <xdr:to>
          <xdr:col>75</xdr:col>
          <xdr:colOff>127000</xdr:colOff>
          <xdr:row>12</xdr:row>
          <xdr:rowOff>279400</xdr:rowOff>
        </xdr:to>
        <xdr:sp macro="" textlink="">
          <xdr:nvSpPr>
            <xdr:cNvPr id="59415" name="TaskCheck_BW13" hidden="1">
              <a:extLst>
                <a:ext uri="{63B3BB69-23CF-44E3-9099-C40C66FF867C}">
                  <a14:compatExt spid="_x0000_s59415"/>
                </a:ext>
                <a:ext uri="{FF2B5EF4-FFF2-40B4-BE49-F238E27FC236}">
                  <a16:creationId xmlns:a16="http://schemas.microsoft.com/office/drawing/2014/main" id="{00000000-0008-0000-0A00-000017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13</xdr:row>
          <xdr:rowOff>12700</xdr:rowOff>
        </xdr:from>
        <xdr:to>
          <xdr:col>75</xdr:col>
          <xdr:colOff>127000</xdr:colOff>
          <xdr:row>13</xdr:row>
          <xdr:rowOff>279400</xdr:rowOff>
        </xdr:to>
        <xdr:sp macro="" textlink="">
          <xdr:nvSpPr>
            <xdr:cNvPr id="59416" name="TaskCheck_BW14" hidden="1">
              <a:extLst>
                <a:ext uri="{63B3BB69-23CF-44E3-9099-C40C66FF867C}">
                  <a14:compatExt spid="_x0000_s59416"/>
                </a:ext>
                <a:ext uri="{FF2B5EF4-FFF2-40B4-BE49-F238E27FC236}">
                  <a16:creationId xmlns:a16="http://schemas.microsoft.com/office/drawing/2014/main" id="{00000000-0008-0000-0A00-000018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14</xdr:row>
          <xdr:rowOff>12700</xdr:rowOff>
        </xdr:from>
        <xdr:to>
          <xdr:col>75</xdr:col>
          <xdr:colOff>127000</xdr:colOff>
          <xdr:row>14</xdr:row>
          <xdr:rowOff>279400</xdr:rowOff>
        </xdr:to>
        <xdr:sp macro="" textlink="">
          <xdr:nvSpPr>
            <xdr:cNvPr id="59417" name="TaskCheck_BW15" hidden="1">
              <a:extLst>
                <a:ext uri="{63B3BB69-23CF-44E3-9099-C40C66FF867C}">
                  <a14:compatExt spid="_x0000_s59417"/>
                </a:ext>
                <a:ext uri="{FF2B5EF4-FFF2-40B4-BE49-F238E27FC236}">
                  <a16:creationId xmlns:a16="http://schemas.microsoft.com/office/drawing/2014/main" id="{00000000-0008-0000-0A00-000019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15</xdr:row>
          <xdr:rowOff>12700</xdr:rowOff>
        </xdr:from>
        <xdr:to>
          <xdr:col>75</xdr:col>
          <xdr:colOff>127000</xdr:colOff>
          <xdr:row>15</xdr:row>
          <xdr:rowOff>279400</xdr:rowOff>
        </xdr:to>
        <xdr:sp macro="" textlink="">
          <xdr:nvSpPr>
            <xdr:cNvPr id="59418" name="TaskCheck_BW16" hidden="1">
              <a:extLst>
                <a:ext uri="{63B3BB69-23CF-44E3-9099-C40C66FF867C}">
                  <a14:compatExt spid="_x0000_s59418"/>
                </a:ext>
                <a:ext uri="{FF2B5EF4-FFF2-40B4-BE49-F238E27FC236}">
                  <a16:creationId xmlns:a16="http://schemas.microsoft.com/office/drawing/2014/main" id="{00000000-0008-0000-0A00-00001A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18</xdr:row>
          <xdr:rowOff>12700</xdr:rowOff>
        </xdr:from>
        <xdr:to>
          <xdr:col>75</xdr:col>
          <xdr:colOff>127000</xdr:colOff>
          <xdr:row>18</xdr:row>
          <xdr:rowOff>279400</xdr:rowOff>
        </xdr:to>
        <xdr:sp macro="" textlink="">
          <xdr:nvSpPr>
            <xdr:cNvPr id="59419" name="TaskCheck_BW19" hidden="1">
              <a:extLst>
                <a:ext uri="{63B3BB69-23CF-44E3-9099-C40C66FF867C}">
                  <a14:compatExt spid="_x0000_s59419"/>
                </a:ext>
                <a:ext uri="{FF2B5EF4-FFF2-40B4-BE49-F238E27FC236}">
                  <a16:creationId xmlns:a16="http://schemas.microsoft.com/office/drawing/2014/main" id="{00000000-0008-0000-0A00-00001B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19</xdr:row>
          <xdr:rowOff>12700</xdr:rowOff>
        </xdr:from>
        <xdr:to>
          <xdr:col>75</xdr:col>
          <xdr:colOff>127000</xdr:colOff>
          <xdr:row>19</xdr:row>
          <xdr:rowOff>279400</xdr:rowOff>
        </xdr:to>
        <xdr:sp macro="" textlink="">
          <xdr:nvSpPr>
            <xdr:cNvPr id="59420" name="TaskCheck_BW20" hidden="1">
              <a:extLst>
                <a:ext uri="{63B3BB69-23CF-44E3-9099-C40C66FF867C}">
                  <a14:compatExt spid="_x0000_s59420"/>
                </a:ext>
                <a:ext uri="{FF2B5EF4-FFF2-40B4-BE49-F238E27FC236}">
                  <a16:creationId xmlns:a16="http://schemas.microsoft.com/office/drawing/2014/main" id="{00000000-0008-0000-0A00-00001C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20</xdr:row>
          <xdr:rowOff>12700</xdr:rowOff>
        </xdr:from>
        <xdr:to>
          <xdr:col>75</xdr:col>
          <xdr:colOff>127000</xdr:colOff>
          <xdr:row>20</xdr:row>
          <xdr:rowOff>279400</xdr:rowOff>
        </xdr:to>
        <xdr:sp macro="" textlink="">
          <xdr:nvSpPr>
            <xdr:cNvPr id="59421" name="TaskCheck_BW21" hidden="1">
              <a:extLst>
                <a:ext uri="{63B3BB69-23CF-44E3-9099-C40C66FF867C}">
                  <a14:compatExt spid="_x0000_s59421"/>
                </a:ext>
                <a:ext uri="{FF2B5EF4-FFF2-40B4-BE49-F238E27FC236}">
                  <a16:creationId xmlns:a16="http://schemas.microsoft.com/office/drawing/2014/main" id="{00000000-0008-0000-0A00-00001D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21</xdr:row>
          <xdr:rowOff>12700</xdr:rowOff>
        </xdr:from>
        <xdr:to>
          <xdr:col>75</xdr:col>
          <xdr:colOff>127000</xdr:colOff>
          <xdr:row>21</xdr:row>
          <xdr:rowOff>279400</xdr:rowOff>
        </xdr:to>
        <xdr:sp macro="" textlink="">
          <xdr:nvSpPr>
            <xdr:cNvPr id="59422" name="TaskCheck_BW22" hidden="1">
              <a:extLst>
                <a:ext uri="{63B3BB69-23CF-44E3-9099-C40C66FF867C}">
                  <a14:compatExt spid="_x0000_s59422"/>
                </a:ext>
                <a:ext uri="{FF2B5EF4-FFF2-40B4-BE49-F238E27FC236}">
                  <a16:creationId xmlns:a16="http://schemas.microsoft.com/office/drawing/2014/main" id="{00000000-0008-0000-0A00-00001E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22</xdr:row>
          <xdr:rowOff>12700</xdr:rowOff>
        </xdr:from>
        <xdr:to>
          <xdr:col>75</xdr:col>
          <xdr:colOff>127000</xdr:colOff>
          <xdr:row>22</xdr:row>
          <xdr:rowOff>279400</xdr:rowOff>
        </xdr:to>
        <xdr:sp macro="" textlink="">
          <xdr:nvSpPr>
            <xdr:cNvPr id="59423" name="TaskCheck_BW23" hidden="1">
              <a:extLst>
                <a:ext uri="{63B3BB69-23CF-44E3-9099-C40C66FF867C}">
                  <a14:compatExt spid="_x0000_s59423"/>
                </a:ext>
                <a:ext uri="{FF2B5EF4-FFF2-40B4-BE49-F238E27FC236}">
                  <a16:creationId xmlns:a16="http://schemas.microsoft.com/office/drawing/2014/main" id="{00000000-0008-0000-0A00-00001F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23</xdr:row>
          <xdr:rowOff>12700</xdr:rowOff>
        </xdr:from>
        <xdr:to>
          <xdr:col>75</xdr:col>
          <xdr:colOff>127000</xdr:colOff>
          <xdr:row>23</xdr:row>
          <xdr:rowOff>279400</xdr:rowOff>
        </xdr:to>
        <xdr:sp macro="" textlink="">
          <xdr:nvSpPr>
            <xdr:cNvPr id="59424" name="TaskCheck_BW24" hidden="1">
              <a:extLst>
                <a:ext uri="{63B3BB69-23CF-44E3-9099-C40C66FF867C}">
                  <a14:compatExt spid="_x0000_s59424"/>
                </a:ext>
                <a:ext uri="{FF2B5EF4-FFF2-40B4-BE49-F238E27FC236}">
                  <a16:creationId xmlns:a16="http://schemas.microsoft.com/office/drawing/2014/main" id="{00000000-0008-0000-0A00-000020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24</xdr:row>
          <xdr:rowOff>12700</xdr:rowOff>
        </xdr:from>
        <xdr:to>
          <xdr:col>75</xdr:col>
          <xdr:colOff>127000</xdr:colOff>
          <xdr:row>24</xdr:row>
          <xdr:rowOff>279400</xdr:rowOff>
        </xdr:to>
        <xdr:sp macro="" textlink="">
          <xdr:nvSpPr>
            <xdr:cNvPr id="59425" name="TaskCheck_BW25" hidden="1">
              <a:extLst>
                <a:ext uri="{63B3BB69-23CF-44E3-9099-C40C66FF867C}">
                  <a14:compatExt spid="_x0000_s59425"/>
                </a:ext>
                <a:ext uri="{FF2B5EF4-FFF2-40B4-BE49-F238E27FC236}">
                  <a16:creationId xmlns:a16="http://schemas.microsoft.com/office/drawing/2014/main" id="{00000000-0008-0000-0A00-000021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25</xdr:row>
          <xdr:rowOff>12700</xdr:rowOff>
        </xdr:from>
        <xdr:to>
          <xdr:col>75</xdr:col>
          <xdr:colOff>127000</xdr:colOff>
          <xdr:row>25</xdr:row>
          <xdr:rowOff>279400</xdr:rowOff>
        </xdr:to>
        <xdr:sp macro="" textlink="">
          <xdr:nvSpPr>
            <xdr:cNvPr id="59426" name="TaskCheck_BW26" hidden="1">
              <a:extLst>
                <a:ext uri="{63B3BB69-23CF-44E3-9099-C40C66FF867C}">
                  <a14:compatExt spid="_x0000_s59426"/>
                </a:ext>
                <a:ext uri="{FF2B5EF4-FFF2-40B4-BE49-F238E27FC236}">
                  <a16:creationId xmlns:a16="http://schemas.microsoft.com/office/drawing/2014/main" id="{00000000-0008-0000-0A00-000022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26</xdr:row>
          <xdr:rowOff>12700</xdr:rowOff>
        </xdr:from>
        <xdr:to>
          <xdr:col>75</xdr:col>
          <xdr:colOff>127000</xdr:colOff>
          <xdr:row>26</xdr:row>
          <xdr:rowOff>279400</xdr:rowOff>
        </xdr:to>
        <xdr:sp macro="" textlink="">
          <xdr:nvSpPr>
            <xdr:cNvPr id="59427" name="TaskCheck_BW27" hidden="1">
              <a:extLst>
                <a:ext uri="{63B3BB69-23CF-44E3-9099-C40C66FF867C}">
                  <a14:compatExt spid="_x0000_s59427"/>
                </a:ext>
                <a:ext uri="{FF2B5EF4-FFF2-40B4-BE49-F238E27FC236}">
                  <a16:creationId xmlns:a16="http://schemas.microsoft.com/office/drawing/2014/main" id="{00000000-0008-0000-0A00-000023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27</xdr:row>
          <xdr:rowOff>12700</xdr:rowOff>
        </xdr:from>
        <xdr:to>
          <xdr:col>75</xdr:col>
          <xdr:colOff>127000</xdr:colOff>
          <xdr:row>27</xdr:row>
          <xdr:rowOff>279400</xdr:rowOff>
        </xdr:to>
        <xdr:sp macro="" textlink="">
          <xdr:nvSpPr>
            <xdr:cNvPr id="59428" name="TaskCheck_BW28" hidden="1">
              <a:extLst>
                <a:ext uri="{63B3BB69-23CF-44E3-9099-C40C66FF867C}">
                  <a14:compatExt spid="_x0000_s59428"/>
                </a:ext>
                <a:ext uri="{FF2B5EF4-FFF2-40B4-BE49-F238E27FC236}">
                  <a16:creationId xmlns:a16="http://schemas.microsoft.com/office/drawing/2014/main" id="{00000000-0008-0000-0A00-000024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28</xdr:row>
          <xdr:rowOff>12700</xdr:rowOff>
        </xdr:from>
        <xdr:to>
          <xdr:col>75</xdr:col>
          <xdr:colOff>127000</xdr:colOff>
          <xdr:row>28</xdr:row>
          <xdr:rowOff>279400</xdr:rowOff>
        </xdr:to>
        <xdr:sp macro="" textlink="">
          <xdr:nvSpPr>
            <xdr:cNvPr id="59429" name="TaskCheck_BW29" hidden="1">
              <a:extLst>
                <a:ext uri="{63B3BB69-23CF-44E3-9099-C40C66FF867C}">
                  <a14:compatExt spid="_x0000_s59429"/>
                </a:ext>
                <a:ext uri="{FF2B5EF4-FFF2-40B4-BE49-F238E27FC236}">
                  <a16:creationId xmlns:a16="http://schemas.microsoft.com/office/drawing/2014/main" id="{00000000-0008-0000-0A00-000025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29</xdr:row>
          <xdr:rowOff>12700</xdr:rowOff>
        </xdr:from>
        <xdr:to>
          <xdr:col>75</xdr:col>
          <xdr:colOff>127000</xdr:colOff>
          <xdr:row>29</xdr:row>
          <xdr:rowOff>279400</xdr:rowOff>
        </xdr:to>
        <xdr:sp macro="" textlink="">
          <xdr:nvSpPr>
            <xdr:cNvPr id="59430" name="TaskCheck_BW30" hidden="1">
              <a:extLst>
                <a:ext uri="{63B3BB69-23CF-44E3-9099-C40C66FF867C}">
                  <a14:compatExt spid="_x0000_s59430"/>
                </a:ext>
                <a:ext uri="{FF2B5EF4-FFF2-40B4-BE49-F238E27FC236}">
                  <a16:creationId xmlns:a16="http://schemas.microsoft.com/office/drawing/2014/main" id="{00000000-0008-0000-0A00-000026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30</xdr:row>
          <xdr:rowOff>12700</xdr:rowOff>
        </xdr:from>
        <xdr:to>
          <xdr:col>75</xdr:col>
          <xdr:colOff>127000</xdr:colOff>
          <xdr:row>30</xdr:row>
          <xdr:rowOff>279400</xdr:rowOff>
        </xdr:to>
        <xdr:sp macro="" textlink="">
          <xdr:nvSpPr>
            <xdr:cNvPr id="59431" name="TaskCheck_BW31" hidden="1">
              <a:extLst>
                <a:ext uri="{63B3BB69-23CF-44E3-9099-C40C66FF867C}">
                  <a14:compatExt spid="_x0000_s59431"/>
                </a:ext>
                <a:ext uri="{FF2B5EF4-FFF2-40B4-BE49-F238E27FC236}">
                  <a16:creationId xmlns:a16="http://schemas.microsoft.com/office/drawing/2014/main" id="{00000000-0008-0000-0A00-000027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31</xdr:row>
          <xdr:rowOff>12700</xdr:rowOff>
        </xdr:from>
        <xdr:to>
          <xdr:col>75</xdr:col>
          <xdr:colOff>127000</xdr:colOff>
          <xdr:row>31</xdr:row>
          <xdr:rowOff>279400</xdr:rowOff>
        </xdr:to>
        <xdr:sp macro="" textlink="">
          <xdr:nvSpPr>
            <xdr:cNvPr id="59432" name="TaskCheck_BW32" hidden="1">
              <a:extLst>
                <a:ext uri="{63B3BB69-23CF-44E3-9099-C40C66FF867C}">
                  <a14:compatExt spid="_x0000_s59432"/>
                </a:ext>
                <a:ext uri="{FF2B5EF4-FFF2-40B4-BE49-F238E27FC236}">
                  <a16:creationId xmlns:a16="http://schemas.microsoft.com/office/drawing/2014/main" id="{00000000-0008-0000-0A00-000028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32</xdr:row>
          <xdr:rowOff>12700</xdr:rowOff>
        </xdr:from>
        <xdr:to>
          <xdr:col>75</xdr:col>
          <xdr:colOff>127000</xdr:colOff>
          <xdr:row>32</xdr:row>
          <xdr:rowOff>279400</xdr:rowOff>
        </xdr:to>
        <xdr:sp macro="" textlink="">
          <xdr:nvSpPr>
            <xdr:cNvPr id="59433" name="TaskCheck_BW33" hidden="1">
              <a:extLst>
                <a:ext uri="{63B3BB69-23CF-44E3-9099-C40C66FF867C}">
                  <a14:compatExt spid="_x0000_s59433"/>
                </a:ext>
                <a:ext uri="{FF2B5EF4-FFF2-40B4-BE49-F238E27FC236}">
                  <a16:creationId xmlns:a16="http://schemas.microsoft.com/office/drawing/2014/main" id="{00000000-0008-0000-0A00-000029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35</xdr:row>
          <xdr:rowOff>12700</xdr:rowOff>
        </xdr:from>
        <xdr:to>
          <xdr:col>75</xdr:col>
          <xdr:colOff>127000</xdr:colOff>
          <xdr:row>35</xdr:row>
          <xdr:rowOff>279400</xdr:rowOff>
        </xdr:to>
        <xdr:sp macro="" textlink="">
          <xdr:nvSpPr>
            <xdr:cNvPr id="59434" name="TaskCheck_BW36" hidden="1">
              <a:extLst>
                <a:ext uri="{63B3BB69-23CF-44E3-9099-C40C66FF867C}">
                  <a14:compatExt spid="_x0000_s59434"/>
                </a:ext>
                <a:ext uri="{FF2B5EF4-FFF2-40B4-BE49-F238E27FC236}">
                  <a16:creationId xmlns:a16="http://schemas.microsoft.com/office/drawing/2014/main" id="{00000000-0008-0000-0A00-00002A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25400</xdr:colOff>
          <xdr:row>36</xdr:row>
          <xdr:rowOff>12700</xdr:rowOff>
        </xdr:from>
        <xdr:to>
          <xdr:col>69</xdr:col>
          <xdr:colOff>127000</xdr:colOff>
          <xdr:row>36</xdr:row>
          <xdr:rowOff>279400</xdr:rowOff>
        </xdr:to>
        <xdr:sp macro="" textlink="">
          <xdr:nvSpPr>
            <xdr:cNvPr id="59435" name="TaskCheck_BQ37" hidden="1">
              <a:extLst>
                <a:ext uri="{63B3BB69-23CF-44E3-9099-C40C66FF867C}">
                  <a14:compatExt spid="_x0000_s59435"/>
                </a:ext>
                <a:ext uri="{FF2B5EF4-FFF2-40B4-BE49-F238E27FC236}">
                  <a16:creationId xmlns:a16="http://schemas.microsoft.com/office/drawing/2014/main" id="{00000000-0008-0000-0A00-00002B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36</xdr:row>
          <xdr:rowOff>12700</xdr:rowOff>
        </xdr:from>
        <xdr:to>
          <xdr:col>75</xdr:col>
          <xdr:colOff>127000</xdr:colOff>
          <xdr:row>36</xdr:row>
          <xdr:rowOff>279400</xdr:rowOff>
        </xdr:to>
        <xdr:sp macro="" textlink="">
          <xdr:nvSpPr>
            <xdr:cNvPr id="59436" name="TaskCheck_BW37" hidden="1">
              <a:extLst>
                <a:ext uri="{63B3BB69-23CF-44E3-9099-C40C66FF867C}">
                  <a14:compatExt spid="_x0000_s59436"/>
                </a:ext>
                <a:ext uri="{FF2B5EF4-FFF2-40B4-BE49-F238E27FC236}">
                  <a16:creationId xmlns:a16="http://schemas.microsoft.com/office/drawing/2014/main" id="{00000000-0008-0000-0A00-00002C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25400</xdr:colOff>
          <xdr:row>37</xdr:row>
          <xdr:rowOff>12700</xdr:rowOff>
        </xdr:from>
        <xdr:to>
          <xdr:col>69</xdr:col>
          <xdr:colOff>127000</xdr:colOff>
          <xdr:row>37</xdr:row>
          <xdr:rowOff>279400</xdr:rowOff>
        </xdr:to>
        <xdr:sp macro="" textlink="">
          <xdr:nvSpPr>
            <xdr:cNvPr id="59437" name="TaskCheck_BQ38" hidden="1">
              <a:extLst>
                <a:ext uri="{63B3BB69-23CF-44E3-9099-C40C66FF867C}">
                  <a14:compatExt spid="_x0000_s59437"/>
                </a:ext>
                <a:ext uri="{FF2B5EF4-FFF2-40B4-BE49-F238E27FC236}">
                  <a16:creationId xmlns:a16="http://schemas.microsoft.com/office/drawing/2014/main" id="{00000000-0008-0000-0A00-00002D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37</xdr:row>
          <xdr:rowOff>12700</xdr:rowOff>
        </xdr:from>
        <xdr:to>
          <xdr:col>75</xdr:col>
          <xdr:colOff>127000</xdr:colOff>
          <xdr:row>37</xdr:row>
          <xdr:rowOff>279400</xdr:rowOff>
        </xdr:to>
        <xdr:sp macro="" textlink="">
          <xdr:nvSpPr>
            <xdr:cNvPr id="59438" name="TaskCheck_BW38" hidden="1">
              <a:extLst>
                <a:ext uri="{63B3BB69-23CF-44E3-9099-C40C66FF867C}">
                  <a14:compatExt spid="_x0000_s59438"/>
                </a:ext>
                <a:ext uri="{FF2B5EF4-FFF2-40B4-BE49-F238E27FC236}">
                  <a16:creationId xmlns:a16="http://schemas.microsoft.com/office/drawing/2014/main" id="{00000000-0008-0000-0A00-00002E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25400</xdr:colOff>
          <xdr:row>38</xdr:row>
          <xdr:rowOff>12700</xdr:rowOff>
        </xdr:from>
        <xdr:to>
          <xdr:col>69</xdr:col>
          <xdr:colOff>127000</xdr:colOff>
          <xdr:row>38</xdr:row>
          <xdr:rowOff>279400</xdr:rowOff>
        </xdr:to>
        <xdr:sp macro="" textlink="">
          <xdr:nvSpPr>
            <xdr:cNvPr id="59439" name="TaskCheck_BQ39" hidden="1">
              <a:extLst>
                <a:ext uri="{63B3BB69-23CF-44E3-9099-C40C66FF867C}">
                  <a14:compatExt spid="_x0000_s59439"/>
                </a:ext>
                <a:ext uri="{FF2B5EF4-FFF2-40B4-BE49-F238E27FC236}">
                  <a16:creationId xmlns:a16="http://schemas.microsoft.com/office/drawing/2014/main" id="{00000000-0008-0000-0A00-00002F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38</xdr:row>
          <xdr:rowOff>12700</xdr:rowOff>
        </xdr:from>
        <xdr:to>
          <xdr:col>75</xdr:col>
          <xdr:colOff>127000</xdr:colOff>
          <xdr:row>38</xdr:row>
          <xdr:rowOff>279400</xdr:rowOff>
        </xdr:to>
        <xdr:sp macro="" textlink="">
          <xdr:nvSpPr>
            <xdr:cNvPr id="59440" name="TaskCheck_BW39" hidden="1">
              <a:extLst>
                <a:ext uri="{63B3BB69-23CF-44E3-9099-C40C66FF867C}">
                  <a14:compatExt spid="_x0000_s59440"/>
                </a:ext>
                <a:ext uri="{FF2B5EF4-FFF2-40B4-BE49-F238E27FC236}">
                  <a16:creationId xmlns:a16="http://schemas.microsoft.com/office/drawing/2014/main" id="{00000000-0008-0000-0A00-000030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25400</xdr:colOff>
          <xdr:row>39</xdr:row>
          <xdr:rowOff>12700</xdr:rowOff>
        </xdr:from>
        <xdr:to>
          <xdr:col>69</xdr:col>
          <xdr:colOff>127000</xdr:colOff>
          <xdr:row>39</xdr:row>
          <xdr:rowOff>279400</xdr:rowOff>
        </xdr:to>
        <xdr:sp macro="" textlink="">
          <xdr:nvSpPr>
            <xdr:cNvPr id="59441" name="TaskCheck_BQ40" hidden="1">
              <a:extLst>
                <a:ext uri="{63B3BB69-23CF-44E3-9099-C40C66FF867C}">
                  <a14:compatExt spid="_x0000_s59441"/>
                </a:ext>
                <a:ext uri="{FF2B5EF4-FFF2-40B4-BE49-F238E27FC236}">
                  <a16:creationId xmlns:a16="http://schemas.microsoft.com/office/drawing/2014/main" id="{00000000-0008-0000-0A00-000031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39</xdr:row>
          <xdr:rowOff>12700</xdr:rowOff>
        </xdr:from>
        <xdr:to>
          <xdr:col>75</xdr:col>
          <xdr:colOff>127000</xdr:colOff>
          <xdr:row>39</xdr:row>
          <xdr:rowOff>279400</xdr:rowOff>
        </xdr:to>
        <xdr:sp macro="" textlink="">
          <xdr:nvSpPr>
            <xdr:cNvPr id="59442" name="TaskCheck_BW40" hidden="1">
              <a:extLst>
                <a:ext uri="{63B3BB69-23CF-44E3-9099-C40C66FF867C}">
                  <a14:compatExt spid="_x0000_s59442"/>
                </a:ext>
                <a:ext uri="{FF2B5EF4-FFF2-40B4-BE49-F238E27FC236}">
                  <a16:creationId xmlns:a16="http://schemas.microsoft.com/office/drawing/2014/main" id="{00000000-0008-0000-0A00-000032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25400</xdr:colOff>
          <xdr:row>40</xdr:row>
          <xdr:rowOff>12700</xdr:rowOff>
        </xdr:from>
        <xdr:to>
          <xdr:col>69</xdr:col>
          <xdr:colOff>127000</xdr:colOff>
          <xdr:row>40</xdr:row>
          <xdr:rowOff>279400</xdr:rowOff>
        </xdr:to>
        <xdr:sp macro="" textlink="">
          <xdr:nvSpPr>
            <xdr:cNvPr id="59443" name="TaskCheck_BQ41" hidden="1">
              <a:extLst>
                <a:ext uri="{63B3BB69-23CF-44E3-9099-C40C66FF867C}">
                  <a14:compatExt spid="_x0000_s59443"/>
                </a:ext>
                <a:ext uri="{FF2B5EF4-FFF2-40B4-BE49-F238E27FC236}">
                  <a16:creationId xmlns:a16="http://schemas.microsoft.com/office/drawing/2014/main" id="{00000000-0008-0000-0A00-000033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40</xdr:row>
          <xdr:rowOff>12700</xdr:rowOff>
        </xdr:from>
        <xdr:to>
          <xdr:col>75</xdr:col>
          <xdr:colOff>127000</xdr:colOff>
          <xdr:row>40</xdr:row>
          <xdr:rowOff>279400</xdr:rowOff>
        </xdr:to>
        <xdr:sp macro="" textlink="">
          <xdr:nvSpPr>
            <xdr:cNvPr id="59444" name="TaskCheck_BW41" hidden="1">
              <a:extLst>
                <a:ext uri="{63B3BB69-23CF-44E3-9099-C40C66FF867C}">
                  <a14:compatExt spid="_x0000_s59444"/>
                </a:ext>
                <a:ext uri="{FF2B5EF4-FFF2-40B4-BE49-F238E27FC236}">
                  <a16:creationId xmlns:a16="http://schemas.microsoft.com/office/drawing/2014/main" id="{00000000-0008-0000-0A00-000034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25400</xdr:colOff>
          <xdr:row>41</xdr:row>
          <xdr:rowOff>12700</xdr:rowOff>
        </xdr:from>
        <xdr:to>
          <xdr:col>69</xdr:col>
          <xdr:colOff>127000</xdr:colOff>
          <xdr:row>41</xdr:row>
          <xdr:rowOff>279400</xdr:rowOff>
        </xdr:to>
        <xdr:sp macro="" textlink="">
          <xdr:nvSpPr>
            <xdr:cNvPr id="59445" name="TaskCheck_BQ42" hidden="1">
              <a:extLst>
                <a:ext uri="{63B3BB69-23CF-44E3-9099-C40C66FF867C}">
                  <a14:compatExt spid="_x0000_s59445"/>
                </a:ext>
                <a:ext uri="{FF2B5EF4-FFF2-40B4-BE49-F238E27FC236}">
                  <a16:creationId xmlns:a16="http://schemas.microsoft.com/office/drawing/2014/main" id="{00000000-0008-0000-0A00-000035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25400</xdr:colOff>
          <xdr:row>41</xdr:row>
          <xdr:rowOff>12700</xdr:rowOff>
        </xdr:from>
        <xdr:to>
          <xdr:col>75</xdr:col>
          <xdr:colOff>127000</xdr:colOff>
          <xdr:row>41</xdr:row>
          <xdr:rowOff>279400</xdr:rowOff>
        </xdr:to>
        <xdr:sp macro="" textlink="">
          <xdr:nvSpPr>
            <xdr:cNvPr id="59446" name="TaskCheck_BW42" hidden="1">
              <a:extLst>
                <a:ext uri="{63B3BB69-23CF-44E3-9099-C40C66FF867C}">
                  <a14:compatExt spid="_x0000_s59446"/>
                </a:ext>
                <a:ext uri="{FF2B5EF4-FFF2-40B4-BE49-F238E27FC236}">
                  <a16:creationId xmlns:a16="http://schemas.microsoft.com/office/drawing/2014/main" id="{00000000-0008-0000-0A00-000036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Bihonest%20Corp.%20Dropbox/17.&#12521;&#12471;&#12456;&#12523;/00.&#12521;&#12471;&#12456;&#12523;_General/1%20&#21508;&#26045;&#35373;&#12471;&#12501;&#12488;&#31649;&#29702;/32.&#23431;&#37117;&#23470;/2026&#24180;/2606&#12304;&#23431;&#37117;&#23470;&#12305;&#21220;&#21209;&#34920;(&#23455;&#32318;&#65289;.xlsx" TargetMode="External"/><Relationship Id="rId2" Type="http://schemas.openxmlformats.org/officeDocument/2006/relationships/externalLinkPath" Target="file:///C:\Users\k-takayama\Bihonest%20Corp.%20Dropbox\17.&#12521;&#12471;&#12456;&#12523;\00.&#12521;&#12471;&#12456;&#12523;_General\1%20&#21508;&#26045;&#35373;&#12471;&#12501;&#12488;&#31649;&#29702;\32.&#23431;&#37117;&#23470;\2026&#24180;\2606&#12304;&#23431;&#37117;&#23470;&#12305;&#21220;&#21209;&#34920;(&#23455;&#32318;&#65289;.xlsx" TargetMode="External"/><Relationship Id="rId1" Type="http://schemas.openxmlformats.org/officeDocument/2006/relationships/externalLinkPath" Target="/Users/k-takayama/Bihonest%20Corp.%20Dropbox/17.&#12521;&#12471;&#12456;&#12523;/00.&#12521;&#12471;&#12456;&#12523;_General/1%20&#21508;&#26045;&#35373;&#12471;&#12501;&#12488;&#31649;&#29702;/32.&#23431;&#37117;&#23470;/2026&#24180;/2606&#12304;&#23431;&#37117;&#23470;&#12305;&#21220;&#21209;&#34920;(&#23455;&#32318;&#65289;.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Bihonest%20Corp.%20Dropbox/17.&#12521;&#12471;&#12456;&#12523;/00.&#12521;&#12471;&#12456;&#12523;_General/1%20&#21508;&#26045;&#35373;&#12471;&#12501;&#12488;&#31649;&#29702;/6.&#21335;&#20013;&#20024;/2026&#24180;&#24230;/2606&#12304;&#21335;&#20013;&#20024;&#12305;&#21220;&#21209;&#34920;&#65288;&#23455;&#32318;&#65289;.xlsx" TargetMode="External"/><Relationship Id="rId1" Type="http://schemas.openxmlformats.org/officeDocument/2006/relationships/externalLinkPath" Target="/Users/k-takayama/Bihonest%20Corp.%20Dropbox/17.&#12521;&#12471;&#12456;&#12523;/00.&#12521;&#12471;&#12456;&#12523;_General/1%20&#21508;&#26045;&#35373;&#12471;&#12501;&#12488;&#31649;&#29702;/6.&#21335;&#20013;&#20024;/2026&#24180;&#24230;/2606&#12304;&#21335;&#20013;&#20024;&#12305;&#21220;&#21209;&#34920;&#65288;&#23455;&#32318;&#65289;.xlsx" TargetMode="External"/></Relationships>
</file>

<file path=xl/externalLinks/_rels/externalLink3.xml.rels><?xml version="1.0" encoding="UTF-8" standalone="yes"?>
<Relationships xmlns="http://schemas.openxmlformats.org/package/2006/relationships"><Relationship Id="rId3" Type="http://schemas.openxmlformats.org/officeDocument/2006/relationships/externalLinkPath" Target="../../../../../Bihonest%20Corp.%20Dropbox/17.&#12521;&#12471;&#12456;&#12523;/00.&#12521;&#12471;&#12456;&#12523;_General/1%20&#21508;&#26045;&#35373;&#12471;&#12501;&#12488;&#31649;&#29702;/6.&#27671;&#36032;/2026&#24180;&#24230;/2606&#12304;&#27671;&#36032;&#12305;&#21220;&#21209;&#34920;&#65288;&#23455;&#32318;&#65289;.xlsx" TargetMode="External"/><Relationship Id="rId2" Type="http://schemas.openxmlformats.org/officeDocument/2006/relationships/externalLinkPath" Target="file:///C:\Users\k-takayama\Bihonest%20Corp.%20Dropbox\17.&#12521;&#12471;&#12456;&#12523;\00.&#12521;&#12471;&#12456;&#12523;_General\1%20&#21508;&#26045;&#35373;&#12471;&#12501;&#12488;&#31649;&#29702;\6.&#27671;&#36032;\2026&#24180;&#24230;\2606&#12304;&#27671;&#36032;&#12305;&#21220;&#21209;&#34920;&#65288;&#23455;&#32318;&#65289;.xlsx" TargetMode="External"/><Relationship Id="rId1" Type="http://schemas.openxmlformats.org/officeDocument/2006/relationships/externalLinkPath" Target="/Users/k-takayama/Bihonest%20Corp.%20Dropbox/17.&#12521;&#12471;&#12456;&#12523;/00.&#12521;&#12471;&#12456;&#12523;_General/1%20&#21508;&#26045;&#35373;&#12471;&#12501;&#12488;&#31649;&#29702;/6.&#27671;&#36032;/2026&#24180;&#24230;/2606&#12304;&#27671;&#36032;&#12305;&#21220;&#21209;&#34920;&#65288;&#23455;&#32318;&#65289;.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使い方"/>
      <sheetName val="マスタ設定"/>
      <sheetName val="入力シート【現場配布用】"/>
      <sheetName val="管理用シート"/>
      <sheetName val="人員配置【入力用】"/>
      <sheetName val="※各自署名用"/>
      <sheetName val="【触らないで！】最大値検出用"/>
      <sheetName val="チュートリアル作成"/>
      <sheetName val="Sheet3"/>
      <sheetName val="★毎月利用日数入力"/>
      <sheetName val="平均利用者数根拠"/>
      <sheetName val="希望休記入シート"/>
      <sheetName val="人員配置【増床等】"/>
      <sheetName val="(１)"/>
      <sheetName val="(2)"/>
      <sheetName val="(3)"/>
      <sheetName val="(4)"/>
      <sheetName val="(5)"/>
      <sheetName val="(6)"/>
      <sheetName val="(7)"/>
      <sheetName val="(8)"/>
      <sheetName val="(9)"/>
      <sheetName val="(10)"/>
      <sheetName val="(11)"/>
      <sheetName val="(12)"/>
      <sheetName val="(13)"/>
      <sheetName val="(14)"/>
      <sheetName val="(15)"/>
      <sheetName val="(16)"/>
      <sheetName val="(17)"/>
      <sheetName val="(18)"/>
      <sheetName val="(19)"/>
      <sheetName val="(20)"/>
      <sheetName val="(21)"/>
      <sheetName val="(22)"/>
      <sheetName val="(23)"/>
      <sheetName val="(24)"/>
      <sheetName val="(25)"/>
      <sheetName val="(26)"/>
      <sheetName val="(27)"/>
      <sheetName val="(28)"/>
      <sheetName val="(29)"/>
      <sheetName val="(30)"/>
      <sheetName val="(31)"/>
      <sheetName val="日次 (1)"/>
      <sheetName val="日次 (2)"/>
      <sheetName val="日次 (3)"/>
      <sheetName val="日次 (4)"/>
      <sheetName val="日次 (5)"/>
      <sheetName val="日次 (6)"/>
      <sheetName val="日次 (7)"/>
      <sheetName val="日次 (8)"/>
      <sheetName val="日次 (9)"/>
      <sheetName val="日次 (10)"/>
      <sheetName val="日次 (11)"/>
      <sheetName val="日次 (12)"/>
      <sheetName val="日次 (13)"/>
      <sheetName val="日次 (14)"/>
      <sheetName val="日次 (15)"/>
      <sheetName val="日次 (16)"/>
      <sheetName val="日次 (17)"/>
      <sheetName val="日次 (18)"/>
      <sheetName val="日次 (19)"/>
      <sheetName val="日次 (20)"/>
      <sheetName val="日次 (21)"/>
      <sheetName val="日次 (22)"/>
      <sheetName val="日次 (23)"/>
      <sheetName val="日次 (24)"/>
      <sheetName val="日次 (25)"/>
      <sheetName val="日次 (26)"/>
      <sheetName val="日次 (27)"/>
      <sheetName val="日次 (28)"/>
      <sheetName val="日次 (29)"/>
      <sheetName val="日次 (30)"/>
      <sheetName val="日次 (31)"/>
    </sheetNames>
    <sheetDataSet>
      <sheetData sheetId="0"/>
      <sheetData sheetId="1"/>
      <sheetData sheetId="2"/>
      <sheetData sheetId="3"/>
      <sheetData sheetId="4">
        <row r="13">
          <cell r="C13" t="str">
            <v>大貫　勝</v>
          </cell>
          <cell r="E13">
            <v>30</v>
          </cell>
        </row>
        <row r="14">
          <cell r="C14" t="str">
            <v>品川　修一</v>
          </cell>
          <cell r="E14">
            <v>30</v>
          </cell>
        </row>
        <row r="15">
          <cell r="C15" t="str">
            <v>左雲　光伸</v>
          </cell>
          <cell r="E15">
            <v>30</v>
          </cell>
        </row>
        <row r="16">
          <cell r="C16" t="str">
            <v>保坂　正晴</v>
          </cell>
          <cell r="E16">
            <v>30</v>
          </cell>
        </row>
        <row r="17">
          <cell r="C17" t="str">
            <v>小野田　誠</v>
          </cell>
          <cell r="E17">
            <v>30</v>
          </cell>
        </row>
        <row r="18">
          <cell r="C18" t="str">
            <v>佐藤　碧海</v>
          </cell>
          <cell r="E18">
            <v>30</v>
          </cell>
        </row>
        <row r="19">
          <cell r="C19" t="str">
            <v>伊藤　智也</v>
          </cell>
          <cell r="E19">
            <v>30</v>
          </cell>
        </row>
        <row r="20">
          <cell r="C20" t="str">
            <v>下山　智史</v>
          </cell>
          <cell r="E20">
            <v>30</v>
          </cell>
        </row>
        <row r="21">
          <cell r="C21" t="str">
            <v>上野　和路</v>
          </cell>
          <cell r="E21">
            <v>30</v>
          </cell>
        </row>
        <row r="22">
          <cell r="C22" t="str">
            <v>小山　政光</v>
          </cell>
          <cell r="E22">
            <v>30</v>
          </cell>
        </row>
        <row r="23">
          <cell r="C23" t="str">
            <v>篠崎　文子</v>
          </cell>
          <cell r="E23">
            <v>30</v>
          </cell>
        </row>
        <row r="24">
          <cell r="C24" t="str">
            <v>岩﨑　由起子</v>
          </cell>
          <cell r="E24">
            <v>30</v>
          </cell>
        </row>
        <row r="25">
          <cell r="C25" t="str">
            <v>細矢　美香</v>
          </cell>
          <cell r="E25">
            <v>30</v>
          </cell>
        </row>
        <row r="26">
          <cell r="C26" t="str">
            <v>釜井　友理</v>
          </cell>
          <cell r="E26">
            <v>15</v>
          </cell>
        </row>
        <row r="27">
          <cell r="C27" t="str">
            <v>福田　恭子</v>
          </cell>
          <cell r="E27">
            <v>30</v>
          </cell>
        </row>
        <row r="28">
          <cell r="C28" t="str">
            <v>内田　彩夏</v>
          </cell>
          <cell r="E28">
            <v>30</v>
          </cell>
        </row>
        <row r="29">
          <cell r="C29" t="str">
            <v>高松　美幸</v>
          </cell>
          <cell r="E29">
            <v>30</v>
          </cell>
        </row>
        <row r="30">
          <cell r="C30" t="str">
            <v>小泉　江里子</v>
          </cell>
          <cell r="E30">
            <v>30</v>
          </cell>
        </row>
        <row r="31">
          <cell r="C31" t="str">
            <v>中澤　由美子</v>
          </cell>
          <cell r="E31">
            <v>30</v>
          </cell>
        </row>
        <row r="32">
          <cell r="C32"/>
          <cell r="E32"/>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使い方"/>
      <sheetName val="マスタ設定"/>
      <sheetName val="入力シート【現場配布用】"/>
      <sheetName val="管理用シート"/>
      <sheetName val="人員配置【入力用】"/>
      <sheetName val="※各自署名用"/>
      <sheetName val="【触らないで！】最大値検出用"/>
      <sheetName val="チュートリアル作成"/>
      <sheetName val="Sheet3"/>
      <sheetName val="★毎月利用日数入力"/>
      <sheetName val="平均利用者数根拠"/>
      <sheetName val="Sheet1"/>
      <sheetName val="希望休記入シート"/>
      <sheetName val="人員配置【増床等】"/>
      <sheetName val="(１)"/>
      <sheetName val="(2)"/>
      <sheetName val="(3)"/>
      <sheetName val="(4)"/>
      <sheetName val="(5)"/>
      <sheetName val="(6)"/>
      <sheetName val="(7)"/>
      <sheetName val="(8)"/>
      <sheetName val="(9)"/>
      <sheetName val="(10)"/>
      <sheetName val="(11)"/>
      <sheetName val="(12)"/>
      <sheetName val="(13)"/>
      <sheetName val="(14)"/>
      <sheetName val="(15)"/>
      <sheetName val="(16)"/>
      <sheetName val="(17)"/>
      <sheetName val="(18)"/>
      <sheetName val="(19)"/>
      <sheetName val="(20)"/>
      <sheetName val="(21)"/>
      <sheetName val="(22)"/>
      <sheetName val="(23)"/>
      <sheetName val="(24)"/>
      <sheetName val="(25)"/>
      <sheetName val="(26)"/>
      <sheetName val="(27)"/>
      <sheetName val="(28)"/>
      <sheetName val="(29)"/>
      <sheetName val="(30)"/>
      <sheetName val="(31)"/>
      <sheetName val="日次 (1)"/>
      <sheetName val="日次 (2)"/>
      <sheetName val="日次 (3)"/>
      <sheetName val="日次 (4)"/>
      <sheetName val="日次 (5)"/>
      <sheetName val="日次 (6)"/>
      <sheetName val="日次 (7)"/>
      <sheetName val="日次 (8)"/>
      <sheetName val="日次 (9)"/>
      <sheetName val="日次 (10)"/>
      <sheetName val="日次 (11)"/>
      <sheetName val="日次 (12)"/>
      <sheetName val="日次 (13)"/>
      <sheetName val="日次 (14)"/>
      <sheetName val="日次 (15)"/>
      <sheetName val="日次 (16)"/>
      <sheetName val="日次 (17)"/>
      <sheetName val="日次 (18)"/>
      <sheetName val="日次 (19)"/>
      <sheetName val="日次 (20)"/>
      <sheetName val="日次 (21)"/>
      <sheetName val="日次 (22)"/>
      <sheetName val="日次 (23)"/>
      <sheetName val="日次 (24)"/>
      <sheetName val="日次 (25)"/>
      <sheetName val="日次 (26)"/>
      <sheetName val="日次 (27)"/>
      <sheetName val="日次 (28)"/>
      <sheetName val="日次 (29)"/>
      <sheetName val="日次 (30)"/>
      <sheetName val="日次 (31)"/>
    </sheetNames>
    <sheetDataSet>
      <sheetData sheetId="0"/>
      <sheetData sheetId="1"/>
      <sheetData sheetId="2"/>
      <sheetData sheetId="3">
        <row r="69">
          <cell r="EO69">
            <v>3</v>
          </cell>
          <cell r="ES69">
            <v>4</v>
          </cell>
          <cell r="EW69">
            <v>5</v>
          </cell>
          <cell r="FA69">
            <v>6</v>
          </cell>
        </row>
        <row r="70">
          <cell r="EO70">
            <v>86</v>
          </cell>
          <cell r="ES70">
            <v>237</v>
          </cell>
          <cell r="EW70">
            <v>125</v>
          </cell>
          <cell r="FA70">
            <v>150</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使い方"/>
      <sheetName val="マスタ設定"/>
      <sheetName val="管理用シート"/>
      <sheetName val="入力シート【現場配布用】"/>
      <sheetName val="人員配置【入力用】"/>
      <sheetName val="※各自署名用"/>
      <sheetName val="【触らないで！】最大値検出用"/>
      <sheetName val="チュートリアル作成"/>
      <sheetName val="Sheet3"/>
      <sheetName val="★毎月利用日数入力"/>
      <sheetName val="タイミー"/>
      <sheetName val="平均利用者数根拠"/>
      <sheetName val="希望休記入シート"/>
      <sheetName val="人員配置【増床等】"/>
      <sheetName val="(１)"/>
      <sheetName val="(2)"/>
      <sheetName val="(3)"/>
      <sheetName val="(4)"/>
      <sheetName val="(5)"/>
      <sheetName val="(6)"/>
      <sheetName val="(7)"/>
      <sheetName val="(8)"/>
      <sheetName val="(9)"/>
      <sheetName val="(10)"/>
      <sheetName val="(11)"/>
      <sheetName val="(12)"/>
      <sheetName val="(13)"/>
      <sheetName val="(14)"/>
      <sheetName val="(15)"/>
      <sheetName val="(16)"/>
      <sheetName val="(17)"/>
      <sheetName val="(18)"/>
      <sheetName val="(19)"/>
      <sheetName val="(20)"/>
      <sheetName val="(21)"/>
      <sheetName val="(22)"/>
      <sheetName val="(23)"/>
      <sheetName val="(24)"/>
      <sheetName val="(25)"/>
      <sheetName val="(26)"/>
      <sheetName val="(27)"/>
      <sheetName val="(28)"/>
      <sheetName val="(29)"/>
      <sheetName val="(30)"/>
      <sheetName val="(31)"/>
      <sheetName val="日次 (1)"/>
      <sheetName val="日次 (2)"/>
      <sheetName val="日次 (3)"/>
      <sheetName val="日次 (4)"/>
      <sheetName val="日次 (5)"/>
      <sheetName val="日次 (6)"/>
      <sheetName val="日次 (7)"/>
      <sheetName val="日次 (8)"/>
      <sheetName val="日次 (9)"/>
      <sheetName val="日次 (10)"/>
      <sheetName val="日次 (11)"/>
      <sheetName val="日次 (12)"/>
      <sheetName val="日次 (13)"/>
      <sheetName val="日次 (14)"/>
      <sheetName val="日次 (15)"/>
      <sheetName val="日次 (16)"/>
      <sheetName val="日次 (17)"/>
      <sheetName val="日次 (18)"/>
      <sheetName val="日次 (19)"/>
      <sheetName val="日次 (20)"/>
      <sheetName val="日次 (21)"/>
      <sheetName val="日次 (22)"/>
      <sheetName val="日次 (23)"/>
      <sheetName val="日次 (24)"/>
      <sheetName val="日次 (25)"/>
      <sheetName val="日次 (26)"/>
      <sheetName val="日次 (27)"/>
      <sheetName val="日次 (28)"/>
      <sheetName val="日次 (29)"/>
      <sheetName val="日次 (30)"/>
      <sheetName val="日次 (31)"/>
    </sheetNames>
    <sheetDataSet>
      <sheetData sheetId="0"/>
      <sheetData sheetId="1"/>
      <sheetData sheetId="2">
        <row r="69">
          <cell r="EO69">
            <v>3</v>
          </cell>
          <cell r="ES69">
            <v>4</v>
          </cell>
          <cell r="EW69">
            <v>5</v>
          </cell>
          <cell r="FA69">
            <v>6</v>
          </cell>
        </row>
        <row r="70">
          <cell r="EO70">
            <v>164</v>
          </cell>
          <cell r="ES70">
            <v>266</v>
          </cell>
          <cell r="EW70">
            <v>164</v>
          </cell>
          <cell r="FA70">
            <v>2</v>
          </cell>
        </row>
      </sheetData>
      <sheetData sheetId="3"/>
      <sheetData sheetId="4">
        <row r="13">
          <cell r="C13" t="str">
            <v>岩本　麻里</v>
          </cell>
          <cell r="D13">
            <v>4</v>
          </cell>
          <cell r="E13">
            <v>30</v>
          </cell>
        </row>
        <row r="14">
          <cell r="C14" t="str">
            <v>波多　野元子</v>
          </cell>
          <cell r="D14">
            <v>4</v>
          </cell>
          <cell r="E14">
            <v>30</v>
          </cell>
        </row>
        <row r="15">
          <cell r="C15" t="str">
            <v>中澤　育子</v>
          </cell>
          <cell r="D15">
            <v>3</v>
          </cell>
          <cell r="E15">
            <v>30</v>
          </cell>
        </row>
        <row r="16">
          <cell r="C16" t="str">
            <v>井村　正幸</v>
          </cell>
          <cell r="D16">
            <v>4</v>
          </cell>
          <cell r="E16">
            <v>30</v>
          </cell>
        </row>
        <row r="17">
          <cell r="C17" t="str">
            <v>河合夢生</v>
          </cell>
          <cell r="D17">
            <v>4</v>
          </cell>
          <cell r="E17">
            <v>19</v>
          </cell>
        </row>
        <row r="18">
          <cell r="C18" t="str">
            <v>辻村　啓輔</v>
          </cell>
          <cell r="D18">
            <v>3</v>
          </cell>
          <cell r="E18">
            <v>30</v>
          </cell>
        </row>
        <row r="19">
          <cell r="C19" t="str">
            <v>後藤　早香</v>
          </cell>
          <cell r="D19">
            <v>4</v>
          </cell>
          <cell r="E19">
            <v>30</v>
          </cell>
        </row>
        <row r="20">
          <cell r="C20" t="str">
            <v>笹ケ瀬　満広</v>
          </cell>
          <cell r="D20">
            <v>4</v>
          </cell>
          <cell r="E20">
            <v>30</v>
          </cell>
        </row>
        <row r="21">
          <cell r="C21" t="str">
            <v>平山　千栄</v>
          </cell>
          <cell r="D21">
            <v>5</v>
          </cell>
          <cell r="E21">
            <v>30</v>
          </cell>
        </row>
        <row r="22">
          <cell r="C22" t="str">
            <v>石野　晴康</v>
          </cell>
          <cell r="D22">
            <v>4</v>
          </cell>
          <cell r="E22">
            <v>30</v>
          </cell>
        </row>
        <row r="23">
          <cell r="C23" t="str">
            <v>髙崎かおり</v>
          </cell>
          <cell r="D23">
            <v>5</v>
          </cell>
          <cell r="E23">
            <v>30</v>
          </cell>
        </row>
        <row r="24">
          <cell r="C24" t="str">
            <v>藤原裕二</v>
          </cell>
          <cell r="D24">
            <v>5</v>
          </cell>
          <cell r="E24">
            <v>30</v>
          </cell>
        </row>
        <row r="25">
          <cell r="C25" t="str">
            <v>髙井宗樹</v>
          </cell>
          <cell r="D25">
            <v>5</v>
          </cell>
          <cell r="E25">
            <v>30</v>
          </cell>
        </row>
        <row r="26">
          <cell r="C26" t="str">
            <v>渡邊正英</v>
          </cell>
          <cell r="D26">
            <v>5</v>
          </cell>
          <cell r="E26">
            <v>30</v>
          </cell>
        </row>
        <row r="27">
          <cell r="C27" t="str">
            <v>奥野昭男</v>
          </cell>
          <cell r="D27">
            <v>3</v>
          </cell>
          <cell r="E27">
            <v>30</v>
          </cell>
        </row>
        <row r="28">
          <cell r="C28" t="str">
            <v>栗田燎伍</v>
          </cell>
          <cell r="D28">
            <v>3</v>
          </cell>
          <cell r="E28">
            <v>26</v>
          </cell>
        </row>
        <row r="29">
          <cell r="C29" t="str">
            <v>名倉宏美</v>
          </cell>
          <cell r="D29">
            <v>4</v>
          </cell>
          <cell r="E29">
            <v>30</v>
          </cell>
        </row>
        <row r="30">
          <cell r="C30" t="str">
            <v>鈴木健吾</v>
          </cell>
          <cell r="D30">
            <v>4</v>
          </cell>
          <cell r="E30">
            <v>30</v>
          </cell>
        </row>
        <row r="31">
          <cell r="C31" t="str">
            <v>森下綾香</v>
          </cell>
          <cell r="D31">
            <v>3</v>
          </cell>
          <cell r="E31">
            <v>30</v>
          </cell>
        </row>
        <row r="32">
          <cell r="C32" t="str">
            <v>大坪偉久子</v>
          </cell>
          <cell r="D32">
            <v>3</v>
          </cell>
          <cell r="E32">
            <v>18</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慶太 高山" id="{96D37D72-1EE0-42B9-BFA0-1987AC0FA65B}" userId="5449735fec229abe" providerId="Windows Live"/>
</personList>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V4" dT="2026-04-24T05:48:44.46" personId="{96D37D72-1EE0-42B9-BFA0-1987AC0FA65B}" id="{AC3C1C78-2BE6-443E-9327-94BA8DCF3DCF}">
    <text xml:space="preserve">2泊３日：１名、１泊：１名(新規：小学生)
</text>
  </threadedComment>
  <threadedComment ref="AH5" dT="2026-04-30T03:39:31.58" personId="{96D37D72-1EE0-42B9-BFA0-1987AC0FA65B}" id="{B6E67329-42CA-4E39-A14D-AD4103EF18FB}">
    <text>女性3件：
2名入院中（1名は退院先を探している）
もう1名は入居先検討中(見学について調整中)</text>
  </threadedComment>
  <threadedComment ref="AF12" dT="2026-04-23T04:25:35.80" personId="{96D37D72-1EE0-42B9-BFA0-1987AC0FA65B}" id="{106BD0CC-E351-4FEE-8A87-0EEFE37AB872}">
    <text>男性１名：退去リスク　女性２名：退去予定</text>
  </threadedComment>
  <threadedComment ref="BK13" dT="2026-04-30T03:40:47.54" personId="{96D37D72-1EE0-42B9-BFA0-1987AC0FA65B}" id="{C2A01BC8-665E-458E-97AD-CC5C4DFD41E2}">
    <text>サビ管希望あり：</text>
  </threadedComment>
  <threadedComment ref="AK19" dT="2026-03-26T08:02:48.95" personId="{96D37D72-1EE0-42B9-BFA0-1987AC0FA65B}" id="{0E0A1210-9F16-4A45-89C8-CF3022E1436C}">
    <text>深夜勤：70h</text>
  </threadedComment>
  <threadedComment ref="J29" dT="2026-03-26T08:02:48.95" personId="{96D37D72-1EE0-42B9-BFA0-1987AC0FA65B}" id="{83AF17A0-C032-41B8-8604-FA0D628BFD0B}">
    <text>深夜勤：70h</text>
  </threadedComment>
</ThreadedComments>
</file>

<file path=xl/threadedComments/threadedComment2.xml><?xml version="1.0" encoding="utf-8"?>
<ThreadedComments xmlns="http://schemas.microsoft.com/office/spreadsheetml/2018/threadedcomments" xmlns:x="http://schemas.openxmlformats.org/spreadsheetml/2006/main">
  <threadedComment ref="AC11" dT="2026-04-05T04:29:40.19" personId="{96D37D72-1EE0-42B9-BFA0-1987AC0FA65B}" id="{62C53AC9-8939-420F-9529-F5E580B20468}">
    <text>KGI：SS稼働95%</text>
  </threadedComment>
  <threadedComment ref="AC12" dT="2026-04-05T04:29:05.39" personId="{96D37D72-1EE0-42B9-BFA0-1987AC0FA65B}" id="{0E50FA7C-73E5-4E7C-AB03-A7502F2B618C}">
    <text>KGI：入居稼働(入院予防)</text>
  </threadedComment>
  <threadedComment ref="AC13" dT="2026-04-05T04:42:31.60" personId="{96D37D72-1EE0-42B9-BFA0-1987AC0FA65B}" id="{D77225F1-0231-4BC5-B0C9-EEE29C211359}">
    <text>KGI：タイミー夜勤400h未満(200hの削減必要)</text>
  </threadedComment>
  <threadedComment ref="AK18" dT="2026-04-05T00:38:15.85" personId="{96D37D72-1EE0-42B9-BFA0-1987AC0FA65B}" id="{52DFFAB9-A034-44BF-92D9-14AE1C935ED2}">
    <text>89h</text>
  </threadedComment>
  <threadedComment ref="M19" dT="2026-06-16T05:21:39.30" personId="{96D37D72-1EE0-42B9-BFA0-1987AC0FA65B}" id="{FFD493CF-B853-48E8-AE1F-C046082DEA98}">
    <text>入院中2名の退院予定が確定した為</text>
  </threadedComment>
  <threadedComment ref="P19" dT="2026-06-16T05:21:39.30" personId="{96D37D72-1EE0-42B9-BFA0-1987AC0FA65B}" id="{38974944-00C6-42AE-8F6F-8DA62976E97D}">
    <text>入院中2名の退院予定が確定した為</text>
  </threadedComment>
  <threadedComment ref="AK19" dT="2026-04-05T00:38:23.65" personId="{96D37D72-1EE0-42B9-BFA0-1987AC0FA65B}" id="{18399291-B080-4AFA-95D8-BE2A53695D80}">
    <text>635h</text>
  </threadedComment>
  <threadedComment ref="J29" dT="2026-03-26T08:02:48.95" personId="{96D37D72-1EE0-42B9-BFA0-1987AC0FA65B}" id="{9751B862-ADD5-41F9-913A-E80E47A42A16}">
    <text>深夜勤：70h</text>
  </threadedComment>
  <threadedComment ref="AE32" dT="2026-04-05T00:49:58.86" personId="{96D37D72-1EE0-42B9-BFA0-1987AC0FA65B}" id="{42B9142E-9802-49F5-8A7F-731D365A3DE0}">
    <text>4月面接予定</text>
  </threadedComment>
  <threadedComment ref="D46" dT="2026-05-08T03:02:47.58" personId="{96D37D72-1EE0-42B9-BFA0-1987AC0FA65B}" id="{897E711F-6C67-43D5-AE68-73DE4AB10508}">
    <text>入院中：要因はとろみ</text>
  </threadedComment>
  <threadedComment ref="D46" dT="2026-05-08T03:08:45.01" personId="{96D37D72-1EE0-42B9-BFA0-1987AC0FA65B}" id="{B8DAEFD6-2717-4305-B9CE-AD73409D5356}" parentId="{897E711F-6C67-43D5-AE68-73DE4AB10508}">
    <text>吸引は不要になった</text>
  </threadedComment>
  <threadedComment ref="D52" dT="2026-05-29T08:11:07.29" personId="{96D37D72-1EE0-42B9-BFA0-1987AC0FA65B}" id="{EC1826BC-3BA8-4A79-B6AB-4EA983677145}">
    <text>退院未定</text>
  </threadedComment>
  <threadedComment ref="AN54" dT="2026-04-23T06:13:45.42" personId="{96D37D72-1EE0-42B9-BFA0-1987AC0FA65B}" id="{8577F819-0AFA-4515-B871-CA8628864FAB}">
    <text>5月入社予定：夜勤1名　144h
もう１名 面接⇒採用予定(タイミー)</text>
  </threadedComment>
  <threadedComment ref="L55" dT="2026-04-23T04:33:27.38" personId="{96D37D72-1EE0-42B9-BFA0-1987AC0FA65B}" id="{0CEC21FA-A881-4EA0-85E3-D2C08C60E8A7}">
    <text>3/24から入院中。退院未定。5月中旬にカンファレンスがある為、その時点で退去についても検討していく。</text>
  </threadedComment>
</ThreadedComments>
</file>

<file path=xl/threadedComments/threadedComment3.xml><?xml version="1.0" encoding="utf-8"?>
<ThreadedComments xmlns="http://schemas.microsoft.com/office/spreadsheetml/2018/threadedcomments" xmlns:x="http://schemas.openxmlformats.org/spreadsheetml/2006/main">
  <threadedComment ref="AS5" dT="2026-04-30T03:42:57.27" personId="{96D37D72-1EE0-42B9-BFA0-1987AC0FA65B}" id="{D23C6058-C6A4-4DBB-80DA-8E6F6D6F6D8F}">
    <text>イノベルより、SSの相談あり。（イノベルの部屋数が足りないので、と）</text>
  </threadedComment>
  <threadedComment ref="AC11" dT="2026-04-05T02:36:22.36" personId="{96D37D72-1EE0-42B9-BFA0-1987AC0FA65B}" id="{B88A07AA-DF89-4DA0-94B7-00E5C0C49A63}">
    <text>KGI：入居稼働</text>
  </threadedComment>
  <threadedComment ref="AC12" dT="2026-04-05T02:36:43.97" personId="{96D37D72-1EE0-42B9-BFA0-1987AC0FA65B}" id="{0C353AB5-B7B3-49BA-A51B-46C379209596}">
    <text>KGI：SS契約者数　2名</text>
  </threadedComment>
  <threadedComment ref="AC13" dT="2026-04-05T02:37:03.52" personId="{96D37D72-1EE0-42B9-BFA0-1987AC0FA65B}" id="{3D968E71-7B5F-4E5A-B825-8D74AFCC447C}">
    <text>KGI：夜勤2名採用</text>
  </threadedComment>
  <threadedComment ref="J29" dT="2026-03-26T08:02:48.95" personId="{96D37D72-1EE0-42B9-BFA0-1987AC0FA65B}" id="{C4B9EC7F-3BA8-4A9E-B3E7-2C7FFB44726D}">
    <text>深夜勤：70h</text>
  </threadedComment>
  <threadedComment ref="BK37" dT="2026-04-23T05:38:07.03" personId="{96D37D72-1EE0-42B9-BFA0-1987AC0FA65B}" id="{7976D649-A2E9-49CD-902D-579843BD5DF7}">
    <text>若林様</text>
  </threadedComment>
  <threadedComment ref="AL41" dT="2026-04-05T02:31:57.35" personId="{96D37D72-1EE0-42B9-BFA0-1987AC0FA65B}" id="{BA0167B9-47E0-4F01-945D-BF26724BAE53}">
    <text>3月の事故報告が事務所に溜まっている為、確認後に記載</text>
  </threadedComment>
</ThreadedComments>
</file>

<file path=xl/threadedComments/threadedComment4.xml><?xml version="1.0" encoding="utf-8"?>
<ThreadedComments xmlns="http://schemas.microsoft.com/office/spreadsheetml/2018/threadedcomments" xmlns:x="http://schemas.openxmlformats.org/spreadsheetml/2006/main">
  <threadedComment ref="AW4" dT="2026-06-03T06:15:45.96" personId="{96D37D72-1EE0-42B9-BFA0-1987AC0FA65B}" id="{FD2A769A-8F7F-4DD3-A437-C5F1CBBB8110}">
    <text>SS：13日予定（6/3時点）</text>
  </threadedComment>
  <threadedComment ref="AW4" dT="2026-06-03T06:18:15.82" personId="{96D37D72-1EE0-42B9-BFA0-1987AC0FA65B}" id="{98E9C786-509F-47A7-AF0C-B04A918626B1}" parentId="{FD2A769A-8F7F-4DD3-A437-C5F1CBBB8110}">
    <text xml:space="preserve">小沢ミカさん：毎月1泊2日を予定
</text>
  </threadedComment>
  <threadedComment ref="AE5" dT="2026-04-27T08:42:04.04" personId="{96D37D72-1EE0-42B9-BFA0-1987AC0FA65B}" id="{5709EAC5-1093-418D-8CCB-3A916E3C00E2}">
    <text>女性の空き：確認(即入居希望）：1件
菊川市役所から1件</text>
  </threadedComment>
  <threadedComment ref="AC11" dT="2026-04-05T02:36:43.97" personId="{96D37D72-1EE0-42B9-BFA0-1987AC0FA65B}" id="{A3D03AB5-E40E-48E5-9724-82E72103F3F2}">
    <text>KGI：SS契約者数　2名</text>
  </threadedComment>
  <threadedComment ref="AC12" dT="2026-04-05T02:36:22.36" personId="{96D37D72-1EE0-42B9-BFA0-1987AC0FA65B}" id="{A0099054-63F6-4774-B274-1FED2DD048FB}">
    <text>KGI：入居稼働</text>
  </threadedComment>
  <threadedComment ref="BK37" dT="2026-04-23T05:38:37.00" personId="{96D37D72-1EE0-42B9-BFA0-1987AC0FA65B}" id="{C243C86D-C1B0-420B-9F3C-C890462FFACD}">
    <text>EPAへの他害</text>
  </threadedComment>
  <threadedComment ref="L39" dT="2026-04-27T08:41:15.26" personId="{96D37D72-1EE0-42B9-BFA0-1987AC0FA65B}" id="{BB579E57-A2E6-4AA7-9BD3-98F694F2BD79}">
    <text>30日</text>
  </threadedComment>
  <threadedComment ref="D41" dT="2026-05-29T07:35:19.27" personId="{96D37D72-1EE0-42B9-BFA0-1987AC0FA65B}" id="{7A2105EF-B39E-4E5D-A481-E09E09445E0E}">
    <text>就労先変更(6月～):</text>
  </threadedComment>
  <threadedComment ref="AL42" dT="2026-04-30T03:44:44.70" personId="{96D37D72-1EE0-42B9-BFA0-1987AC0FA65B}" id="{5B7FA7AE-97F6-41E4-9E89-96A41312E680}">
    <text>女性利用者⇒EPA職員への他害事故（本人から謝罪済）</text>
  </threadedComment>
  <threadedComment ref="D47" dT="2026-05-29T07:41:51.33" personId="{96D37D72-1EE0-42B9-BFA0-1987AC0FA65B}" id="{0A90B207-72B3-4E15-9300-CF6BEAB1014D}">
    <text>6/3 サ担予定:</text>
  </threadedComment>
  <threadedComment ref="D47" dT="2026-05-29T07:42:25.30" personId="{96D37D72-1EE0-42B9-BFA0-1987AC0FA65B}" id="{6CA1B529-9063-4F00-B346-8B9431EF901D}" parentId="{0A90B207-72B3-4E15-9300-CF6BEAB1014D}">
    <text>待機者①鈴木ミコさん：入院中　②木村トモミさん：SS　③深川さん：他も検討中</text>
  </threadedComment>
  <threadedComment ref="J53" dT="2026-04-23T05:35:48.78" personId="{96D37D72-1EE0-42B9-BFA0-1987AC0FA65B}" id="{B1C0A921-54C3-4324-98B0-CFCD969FF530}">
    <text>R8.8.31が期日</text>
  </threadedComment>
</ThreadedComments>
</file>

<file path=xl/threadedComments/threadedComment5.xml><?xml version="1.0" encoding="utf-8"?>
<ThreadedComments xmlns="http://schemas.microsoft.com/office/spreadsheetml/2018/threadedcomments" xmlns:x="http://schemas.openxmlformats.org/spreadsheetml/2006/main">
  <threadedComment ref="AU4" dT="2026-05-07T00:42:28.18" personId="{96D37D72-1EE0-42B9-BFA0-1987AC0FA65B}" id="{C0DADCF1-AA5D-4F7C-85BC-16836D6210DA}">
    <text>26日稼働予定(新規2名：タマコシさん、タカヤマさん)</text>
  </threadedComment>
  <threadedComment ref="AW4" dT="2026-05-07T00:43:53.54" personId="{96D37D72-1EE0-42B9-BFA0-1987AC0FA65B}" id="{87338647-7FD7-47CB-9247-0E64A45C4D00}">
    <text>21日稼働予定</text>
  </threadedComment>
  <threadedComment ref="J29" dT="2026-03-26T08:02:48.95" personId="{96D37D72-1EE0-42B9-BFA0-1987AC0FA65B}" id="{E9F33463-A2BF-4209-9677-F497E4478E64}">
    <text>深夜勤：70h</text>
  </threadedComment>
  <threadedComment ref="BW45" dT="2026-04-23T05:19:26.27" personId="{96D37D72-1EE0-42B9-BFA0-1987AC0FA65B}" id="{F731F93F-21AD-4D87-93AD-CEEECA722174}">
    <text xml:space="preserve">★一政様情報 浜松市中央区萩丘2丁目17　市営萩丘棟205号 イチマサ　ピンキー様 08065411749 </text>
  </threadedComment>
  <threadedComment ref="L52" dT="2026-04-30T06:11:50.25" personId="{96D37D72-1EE0-42B9-BFA0-1987AC0FA65B}" id="{E7B227C1-A39E-40A9-98FF-67054362A2E7}">
    <text>本日から包括型に体験中。</text>
  </threadedComment>
  <threadedComment ref="N78" dT="2026-05-06T00:24:54.01" personId="{96D37D72-1EE0-42B9-BFA0-1987AC0FA65B}" id="{58A31C95-F9B8-4833-B1BF-00554F9EDABF}">
    <text>4/28</text>
  </threadedComment>
</ThreadedComments>
</file>

<file path=xl/threadedComments/threadedComment6.xml><?xml version="1.0" encoding="utf-8"?>
<ThreadedComments xmlns="http://schemas.microsoft.com/office/spreadsheetml/2018/threadedcomments" xmlns:x="http://schemas.openxmlformats.org/spreadsheetml/2006/main">
  <threadedComment ref="AC11" dT="2026-04-05T02:36:22.36" personId="{96D37D72-1EE0-42B9-BFA0-1987AC0FA65B}" id="{22A536D2-DE44-4370-817F-86199DCDB262}">
    <text>KGI：入居稼働</text>
  </threadedComment>
  <threadedComment ref="AC12" dT="2026-04-05T02:36:43.97" personId="{96D37D72-1EE0-42B9-BFA0-1987AC0FA65B}" id="{2E4E45D7-9D15-438A-A42D-D29727985C00}">
    <text>KGI：SS契約者数　2名</text>
  </threadedComment>
  <threadedComment ref="J17" dT="2026-06-12T05:24:38.10" personId="{96D37D72-1EE0-42B9-BFA0-1987AC0FA65B}" id="{A8BE33E5-0450-47AE-B854-C7207AD8F54A}">
    <text>大橋様入院中：特養へ転居か？？</text>
  </threadedComment>
  <threadedComment ref="J29" dT="2026-03-26T08:02:48.95" personId="{96D37D72-1EE0-42B9-BFA0-1987AC0FA65B}" id="{5DDE1402-0535-4FB4-8A20-A2A0E2ED8925}">
    <text>深夜勤：70h</text>
  </threadedComment>
</ThreadedComments>
</file>

<file path=xl/threadedComments/threadedComment7.xml><?xml version="1.0" encoding="utf-8"?>
<ThreadedComments xmlns="http://schemas.microsoft.com/office/spreadsheetml/2018/threadedcomments" xmlns:x="http://schemas.openxmlformats.org/spreadsheetml/2006/main">
  <threadedComment ref="J29" dT="2026-03-26T08:02:48.95" personId="{96D37D72-1EE0-42B9-BFA0-1987AC0FA65B}" id="{5C00B810-BA80-4DC6-822A-630C60934A83}">
    <text>深夜勤：70h</text>
  </threadedComment>
</ThreadedComments>
</file>

<file path=xl/threadedComments/threadedComment8.xml><?xml version="1.0" encoding="utf-8"?>
<ThreadedComments xmlns="http://schemas.microsoft.com/office/spreadsheetml/2018/threadedcomments" xmlns:x="http://schemas.openxmlformats.org/spreadsheetml/2006/main">
  <threadedComment ref="J29" dT="2026-03-26T08:02:48.95" personId="{96D37D72-1EE0-42B9-BFA0-1987AC0FA65B}" id="{BA949459-F0EC-4C1A-A9CF-F0DA645913C6}">
    <text>深夜勤：70h</text>
  </threadedComment>
  <threadedComment ref="D50" dT="2026-04-28T00:30:13.37" personId="{96D37D72-1EE0-42B9-BFA0-1987AC0FA65B}" id="{45C068D7-F70C-435E-B09E-0F83E1ECF9DA}">
    <text>仕事を辞めていた。カード請求もきている。</text>
  </threadedComment>
  <threadedComment ref="D50" dT="2026-04-28T00:33:20.23" personId="{96D37D72-1EE0-42B9-BFA0-1987AC0FA65B}" id="{160D6AF9-BFBF-4802-93B2-792E98F544B9}" parentId="{45C068D7-F70C-435E-B09E-0F83E1ECF9DA}">
    <text>返済計画の作成　滞納あり</text>
  </threadedComment>
</ThreadedComments>
</file>

<file path=xl/threadedComments/threadedComment9.xml><?xml version="1.0" encoding="utf-8"?>
<ThreadedComments xmlns="http://schemas.microsoft.com/office/spreadsheetml/2018/threadedcomments" xmlns:x="http://schemas.openxmlformats.org/spreadsheetml/2006/main">
  <threadedComment ref="AC11" dT="2026-04-05T02:36:22.36" personId="{96D37D72-1EE0-42B9-BFA0-1987AC0FA65B}" id="{9F33E9D8-CFC7-429B-B538-37B5D46E93A3}">
    <text>KGI：入居稼働</text>
  </threadedComment>
  <threadedComment ref="AC12" dT="2026-04-05T02:36:43.97" personId="{96D37D72-1EE0-42B9-BFA0-1987AC0FA65B}" id="{BD7A9DC0-CADB-4A9C-AD1A-F16E08FA0112}">
    <text>KGI：SS契約者数　2名</text>
  </threadedComment>
  <threadedComment ref="J29" dT="2026-03-26T08:02:48.95" personId="{96D37D72-1EE0-42B9-BFA0-1987AC0FA65B}" id="{AA58F28E-B4A0-4C5A-AABA-F88815042AF5}">
    <text>深夜勤：70h</text>
  </threadedComment>
  <threadedComment ref="AN54" dT="2026-04-23T05:12:15.58" personId="{96D37D72-1EE0-42B9-BFA0-1987AC0FA65B}" id="{B30BAC88-DCB6-4D9B-8FFF-C77393A42AFF}">
    <text xml:space="preserve">■臼井祐二さん：時給制（22:00～5:00実働6h）週２日：12ｈ　社保適応なし </text>
  </threadedComment>
  <threadedComment ref="D64" dT="2026-05-08T07:08:05.27" personId="{96D37D72-1EE0-42B9-BFA0-1987AC0FA65B}" id="{1514047C-D0CB-409C-BD79-0D29323C98EF}">
    <text>一人暮らしは断念
⇒マンション型の包括GHを見学予定</text>
  </threadedComment>
  <threadedComment ref="N76" dT="2026-05-08T07:13:06.95" personId="{96D37D72-1EE0-42B9-BFA0-1987AC0FA65B}" id="{6972BB0E-86A8-4EE6-A1F5-C037A151E706}">
    <text>5月後半予定　</text>
  </threadedComment>
  <threadedComment ref="N76" dT="2026-05-08T07:26:17.57" personId="{96D37D72-1EE0-42B9-BFA0-1987AC0FA65B}" id="{253CA5FB-9A3E-4E8B-AE6C-A2AC97E513CB}" parentId="{6972BB0E-86A8-4EE6-A1F5-C037A151E706}">
    <text>月給制職員を中心にほぼ全て行ってもらう</text>
  </threadedComment>
</ThreadedComments>
</file>

<file path=xl/worksheets/_rels/sheet3.xml.rels><?xml version="1.0" encoding="UTF-8" standalone="yes"?>
<Relationships xmlns="http://schemas.openxmlformats.org/package/2006/relationships"><Relationship Id="rId13" Type="http://schemas.openxmlformats.org/officeDocument/2006/relationships/ctrlProp" Target="../ctrlProps/ctrlProp5.xml"/><Relationship Id="rId18" Type="http://schemas.openxmlformats.org/officeDocument/2006/relationships/ctrlProp" Target="../ctrlProps/ctrlProp10.xml"/><Relationship Id="rId26" Type="http://schemas.openxmlformats.org/officeDocument/2006/relationships/ctrlProp" Target="../ctrlProps/ctrlProp18.xml"/><Relationship Id="rId39" Type="http://schemas.openxmlformats.org/officeDocument/2006/relationships/ctrlProp" Target="../ctrlProps/ctrlProp31.xml"/><Relationship Id="rId3" Type="http://schemas.openxmlformats.org/officeDocument/2006/relationships/hyperlink" Target="..\00.&#12521;&#12471;&#12456;&#12523;_General\9%20&#22312;&#23429;&#31649;&#29702;\07.&#12471;&#12501;&#12488;&#20998;&#26512;&#12471;&#12540;&#12488;" TargetMode="External"/><Relationship Id="rId21" Type="http://schemas.openxmlformats.org/officeDocument/2006/relationships/ctrlProp" Target="../ctrlProps/ctrlProp13.xml"/><Relationship Id="rId34" Type="http://schemas.openxmlformats.org/officeDocument/2006/relationships/ctrlProp" Target="../ctrlProps/ctrlProp26.xml"/><Relationship Id="rId42" Type="http://schemas.openxmlformats.org/officeDocument/2006/relationships/ctrlProp" Target="../ctrlProps/ctrlProp34.xml"/><Relationship Id="rId47" Type="http://schemas.openxmlformats.org/officeDocument/2006/relationships/ctrlProp" Target="../ctrlProps/ctrlProp39.xml"/><Relationship Id="rId50" Type="http://schemas.openxmlformats.org/officeDocument/2006/relationships/ctrlProp" Target="../ctrlProps/ctrlProp42.xml"/><Relationship Id="rId7" Type="http://schemas.openxmlformats.org/officeDocument/2006/relationships/drawing" Target="../drawings/drawing1.xml"/><Relationship Id="rId12" Type="http://schemas.openxmlformats.org/officeDocument/2006/relationships/ctrlProp" Target="../ctrlProps/ctrlProp4.xml"/><Relationship Id="rId17" Type="http://schemas.openxmlformats.org/officeDocument/2006/relationships/ctrlProp" Target="../ctrlProps/ctrlProp9.xml"/><Relationship Id="rId25" Type="http://schemas.openxmlformats.org/officeDocument/2006/relationships/ctrlProp" Target="../ctrlProps/ctrlProp17.xml"/><Relationship Id="rId33" Type="http://schemas.openxmlformats.org/officeDocument/2006/relationships/ctrlProp" Target="../ctrlProps/ctrlProp25.xml"/><Relationship Id="rId38" Type="http://schemas.openxmlformats.org/officeDocument/2006/relationships/ctrlProp" Target="../ctrlProps/ctrlProp30.xml"/><Relationship Id="rId46" Type="http://schemas.openxmlformats.org/officeDocument/2006/relationships/ctrlProp" Target="../ctrlProps/ctrlProp38.xml"/><Relationship Id="rId2" Type="http://schemas.openxmlformats.org/officeDocument/2006/relationships/hyperlink" Target="..\04.&#12469;&#12499;&#31649;_&#12521;&#12471;&#12456;&#12523;\03.%20&#12372;&#20837;&#23621;&#32773;&#21033;&#29992;&#29366;&#27841;&#19968;&#35239;\&#23431;&#37117;&#23470;&#9316;.xlsx" TargetMode="External"/><Relationship Id="rId16" Type="http://schemas.openxmlformats.org/officeDocument/2006/relationships/ctrlProp" Target="../ctrlProps/ctrlProp8.xml"/><Relationship Id="rId20" Type="http://schemas.openxmlformats.org/officeDocument/2006/relationships/ctrlProp" Target="../ctrlProps/ctrlProp12.xml"/><Relationship Id="rId29" Type="http://schemas.openxmlformats.org/officeDocument/2006/relationships/ctrlProp" Target="../ctrlProps/ctrlProp21.xml"/><Relationship Id="rId41" Type="http://schemas.openxmlformats.org/officeDocument/2006/relationships/ctrlProp" Target="../ctrlProps/ctrlProp33.xml"/><Relationship Id="rId1" Type="http://schemas.openxmlformats.org/officeDocument/2006/relationships/hyperlink" Target="mailto:gyousei@&#12513;&#12540;&#12523;&#12398;&#30906;&#35469;&#12392;&#36578;&#36865;"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24" Type="http://schemas.openxmlformats.org/officeDocument/2006/relationships/ctrlProp" Target="../ctrlProps/ctrlProp16.xml"/><Relationship Id="rId32" Type="http://schemas.openxmlformats.org/officeDocument/2006/relationships/ctrlProp" Target="../ctrlProps/ctrlProp24.xml"/><Relationship Id="rId37" Type="http://schemas.openxmlformats.org/officeDocument/2006/relationships/ctrlProp" Target="../ctrlProps/ctrlProp29.xml"/><Relationship Id="rId40" Type="http://schemas.openxmlformats.org/officeDocument/2006/relationships/ctrlProp" Target="../ctrlProps/ctrlProp32.xml"/><Relationship Id="rId45" Type="http://schemas.openxmlformats.org/officeDocument/2006/relationships/ctrlProp" Target="../ctrlProps/ctrlProp37.xml"/><Relationship Id="rId5" Type="http://schemas.openxmlformats.org/officeDocument/2006/relationships/hyperlink" Target="..\00.&#12521;&#12471;&#12456;&#12523;_General\1%20&#21508;&#26045;&#35373;&#12471;&#12501;&#12488;&#31649;&#29702;\32.&#23431;&#37117;&#23470;\2026&#24180;\2606&#12304;&#23431;&#37117;&#23470;&#12305;&#21220;&#21209;&#34920;(&#23455;&#32318;&#65289;.xlsx" TargetMode="External"/><Relationship Id="rId15" Type="http://schemas.openxmlformats.org/officeDocument/2006/relationships/ctrlProp" Target="../ctrlProps/ctrlProp7.xml"/><Relationship Id="rId23" Type="http://schemas.openxmlformats.org/officeDocument/2006/relationships/ctrlProp" Target="../ctrlProps/ctrlProp15.xml"/><Relationship Id="rId28" Type="http://schemas.openxmlformats.org/officeDocument/2006/relationships/ctrlProp" Target="../ctrlProps/ctrlProp20.xml"/><Relationship Id="rId36" Type="http://schemas.openxmlformats.org/officeDocument/2006/relationships/ctrlProp" Target="../ctrlProps/ctrlProp28.xml"/><Relationship Id="rId49" Type="http://schemas.openxmlformats.org/officeDocument/2006/relationships/ctrlProp" Target="../ctrlProps/ctrlProp41.xml"/><Relationship Id="rId10" Type="http://schemas.openxmlformats.org/officeDocument/2006/relationships/ctrlProp" Target="../ctrlProps/ctrlProp2.xml"/><Relationship Id="rId19" Type="http://schemas.openxmlformats.org/officeDocument/2006/relationships/ctrlProp" Target="../ctrlProps/ctrlProp11.xml"/><Relationship Id="rId31" Type="http://schemas.openxmlformats.org/officeDocument/2006/relationships/ctrlProp" Target="../ctrlProps/ctrlProp23.xml"/><Relationship Id="rId44" Type="http://schemas.openxmlformats.org/officeDocument/2006/relationships/ctrlProp" Target="../ctrlProps/ctrlProp36.xml"/><Relationship Id="rId52" Type="http://schemas.microsoft.com/office/2017/10/relationships/threadedComment" Target="../threadedComments/threadedComment1.xml"/><Relationship Id="rId4" Type="http://schemas.openxmlformats.org/officeDocument/2006/relationships/hyperlink" Target="..\00.&#12521;&#12471;&#12456;&#12523;_General\1%20&#21508;&#26045;&#35373;&#12471;&#12501;&#12488;&#31649;&#29702;\32.&#23431;&#37117;&#23470;\2026&#24180;\2606&#12304;&#23431;&#37117;&#23470;&#12305;&#21220;&#21209;&#34920;(&#23455;&#32318;&#65289;.xlsx" TargetMode="External"/><Relationship Id="rId9" Type="http://schemas.openxmlformats.org/officeDocument/2006/relationships/ctrlProp" Target="../ctrlProps/ctrlProp1.xml"/><Relationship Id="rId14" Type="http://schemas.openxmlformats.org/officeDocument/2006/relationships/ctrlProp" Target="../ctrlProps/ctrlProp6.xml"/><Relationship Id="rId22" Type="http://schemas.openxmlformats.org/officeDocument/2006/relationships/ctrlProp" Target="../ctrlProps/ctrlProp14.xml"/><Relationship Id="rId27" Type="http://schemas.openxmlformats.org/officeDocument/2006/relationships/ctrlProp" Target="../ctrlProps/ctrlProp19.xml"/><Relationship Id="rId30" Type="http://schemas.openxmlformats.org/officeDocument/2006/relationships/ctrlProp" Target="../ctrlProps/ctrlProp22.xml"/><Relationship Id="rId35" Type="http://schemas.openxmlformats.org/officeDocument/2006/relationships/ctrlProp" Target="../ctrlProps/ctrlProp27.xml"/><Relationship Id="rId43" Type="http://schemas.openxmlformats.org/officeDocument/2006/relationships/ctrlProp" Target="../ctrlProps/ctrlProp35.xml"/><Relationship Id="rId48" Type="http://schemas.openxmlformats.org/officeDocument/2006/relationships/ctrlProp" Target="../ctrlProps/ctrlProp40.xml"/><Relationship Id="rId8" Type="http://schemas.openxmlformats.org/officeDocument/2006/relationships/vmlDrawing" Target="../drawings/vmlDrawing1.vml"/><Relationship Id="rId51"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50" Type="http://schemas.openxmlformats.org/officeDocument/2006/relationships/ctrlProp" Target="../ctrlProps/ctrlProp81.xml"/><Relationship Id="rId55" Type="http://schemas.microsoft.com/office/2017/10/relationships/threadedComment" Target="../threadedComments/threadedComment2.xml"/><Relationship Id="rId7" Type="http://schemas.openxmlformats.org/officeDocument/2006/relationships/hyperlink" Target="..\..\&#21508;&#26045;&#35373;&#20849;&#26377;\Rasiel&#21335;&#20013;&#20024;\&#31649;&#29702;&#32773;PDCA" TargetMode="External"/><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 Type="http://schemas.openxmlformats.org/officeDocument/2006/relationships/hyperlink" Target="..\00.&#12521;&#12471;&#12456;&#12523;_General\1%20&#21508;&#26045;&#35373;&#12471;&#12501;&#12488;&#31649;&#29702;\16.&#21335;&#20013;&#20024;\2026&#24180;\2606&#12304;&#21335;&#20013;&#20024;&#12305;&#21220;&#21209;&#34920;&#65288;&#23455;&#32318;&#65289;.xlsx" TargetMode="External"/><Relationship Id="rId16" Type="http://schemas.openxmlformats.org/officeDocument/2006/relationships/ctrlProp" Target="../ctrlProps/ctrlProp47.xml"/><Relationship Id="rId20" Type="http://schemas.openxmlformats.org/officeDocument/2006/relationships/ctrlProp" Target="../ctrlProps/ctrlProp51.xml"/><Relationship Id="rId29" Type="http://schemas.openxmlformats.org/officeDocument/2006/relationships/ctrlProp" Target="../ctrlProps/ctrlProp60.xml"/><Relationship Id="rId41" Type="http://schemas.openxmlformats.org/officeDocument/2006/relationships/ctrlProp" Target="../ctrlProps/ctrlProp72.xml"/><Relationship Id="rId54" Type="http://schemas.openxmlformats.org/officeDocument/2006/relationships/comments" Target="../comments2.xml"/><Relationship Id="rId1" Type="http://schemas.openxmlformats.org/officeDocument/2006/relationships/hyperlink" Target="mailto:gyousei@&#12513;&#12540;&#12523;&#12398;&#30906;&#35469;&#12392;&#36578;&#36865;" TargetMode="External"/><Relationship Id="rId6" Type="http://schemas.openxmlformats.org/officeDocument/2006/relationships/hyperlink" Target="..\00.&#12521;&#12471;&#12456;&#12523;_General\9%20&#22312;&#23429;&#31649;&#29702;\07.&#12471;&#12501;&#12488;&#20998;&#26512;&#12471;&#12540;&#12488;" TargetMode="External"/><Relationship Id="rId11" Type="http://schemas.openxmlformats.org/officeDocument/2006/relationships/vmlDrawing" Target="../drawings/vmlDrawing2.v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3" Type="http://schemas.openxmlformats.org/officeDocument/2006/relationships/ctrlProp" Target="../ctrlProps/ctrlProp84.xml"/><Relationship Id="rId5" Type="http://schemas.openxmlformats.org/officeDocument/2006/relationships/hyperlink" Target="..\00.&#12521;&#12471;&#12456;&#12523;_General\1%20&#21508;&#26045;&#35373;&#12471;&#12501;&#12488;&#31649;&#29702;\16.&#21335;&#20013;&#20024;" TargetMode="Externa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49" Type="http://schemas.openxmlformats.org/officeDocument/2006/relationships/ctrlProp" Target="../ctrlProps/ctrlProp80.xml"/><Relationship Id="rId10" Type="http://schemas.openxmlformats.org/officeDocument/2006/relationships/drawing" Target="../drawings/drawing2.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52" Type="http://schemas.openxmlformats.org/officeDocument/2006/relationships/ctrlProp" Target="../ctrlProps/ctrlProp83.xml"/><Relationship Id="rId4" Type="http://schemas.openxmlformats.org/officeDocument/2006/relationships/hyperlink" Target="..\04.&#12469;&#12499;&#31649;_&#12521;&#12471;&#12456;&#12523;\03.%20&#12372;&#20837;&#23621;&#32773;&#21033;&#29992;&#29366;&#27841;&#19968;&#35239;\&#21335;&#20013;&#20024;&#9316;.xlsx" TargetMode="External"/><Relationship Id="rId9" Type="http://schemas.openxmlformats.org/officeDocument/2006/relationships/printerSettings" Target="../printerSettings/printerSettings2.bin"/><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48" Type="http://schemas.openxmlformats.org/officeDocument/2006/relationships/ctrlProp" Target="../ctrlProps/ctrlProp79.xml"/><Relationship Id="rId8" Type="http://schemas.openxmlformats.org/officeDocument/2006/relationships/hyperlink" Target="..\00.&#12521;&#12471;&#12456;&#12523;_General\00%20&#23455;&#32318;&#35352;&#37682;&#34920;\&#23455;&#32318;&#35352;&#37682;&#34920;(&#35531;&#27714;&#29992;)\&#23455;&#32318;&#35352;&#37682;&#34920;&#12288;&#20445;&#23384;&#20808;\RASIEL&#21335;&#20013;&#20024;&#9316;&#12288;&#9733;\&#35531;&#27714;&#29992;" TargetMode="External"/><Relationship Id="rId51" Type="http://schemas.openxmlformats.org/officeDocument/2006/relationships/ctrlProp" Target="../ctrlProps/ctrlProp82.xml"/><Relationship Id="rId3" Type="http://schemas.openxmlformats.org/officeDocument/2006/relationships/hyperlink" Target="..\00.&#12521;&#12471;&#12456;&#12523;_General\1%20&#21508;&#26045;&#35373;&#12471;&#12501;&#12488;&#31649;&#29702;\32.&#23431;&#37117;&#23470;\2026&#24180;\2606&#12304;&#23431;&#37117;&#23470;&#12305;&#21220;&#21209;&#34920;(&#23455;&#32318;&#65289;.xlsx" TargetMode="Externa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85.xml"/><Relationship Id="rId18" Type="http://schemas.openxmlformats.org/officeDocument/2006/relationships/ctrlProp" Target="../ctrlProps/ctrlProp90.xml"/><Relationship Id="rId26" Type="http://schemas.openxmlformats.org/officeDocument/2006/relationships/ctrlProp" Target="../ctrlProps/ctrlProp98.xml"/><Relationship Id="rId39" Type="http://schemas.openxmlformats.org/officeDocument/2006/relationships/ctrlProp" Target="../ctrlProps/ctrlProp111.xml"/><Relationship Id="rId21" Type="http://schemas.openxmlformats.org/officeDocument/2006/relationships/ctrlProp" Target="../ctrlProps/ctrlProp93.xml"/><Relationship Id="rId34" Type="http://schemas.openxmlformats.org/officeDocument/2006/relationships/ctrlProp" Target="../ctrlProps/ctrlProp106.xml"/><Relationship Id="rId42" Type="http://schemas.openxmlformats.org/officeDocument/2006/relationships/ctrlProp" Target="../ctrlProps/ctrlProp114.xml"/><Relationship Id="rId47" Type="http://schemas.openxmlformats.org/officeDocument/2006/relationships/ctrlProp" Target="../ctrlProps/ctrlProp119.xml"/><Relationship Id="rId50" Type="http://schemas.openxmlformats.org/officeDocument/2006/relationships/ctrlProp" Target="../ctrlProps/ctrlProp122.xml"/><Relationship Id="rId55" Type="http://schemas.openxmlformats.org/officeDocument/2006/relationships/comments" Target="../comments3.xml"/><Relationship Id="rId7" Type="http://schemas.openxmlformats.org/officeDocument/2006/relationships/hyperlink" Target="..\..\&#21508;&#26045;&#35373;&#20849;&#26377;\Rasiel&#26149;&#26085;&#37096;\&#31649;&#29702;&#32773;PDCA" TargetMode="External"/><Relationship Id="rId12" Type="http://schemas.openxmlformats.org/officeDocument/2006/relationships/vmlDrawing" Target="../drawings/vmlDrawing3.vml"/><Relationship Id="rId17" Type="http://schemas.openxmlformats.org/officeDocument/2006/relationships/ctrlProp" Target="../ctrlProps/ctrlProp89.xml"/><Relationship Id="rId25" Type="http://schemas.openxmlformats.org/officeDocument/2006/relationships/ctrlProp" Target="../ctrlProps/ctrlProp97.xml"/><Relationship Id="rId33" Type="http://schemas.openxmlformats.org/officeDocument/2006/relationships/ctrlProp" Target="../ctrlProps/ctrlProp105.xml"/><Relationship Id="rId38" Type="http://schemas.openxmlformats.org/officeDocument/2006/relationships/ctrlProp" Target="../ctrlProps/ctrlProp110.xml"/><Relationship Id="rId46" Type="http://schemas.openxmlformats.org/officeDocument/2006/relationships/ctrlProp" Target="../ctrlProps/ctrlProp118.xml"/><Relationship Id="rId2" Type="http://schemas.openxmlformats.org/officeDocument/2006/relationships/hyperlink" Target="..\00.&#12521;&#12471;&#12456;&#12523;_General\1%20&#21508;&#26045;&#35373;&#12471;&#12501;&#12488;&#31649;&#29702;\24.&#26149;&#26085;&#37096;" TargetMode="External"/><Relationship Id="rId16" Type="http://schemas.openxmlformats.org/officeDocument/2006/relationships/ctrlProp" Target="../ctrlProps/ctrlProp88.xml"/><Relationship Id="rId20" Type="http://schemas.openxmlformats.org/officeDocument/2006/relationships/ctrlProp" Target="../ctrlProps/ctrlProp92.xml"/><Relationship Id="rId29" Type="http://schemas.openxmlformats.org/officeDocument/2006/relationships/ctrlProp" Target="../ctrlProps/ctrlProp101.xml"/><Relationship Id="rId41" Type="http://schemas.openxmlformats.org/officeDocument/2006/relationships/ctrlProp" Target="../ctrlProps/ctrlProp113.xml"/><Relationship Id="rId54" Type="http://schemas.openxmlformats.org/officeDocument/2006/relationships/ctrlProp" Target="../ctrlProps/ctrlProp126.xml"/><Relationship Id="rId1" Type="http://schemas.openxmlformats.org/officeDocument/2006/relationships/hyperlink" Target="mailto:gyousei@&#12513;&#12540;&#12523;&#12398;&#30906;&#35469;&#12392;&#36578;&#36865;" TargetMode="External"/><Relationship Id="rId6" Type="http://schemas.openxmlformats.org/officeDocument/2006/relationships/hyperlink" Target="..\00.&#12521;&#12471;&#12456;&#12523;_General\9%20&#22312;&#23429;&#31649;&#29702;\07.&#12471;&#12501;&#12488;&#20998;&#26512;&#12471;&#12540;&#12488;" TargetMode="External"/><Relationship Id="rId11" Type="http://schemas.openxmlformats.org/officeDocument/2006/relationships/drawing" Target="../drawings/drawing3.xml"/><Relationship Id="rId24" Type="http://schemas.openxmlformats.org/officeDocument/2006/relationships/ctrlProp" Target="../ctrlProps/ctrlProp96.xml"/><Relationship Id="rId32" Type="http://schemas.openxmlformats.org/officeDocument/2006/relationships/ctrlProp" Target="../ctrlProps/ctrlProp104.xml"/><Relationship Id="rId37" Type="http://schemas.openxmlformats.org/officeDocument/2006/relationships/ctrlProp" Target="../ctrlProps/ctrlProp109.xml"/><Relationship Id="rId40" Type="http://schemas.openxmlformats.org/officeDocument/2006/relationships/ctrlProp" Target="../ctrlProps/ctrlProp112.xml"/><Relationship Id="rId45" Type="http://schemas.openxmlformats.org/officeDocument/2006/relationships/ctrlProp" Target="../ctrlProps/ctrlProp117.xml"/><Relationship Id="rId53" Type="http://schemas.openxmlformats.org/officeDocument/2006/relationships/ctrlProp" Target="../ctrlProps/ctrlProp125.xml"/><Relationship Id="rId5" Type="http://schemas.openxmlformats.org/officeDocument/2006/relationships/hyperlink" Target="..\04.&#12469;&#12499;&#31649;_&#12521;&#12471;&#12456;&#12523;\03.%20&#12372;&#20837;&#23621;&#32773;&#21033;&#29992;&#29366;&#27841;&#19968;&#35239;\&#26149;&#26085;&#37096;&#9316;.xlsx" TargetMode="External"/><Relationship Id="rId15" Type="http://schemas.openxmlformats.org/officeDocument/2006/relationships/ctrlProp" Target="../ctrlProps/ctrlProp87.xml"/><Relationship Id="rId23" Type="http://schemas.openxmlformats.org/officeDocument/2006/relationships/ctrlProp" Target="../ctrlProps/ctrlProp95.xml"/><Relationship Id="rId28" Type="http://schemas.openxmlformats.org/officeDocument/2006/relationships/ctrlProp" Target="../ctrlProps/ctrlProp100.xml"/><Relationship Id="rId36" Type="http://schemas.openxmlformats.org/officeDocument/2006/relationships/ctrlProp" Target="../ctrlProps/ctrlProp108.xml"/><Relationship Id="rId49" Type="http://schemas.openxmlformats.org/officeDocument/2006/relationships/ctrlProp" Target="../ctrlProps/ctrlProp121.xml"/><Relationship Id="rId10" Type="http://schemas.openxmlformats.org/officeDocument/2006/relationships/printerSettings" Target="../printerSettings/printerSettings3.bin"/><Relationship Id="rId19" Type="http://schemas.openxmlformats.org/officeDocument/2006/relationships/ctrlProp" Target="../ctrlProps/ctrlProp91.xml"/><Relationship Id="rId31" Type="http://schemas.openxmlformats.org/officeDocument/2006/relationships/ctrlProp" Target="../ctrlProps/ctrlProp103.xml"/><Relationship Id="rId44" Type="http://schemas.openxmlformats.org/officeDocument/2006/relationships/ctrlProp" Target="../ctrlProps/ctrlProp116.xml"/><Relationship Id="rId52" Type="http://schemas.openxmlformats.org/officeDocument/2006/relationships/ctrlProp" Target="../ctrlProps/ctrlProp124.xml"/><Relationship Id="rId4" Type="http://schemas.openxmlformats.org/officeDocument/2006/relationships/hyperlink" Target="..\..\&#21508;&#26045;&#35373;&#20849;&#26377;\Rasiel&#26149;&#26085;&#37096;\&#31649;&#29702;&#32773;PDCA" TargetMode="External"/><Relationship Id="rId9" Type="http://schemas.openxmlformats.org/officeDocument/2006/relationships/hyperlink" Target="https://www.chatwork.com/" TargetMode="External"/><Relationship Id="rId14" Type="http://schemas.openxmlformats.org/officeDocument/2006/relationships/ctrlProp" Target="../ctrlProps/ctrlProp86.xml"/><Relationship Id="rId22" Type="http://schemas.openxmlformats.org/officeDocument/2006/relationships/ctrlProp" Target="../ctrlProps/ctrlProp94.xml"/><Relationship Id="rId27" Type="http://schemas.openxmlformats.org/officeDocument/2006/relationships/ctrlProp" Target="../ctrlProps/ctrlProp99.xml"/><Relationship Id="rId30" Type="http://schemas.openxmlformats.org/officeDocument/2006/relationships/ctrlProp" Target="../ctrlProps/ctrlProp102.xml"/><Relationship Id="rId35" Type="http://schemas.openxmlformats.org/officeDocument/2006/relationships/ctrlProp" Target="../ctrlProps/ctrlProp107.xml"/><Relationship Id="rId43" Type="http://schemas.openxmlformats.org/officeDocument/2006/relationships/ctrlProp" Target="../ctrlProps/ctrlProp115.xml"/><Relationship Id="rId48" Type="http://schemas.openxmlformats.org/officeDocument/2006/relationships/ctrlProp" Target="../ctrlProps/ctrlProp120.xml"/><Relationship Id="rId56" Type="http://schemas.microsoft.com/office/2017/10/relationships/threadedComment" Target="../threadedComments/threadedComment3.xml"/><Relationship Id="rId8" Type="http://schemas.openxmlformats.org/officeDocument/2006/relationships/hyperlink" Target="..\00.&#12521;&#12471;&#12456;&#12523;_General\1%20&#21508;&#26045;&#35373;&#12471;&#12501;&#12488;&#31649;&#29702;\24.&#26149;&#26085;&#37096;" TargetMode="External"/><Relationship Id="rId51" Type="http://schemas.openxmlformats.org/officeDocument/2006/relationships/ctrlProp" Target="../ctrlProps/ctrlProp123.xml"/><Relationship Id="rId3" Type="http://schemas.openxmlformats.org/officeDocument/2006/relationships/hyperlink" Target="..\00.&#12521;&#12471;&#12456;&#12523;_General\1%20&#21508;&#26045;&#35373;&#12471;&#12501;&#12488;&#31649;&#29702;\32.&#23431;&#37117;&#23470;\2026&#24180;\2606&#12304;&#23431;&#37117;&#23470;&#12305;&#21220;&#21209;&#34920;(&#23455;&#32318;&#65289;.xlsx" TargetMode="Externa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130.xml"/><Relationship Id="rId18" Type="http://schemas.openxmlformats.org/officeDocument/2006/relationships/ctrlProp" Target="../ctrlProps/ctrlProp135.xml"/><Relationship Id="rId26" Type="http://schemas.openxmlformats.org/officeDocument/2006/relationships/ctrlProp" Target="../ctrlProps/ctrlProp143.xml"/><Relationship Id="rId39" Type="http://schemas.openxmlformats.org/officeDocument/2006/relationships/ctrlProp" Target="../ctrlProps/ctrlProp156.xml"/><Relationship Id="rId3" Type="http://schemas.openxmlformats.org/officeDocument/2006/relationships/hyperlink" Target="..\00.&#12521;&#12471;&#12456;&#12523;_General\1%20&#21508;&#26045;&#35373;&#12471;&#12501;&#12488;&#31649;&#29702;\32.&#23431;&#37117;&#23470;\2026&#24180;\2606&#12304;&#23431;&#37117;&#23470;&#12305;&#21220;&#21209;&#34920;(&#23455;&#32318;&#65289;.xlsx" TargetMode="External"/><Relationship Id="rId21" Type="http://schemas.openxmlformats.org/officeDocument/2006/relationships/ctrlProp" Target="../ctrlProps/ctrlProp138.xml"/><Relationship Id="rId34" Type="http://schemas.openxmlformats.org/officeDocument/2006/relationships/ctrlProp" Target="../ctrlProps/ctrlProp151.xml"/><Relationship Id="rId42" Type="http://schemas.openxmlformats.org/officeDocument/2006/relationships/ctrlProp" Target="../ctrlProps/ctrlProp159.xml"/><Relationship Id="rId47" Type="http://schemas.openxmlformats.org/officeDocument/2006/relationships/ctrlProp" Target="../ctrlProps/ctrlProp164.xml"/><Relationship Id="rId50" Type="http://schemas.openxmlformats.org/officeDocument/2006/relationships/ctrlProp" Target="../ctrlProps/ctrlProp167.xml"/><Relationship Id="rId7" Type="http://schemas.openxmlformats.org/officeDocument/2006/relationships/printerSettings" Target="../printerSettings/printerSettings4.bin"/><Relationship Id="rId12" Type="http://schemas.openxmlformats.org/officeDocument/2006/relationships/ctrlProp" Target="../ctrlProps/ctrlProp129.xml"/><Relationship Id="rId17" Type="http://schemas.openxmlformats.org/officeDocument/2006/relationships/ctrlProp" Target="../ctrlProps/ctrlProp134.xml"/><Relationship Id="rId25" Type="http://schemas.openxmlformats.org/officeDocument/2006/relationships/ctrlProp" Target="../ctrlProps/ctrlProp142.xml"/><Relationship Id="rId33" Type="http://schemas.openxmlformats.org/officeDocument/2006/relationships/ctrlProp" Target="../ctrlProps/ctrlProp150.xml"/><Relationship Id="rId38" Type="http://schemas.openxmlformats.org/officeDocument/2006/relationships/ctrlProp" Target="../ctrlProps/ctrlProp155.xml"/><Relationship Id="rId46" Type="http://schemas.openxmlformats.org/officeDocument/2006/relationships/ctrlProp" Target="../ctrlProps/ctrlProp163.xml"/><Relationship Id="rId2" Type="http://schemas.openxmlformats.org/officeDocument/2006/relationships/hyperlink" Target="..\00.&#12521;&#12471;&#12456;&#12523;_General\1%20&#21508;&#26045;&#35373;&#12471;&#12501;&#12488;&#31649;&#29702;\30.&#19978;&#35199;&#37111;\2022&#24180;" TargetMode="External"/><Relationship Id="rId16" Type="http://schemas.openxmlformats.org/officeDocument/2006/relationships/ctrlProp" Target="../ctrlProps/ctrlProp133.xml"/><Relationship Id="rId20" Type="http://schemas.openxmlformats.org/officeDocument/2006/relationships/ctrlProp" Target="../ctrlProps/ctrlProp137.xml"/><Relationship Id="rId29" Type="http://schemas.openxmlformats.org/officeDocument/2006/relationships/ctrlProp" Target="../ctrlProps/ctrlProp146.xml"/><Relationship Id="rId41" Type="http://schemas.openxmlformats.org/officeDocument/2006/relationships/ctrlProp" Target="../ctrlProps/ctrlProp158.xml"/><Relationship Id="rId1" Type="http://schemas.openxmlformats.org/officeDocument/2006/relationships/hyperlink" Target="mailto:gyousei@&#12513;&#12540;&#12523;&#12398;&#30906;&#35469;&#12392;&#36578;&#36865;" TargetMode="External"/><Relationship Id="rId6" Type="http://schemas.openxmlformats.org/officeDocument/2006/relationships/hyperlink" Target="..\00.&#12521;&#12471;&#12456;&#12523;_General\1%20&#21508;&#26045;&#35373;&#12471;&#12501;&#12488;&#31649;&#29702;\30.&#19978;&#35199;&#37111;" TargetMode="External"/><Relationship Id="rId11" Type="http://schemas.openxmlformats.org/officeDocument/2006/relationships/ctrlProp" Target="../ctrlProps/ctrlProp128.xml"/><Relationship Id="rId24" Type="http://schemas.openxmlformats.org/officeDocument/2006/relationships/ctrlProp" Target="../ctrlProps/ctrlProp141.xml"/><Relationship Id="rId32" Type="http://schemas.openxmlformats.org/officeDocument/2006/relationships/ctrlProp" Target="../ctrlProps/ctrlProp149.xml"/><Relationship Id="rId37" Type="http://schemas.openxmlformats.org/officeDocument/2006/relationships/ctrlProp" Target="../ctrlProps/ctrlProp154.xml"/><Relationship Id="rId40" Type="http://schemas.openxmlformats.org/officeDocument/2006/relationships/ctrlProp" Target="../ctrlProps/ctrlProp157.xml"/><Relationship Id="rId45" Type="http://schemas.openxmlformats.org/officeDocument/2006/relationships/ctrlProp" Target="../ctrlProps/ctrlProp162.xml"/><Relationship Id="rId53" Type="http://schemas.microsoft.com/office/2017/10/relationships/threadedComment" Target="../threadedComments/threadedComment4.xml"/><Relationship Id="rId5" Type="http://schemas.openxmlformats.org/officeDocument/2006/relationships/hyperlink" Target="..\00.&#12521;&#12471;&#12456;&#12523;_General\9%20&#22312;&#23429;&#31649;&#29702;\07.&#12471;&#12501;&#12488;&#20998;&#26512;&#12471;&#12540;&#12488;" TargetMode="External"/><Relationship Id="rId15" Type="http://schemas.openxmlformats.org/officeDocument/2006/relationships/ctrlProp" Target="../ctrlProps/ctrlProp132.xml"/><Relationship Id="rId23" Type="http://schemas.openxmlformats.org/officeDocument/2006/relationships/ctrlProp" Target="../ctrlProps/ctrlProp140.xml"/><Relationship Id="rId28" Type="http://schemas.openxmlformats.org/officeDocument/2006/relationships/ctrlProp" Target="../ctrlProps/ctrlProp145.xml"/><Relationship Id="rId36" Type="http://schemas.openxmlformats.org/officeDocument/2006/relationships/ctrlProp" Target="../ctrlProps/ctrlProp153.xml"/><Relationship Id="rId49" Type="http://schemas.openxmlformats.org/officeDocument/2006/relationships/ctrlProp" Target="../ctrlProps/ctrlProp166.xml"/><Relationship Id="rId10" Type="http://schemas.openxmlformats.org/officeDocument/2006/relationships/ctrlProp" Target="../ctrlProps/ctrlProp127.xml"/><Relationship Id="rId19" Type="http://schemas.openxmlformats.org/officeDocument/2006/relationships/ctrlProp" Target="../ctrlProps/ctrlProp136.xml"/><Relationship Id="rId31" Type="http://schemas.openxmlformats.org/officeDocument/2006/relationships/ctrlProp" Target="../ctrlProps/ctrlProp148.xml"/><Relationship Id="rId44" Type="http://schemas.openxmlformats.org/officeDocument/2006/relationships/ctrlProp" Target="../ctrlProps/ctrlProp161.xml"/><Relationship Id="rId52" Type="http://schemas.openxmlformats.org/officeDocument/2006/relationships/comments" Target="../comments4.xml"/><Relationship Id="rId4" Type="http://schemas.openxmlformats.org/officeDocument/2006/relationships/hyperlink" Target="..\04.&#12469;&#12499;&#31649;_&#12521;&#12471;&#12456;&#12523;\03.%20&#12372;&#20837;&#23621;&#32773;&#21033;&#29992;&#29366;&#27841;&#19968;&#35239;\&#19978;&#35199;&#37111;&#9316;.xlsx" TargetMode="External"/><Relationship Id="rId9" Type="http://schemas.openxmlformats.org/officeDocument/2006/relationships/vmlDrawing" Target="../drawings/vmlDrawing4.vml"/><Relationship Id="rId14" Type="http://schemas.openxmlformats.org/officeDocument/2006/relationships/ctrlProp" Target="../ctrlProps/ctrlProp131.xml"/><Relationship Id="rId22" Type="http://schemas.openxmlformats.org/officeDocument/2006/relationships/ctrlProp" Target="../ctrlProps/ctrlProp139.xml"/><Relationship Id="rId27" Type="http://schemas.openxmlformats.org/officeDocument/2006/relationships/ctrlProp" Target="../ctrlProps/ctrlProp144.xml"/><Relationship Id="rId30" Type="http://schemas.openxmlformats.org/officeDocument/2006/relationships/ctrlProp" Target="../ctrlProps/ctrlProp147.xml"/><Relationship Id="rId35" Type="http://schemas.openxmlformats.org/officeDocument/2006/relationships/ctrlProp" Target="../ctrlProps/ctrlProp152.xml"/><Relationship Id="rId43" Type="http://schemas.openxmlformats.org/officeDocument/2006/relationships/ctrlProp" Target="../ctrlProps/ctrlProp160.xml"/><Relationship Id="rId48" Type="http://schemas.openxmlformats.org/officeDocument/2006/relationships/ctrlProp" Target="../ctrlProps/ctrlProp165.xml"/><Relationship Id="rId8" Type="http://schemas.openxmlformats.org/officeDocument/2006/relationships/drawing" Target="../drawings/drawing4.xml"/><Relationship Id="rId51" Type="http://schemas.openxmlformats.org/officeDocument/2006/relationships/ctrlProp" Target="../ctrlProps/ctrlProp168.xml"/></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171.xml"/><Relationship Id="rId18" Type="http://schemas.openxmlformats.org/officeDocument/2006/relationships/ctrlProp" Target="../ctrlProps/ctrlProp176.xml"/><Relationship Id="rId26" Type="http://schemas.openxmlformats.org/officeDocument/2006/relationships/ctrlProp" Target="../ctrlProps/ctrlProp184.xml"/><Relationship Id="rId39" Type="http://schemas.openxmlformats.org/officeDocument/2006/relationships/ctrlProp" Target="../ctrlProps/ctrlProp197.xml"/><Relationship Id="rId3" Type="http://schemas.openxmlformats.org/officeDocument/2006/relationships/hyperlink" Target="..\00.&#12521;&#12471;&#12456;&#12523;_General\1%20&#21508;&#26045;&#35373;&#12471;&#12501;&#12488;&#31649;&#29702;\6.&#27671;&#36032;" TargetMode="External"/><Relationship Id="rId21" Type="http://schemas.openxmlformats.org/officeDocument/2006/relationships/ctrlProp" Target="../ctrlProps/ctrlProp179.xml"/><Relationship Id="rId34" Type="http://schemas.openxmlformats.org/officeDocument/2006/relationships/ctrlProp" Target="../ctrlProps/ctrlProp192.xml"/><Relationship Id="rId42" Type="http://schemas.openxmlformats.org/officeDocument/2006/relationships/ctrlProp" Target="../ctrlProps/ctrlProp200.xml"/><Relationship Id="rId47" Type="http://schemas.openxmlformats.org/officeDocument/2006/relationships/ctrlProp" Target="../ctrlProps/ctrlProp205.xml"/><Relationship Id="rId50" Type="http://schemas.openxmlformats.org/officeDocument/2006/relationships/ctrlProp" Target="../ctrlProps/ctrlProp208.xml"/><Relationship Id="rId7" Type="http://schemas.openxmlformats.org/officeDocument/2006/relationships/hyperlink" Target="https://docs.google.com/spreadsheets/d/1eoTM9Zre66hOidYJkbQprkeWe0M0ZO4MtphcGl1cBPw/edit?usp=sharing" TargetMode="External"/><Relationship Id="rId12" Type="http://schemas.openxmlformats.org/officeDocument/2006/relationships/ctrlProp" Target="../ctrlProps/ctrlProp170.xml"/><Relationship Id="rId17" Type="http://schemas.openxmlformats.org/officeDocument/2006/relationships/ctrlProp" Target="../ctrlProps/ctrlProp175.xml"/><Relationship Id="rId25" Type="http://schemas.openxmlformats.org/officeDocument/2006/relationships/ctrlProp" Target="../ctrlProps/ctrlProp183.xml"/><Relationship Id="rId33" Type="http://schemas.openxmlformats.org/officeDocument/2006/relationships/ctrlProp" Target="../ctrlProps/ctrlProp191.xml"/><Relationship Id="rId38" Type="http://schemas.openxmlformats.org/officeDocument/2006/relationships/ctrlProp" Target="../ctrlProps/ctrlProp196.xml"/><Relationship Id="rId46" Type="http://schemas.openxmlformats.org/officeDocument/2006/relationships/ctrlProp" Target="../ctrlProps/ctrlProp204.xml"/><Relationship Id="rId2" Type="http://schemas.openxmlformats.org/officeDocument/2006/relationships/hyperlink" Target="..\00.&#12521;&#12471;&#12456;&#12523;_General\1%20&#21508;&#26045;&#35373;&#12471;&#12501;&#12488;&#31649;&#29702;\6.&#27671;&#36032;" TargetMode="External"/><Relationship Id="rId16" Type="http://schemas.openxmlformats.org/officeDocument/2006/relationships/ctrlProp" Target="../ctrlProps/ctrlProp174.xml"/><Relationship Id="rId20" Type="http://schemas.openxmlformats.org/officeDocument/2006/relationships/ctrlProp" Target="../ctrlProps/ctrlProp178.xml"/><Relationship Id="rId29" Type="http://schemas.openxmlformats.org/officeDocument/2006/relationships/ctrlProp" Target="../ctrlProps/ctrlProp187.xml"/><Relationship Id="rId41" Type="http://schemas.openxmlformats.org/officeDocument/2006/relationships/ctrlProp" Target="../ctrlProps/ctrlProp199.xml"/><Relationship Id="rId54" Type="http://schemas.microsoft.com/office/2017/10/relationships/threadedComment" Target="../threadedComments/threadedComment5.xml"/><Relationship Id="rId1" Type="http://schemas.openxmlformats.org/officeDocument/2006/relationships/hyperlink" Target="mailto:gyousei@&#12513;&#12540;&#12523;&#12398;&#30906;&#35469;&#12392;&#36578;&#36865;" TargetMode="External"/><Relationship Id="rId6" Type="http://schemas.openxmlformats.org/officeDocument/2006/relationships/hyperlink" Target="..\00.&#12521;&#12471;&#12456;&#12523;_General\9%20&#22312;&#23429;&#31649;&#29702;\07.&#12471;&#12501;&#12488;&#20998;&#26512;&#12471;&#12540;&#12488;" TargetMode="External"/><Relationship Id="rId11" Type="http://schemas.openxmlformats.org/officeDocument/2006/relationships/ctrlProp" Target="../ctrlProps/ctrlProp169.xml"/><Relationship Id="rId24" Type="http://schemas.openxmlformats.org/officeDocument/2006/relationships/ctrlProp" Target="../ctrlProps/ctrlProp182.xml"/><Relationship Id="rId32" Type="http://schemas.openxmlformats.org/officeDocument/2006/relationships/ctrlProp" Target="../ctrlProps/ctrlProp190.xml"/><Relationship Id="rId37" Type="http://schemas.openxmlformats.org/officeDocument/2006/relationships/ctrlProp" Target="../ctrlProps/ctrlProp195.xml"/><Relationship Id="rId40" Type="http://schemas.openxmlformats.org/officeDocument/2006/relationships/ctrlProp" Target="../ctrlProps/ctrlProp198.xml"/><Relationship Id="rId45" Type="http://schemas.openxmlformats.org/officeDocument/2006/relationships/ctrlProp" Target="../ctrlProps/ctrlProp203.xml"/><Relationship Id="rId53" Type="http://schemas.openxmlformats.org/officeDocument/2006/relationships/comments" Target="../comments5.xml"/><Relationship Id="rId5" Type="http://schemas.openxmlformats.org/officeDocument/2006/relationships/hyperlink" Target="..\00.&#12521;&#12471;&#12456;&#12523;_General\1%20&#21508;&#26045;&#35373;&#12471;&#12501;&#12488;&#31649;&#29702;\6.&#27671;&#36032;" TargetMode="External"/><Relationship Id="rId15" Type="http://schemas.openxmlformats.org/officeDocument/2006/relationships/ctrlProp" Target="../ctrlProps/ctrlProp173.xml"/><Relationship Id="rId23" Type="http://schemas.openxmlformats.org/officeDocument/2006/relationships/ctrlProp" Target="../ctrlProps/ctrlProp181.xml"/><Relationship Id="rId28" Type="http://schemas.openxmlformats.org/officeDocument/2006/relationships/ctrlProp" Target="../ctrlProps/ctrlProp186.xml"/><Relationship Id="rId36" Type="http://schemas.openxmlformats.org/officeDocument/2006/relationships/ctrlProp" Target="../ctrlProps/ctrlProp194.xml"/><Relationship Id="rId49" Type="http://schemas.openxmlformats.org/officeDocument/2006/relationships/ctrlProp" Target="../ctrlProps/ctrlProp207.xml"/><Relationship Id="rId10" Type="http://schemas.openxmlformats.org/officeDocument/2006/relationships/vmlDrawing" Target="../drawings/vmlDrawing5.vml"/><Relationship Id="rId19" Type="http://schemas.openxmlformats.org/officeDocument/2006/relationships/ctrlProp" Target="../ctrlProps/ctrlProp177.xml"/><Relationship Id="rId31" Type="http://schemas.openxmlformats.org/officeDocument/2006/relationships/ctrlProp" Target="../ctrlProps/ctrlProp189.xml"/><Relationship Id="rId44" Type="http://schemas.openxmlformats.org/officeDocument/2006/relationships/ctrlProp" Target="../ctrlProps/ctrlProp202.xml"/><Relationship Id="rId52" Type="http://schemas.openxmlformats.org/officeDocument/2006/relationships/ctrlProp" Target="../ctrlProps/ctrlProp210.xml"/><Relationship Id="rId4" Type="http://schemas.openxmlformats.org/officeDocument/2006/relationships/hyperlink" Target="..\04.&#12469;&#12499;&#31649;_&#12521;&#12471;&#12456;&#12523;\03.%20&#12372;&#20837;&#23621;&#32773;&#21033;&#29992;&#29366;&#27841;&#19968;&#35239;\&#27671;&#36032;&#9316;.xlsx" TargetMode="External"/><Relationship Id="rId9" Type="http://schemas.openxmlformats.org/officeDocument/2006/relationships/drawing" Target="../drawings/drawing5.xml"/><Relationship Id="rId14" Type="http://schemas.openxmlformats.org/officeDocument/2006/relationships/ctrlProp" Target="../ctrlProps/ctrlProp172.xml"/><Relationship Id="rId22" Type="http://schemas.openxmlformats.org/officeDocument/2006/relationships/ctrlProp" Target="../ctrlProps/ctrlProp180.xml"/><Relationship Id="rId27" Type="http://schemas.openxmlformats.org/officeDocument/2006/relationships/ctrlProp" Target="../ctrlProps/ctrlProp185.xml"/><Relationship Id="rId30" Type="http://schemas.openxmlformats.org/officeDocument/2006/relationships/ctrlProp" Target="../ctrlProps/ctrlProp188.xml"/><Relationship Id="rId35" Type="http://schemas.openxmlformats.org/officeDocument/2006/relationships/ctrlProp" Target="../ctrlProps/ctrlProp193.xml"/><Relationship Id="rId43" Type="http://schemas.openxmlformats.org/officeDocument/2006/relationships/ctrlProp" Target="../ctrlProps/ctrlProp201.xml"/><Relationship Id="rId48" Type="http://schemas.openxmlformats.org/officeDocument/2006/relationships/ctrlProp" Target="../ctrlProps/ctrlProp206.xml"/><Relationship Id="rId8" Type="http://schemas.openxmlformats.org/officeDocument/2006/relationships/printerSettings" Target="../printerSettings/printerSettings5.bin"/><Relationship Id="rId51" Type="http://schemas.openxmlformats.org/officeDocument/2006/relationships/ctrlProp" Target="../ctrlProps/ctrlProp209.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211.xml"/><Relationship Id="rId18" Type="http://schemas.openxmlformats.org/officeDocument/2006/relationships/ctrlProp" Target="../ctrlProps/ctrlProp216.xml"/><Relationship Id="rId26" Type="http://schemas.openxmlformats.org/officeDocument/2006/relationships/ctrlProp" Target="../ctrlProps/ctrlProp224.xml"/><Relationship Id="rId39" Type="http://schemas.openxmlformats.org/officeDocument/2006/relationships/ctrlProp" Target="../ctrlProps/ctrlProp237.xml"/><Relationship Id="rId21" Type="http://schemas.openxmlformats.org/officeDocument/2006/relationships/ctrlProp" Target="../ctrlProps/ctrlProp219.xml"/><Relationship Id="rId34" Type="http://schemas.openxmlformats.org/officeDocument/2006/relationships/ctrlProp" Target="../ctrlProps/ctrlProp232.xml"/><Relationship Id="rId42" Type="http://schemas.openxmlformats.org/officeDocument/2006/relationships/ctrlProp" Target="../ctrlProps/ctrlProp240.xml"/><Relationship Id="rId47" Type="http://schemas.openxmlformats.org/officeDocument/2006/relationships/ctrlProp" Target="../ctrlProps/ctrlProp245.xml"/><Relationship Id="rId50" Type="http://schemas.openxmlformats.org/officeDocument/2006/relationships/ctrlProp" Target="../ctrlProps/ctrlProp248.xml"/><Relationship Id="rId55" Type="http://schemas.openxmlformats.org/officeDocument/2006/relationships/comments" Target="../comments6.xml"/><Relationship Id="rId7" Type="http://schemas.openxmlformats.org/officeDocument/2006/relationships/hyperlink" Target="..\00.&#12521;&#12471;&#12456;&#12523;_General\1%20&#21508;&#26045;&#35373;&#12471;&#12501;&#12488;&#31649;&#29702;\7.&#39640;&#19992;" TargetMode="External"/><Relationship Id="rId12" Type="http://schemas.openxmlformats.org/officeDocument/2006/relationships/vmlDrawing" Target="../drawings/vmlDrawing6.vml"/><Relationship Id="rId17" Type="http://schemas.openxmlformats.org/officeDocument/2006/relationships/ctrlProp" Target="../ctrlProps/ctrlProp215.xml"/><Relationship Id="rId25" Type="http://schemas.openxmlformats.org/officeDocument/2006/relationships/ctrlProp" Target="../ctrlProps/ctrlProp223.xml"/><Relationship Id="rId33" Type="http://schemas.openxmlformats.org/officeDocument/2006/relationships/ctrlProp" Target="../ctrlProps/ctrlProp231.xml"/><Relationship Id="rId38" Type="http://schemas.openxmlformats.org/officeDocument/2006/relationships/ctrlProp" Target="../ctrlProps/ctrlProp236.xml"/><Relationship Id="rId46" Type="http://schemas.openxmlformats.org/officeDocument/2006/relationships/ctrlProp" Target="../ctrlProps/ctrlProp244.xml"/><Relationship Id="rId2" Type="http://schemas.openxmlformats.org/officeDocument/2006/relationships/hyperlink" Target="..\00.&#12521;&#12471;&#12456;&#12523;_General\1%20&#21508;&#26045;&#35373;&#12471;&#12501;&#12488;&#31649;&#29702;\7.&#39640;&#19992;" TargetMode="External"/><Relationship Id="rId16" Type="http://schemas.openxmlformats.org/officeDocument/2006/relationships/ctrlProp" Target="../ctrlProps/ctrlProp214.xml"/><Relationship Id="rId20" Type="http://schemas.openxmlformats.org/officeDocument/2006/relationships/ctrlProp" Target="../ctrlProps/ctrlProp218.xml"/><Relationship Id="rId29" Type="http://schemas.openxmlformats.org/officeDocument/2006/relationships/ctrlProp" Target="../ctrlProps/ctrlProp227.xml"/><Relationship Id="rId41" Type="http://schemas.openxmlformats.org/officeDocument/2006/relationships/ctrlProp" Target="../ctrlProps/ctrlProp239.xml"/><Relationship Id="rId54" Type="http://schemas.openxmlformats.org/officeDocument/2006/relationships/ctrlProp" Target="../ctrlProps/ctrlProp252.xml"/><Relationship Id="rId1" Type="http://schemas.openxmlformats.org/officeDocument/2006/relationships/hyperlink" Target="mailto:gyousei@&#12513;&#12540;&#12523;&#12398;&#30906;&#35469;&#12392;&#36578;&#36865;" TargetMode="External"/><Relationship Id="rId6" Type="http://schemas.openxmlformats.org/officeDocument/2006/relationships/hyperlink" Target="..\00.&#12521;&#12471;&#12456;&#12523;_General\9%20&#22312;&#23429;&#31649;&#29702;\07.&#12471;&#12501;&#12488;&#20998;&#26512;&#12471;&#12540;&#12488;" TargetMode="External"/><Relationship Id="rId11" Type="http://schemas.openxmlformats.org/officeDocument/2006/relationships/drawing" Target="../drawings/drawing6.xml"/><Relationship Id="rId24" Type="http://schemas.openxmlformats.org/officeDocument/2006/relationships/ctrlProp" Target="../ctrlProps/ctrlProp222.xml"/><Relationship Id="rId32" Type="http://schemas.openxmlformats.org/officeDocument/2006/relationships/ctrlProp" Target="../ctrlProps/ctrlProp230.xml"/><Relationship Id="rId37" Type="http://schemas.openxmlformats.org/officeDocument/2006/relationships/ctrlProp" Target="../ctrlProps/ctrlProp235.xml"/><Relationship Id="rId40" Type="http://schemas.openxmlformats.org/officeDocument/2006/relationships/ctrlProp" Target="../ctrlProps/ctrlProp238.xml"/><Relationship Id="rId45" Type="http://schemas.openxmlformats.org/officeDocument/2006/relationships/ctrlProp" Target="../ctrlProps/ctrlProp243.xml"/><Relationship Id="rId53" Type="http://schemas.openxmlformats.org/officeDocument/2006/relationships/ctrlProp" Target="../ctrlProps/ctrlProp251.xml"/><Relationship Id="rId5" Type="http://schemas.openxmlformats.org/officeDocument/2006/relationships/hyperlink" Target="..\00.&#12521;&#12471;&#12456;&#12523;_General\00%20&#23455;&#32318;&#35352;&#37682;&#34920;\&#23455;&#32318;&#35352;&#37682;&#34920;(&#35531;&#27714;&#29992;)\&#23455;&#32318;&#35352;&#37682;&#34920;&#12288;&#20445;&#23384;&#20808;\RASIEL&#39640;&#19992;&#9316;&#12288;&#9733;" TargetMode="External"/><Relationship Id="rId15" Type="http://schemas.openxmlformats.org/officeDocument/2006/relationships/ctrlProp" Target="../ctrlProps/ctrlProp213.xml"/><Relationship Id="rId23" Type="http://schemas.openxmlformats.org/officeDocument/2006/relationships/ctrlProp" Target="../ctrlProps/ctrlProp221.xml"/><Relationship Id="rId28" Type="http://schemas.openxmlformats.org/officeDocument/2006/relationships/ctrlProp" Target="../ctrlProps/ctrlProp226.xml"/><Relationship Id="rId36" Type="http://schemas.openxmlformats.org/officeDocument/2006/relationships/ctrlProp" Target="../ctrlProps/ctrlProp234.xml"/><Relationship Id="rId49" Type="http://schemas.openxmlformats.org/officeDocument/2006/relationships/ctrlProp" Target="../ctrlProps/ctrlProp247.xml"/><Relationship Id="rId10" Type="http://schemas.openxmlformats.org/officeDocument/2006/relationships/printerSettings" Target="../printerSettings/printerSettings6.bin"/><Relationship Id="rId19" Type="http://schemas.openxmlformats.org/officeDocument/2006/relationships/ctrlProp" Target="../ctrlProps/ctrlProp217.xml"/><Relationship Id="rId31" Type="http://schemas.openxmlformats.org/officeDocument/2006/relationships/ctrlProp" Target="../ctrlProps/ctrlProp229.xml"/><Relationship Id="rId44" Type="http://schemas.openxmlformats.org/officeDocument/2006/relationships/ctrlProp" Target="../ctrlProps/ctrlProp242.xml"/><Relationship Id="rId52" Type="http://schemas.openxmlformats.org/officeDocument/2006/relationships/ctrlProp" Target="../ctrlProps/ctrlProp250.xml"/><Relationship Id="rId4" Type="http://schemas.openxmlformats.org/officeDocument/2006/relationships/hyperlink" Target="..\04.&#12469;&#12499;&#31649;_&#12521;&#12471;&#12456;&#12523;\03.%20&#12372;&#20837;&#23621;&#32773;&#21033;&#29992;&#29366;&#27841;&#19968;&#35239;\&#39640;&#19992;&#9316;.xlsx" TargetMode="External"/><Relationship Id="rId9" Type="http://schemas.openxmlformats.org/officeDocument/2006/relationships/hyperlink" Target="..\00.&#12521;&#12471;&#12456;&#12523;_General\1%20&#21508;&#26045;&#35373;&#12471;&#12501;&#12488;&#31649;&#29702;\7.&#39640;&#19992;" TargetMode="External"/><Relationship Id="rId14" Type="http://schemas.openxmlformats.org/officeDocument/2006/relationships/ctrlProp" Target="../ctrlProps/ctrlProp212.xml"/><Relationship Id="rId22" Type="http://schemas.openxmlformats.org/officeDocument/2006/relationships/ctrlProp" Target="../ctrlProps/ctrlProp220.xml"/><Relationship Id="rId27" Type="http://schemas.openxmlformats.org/officeDocument/2006/relationships/ctrlProp" Target="../ctrlProps/ctrlProp225.xml"/><Relationship Id="rId30" Type="http://schemas.openxmlformats.org/officeDocument/2006/relationships/ctrlProp" Target="../ctrlProps/ctrlProp228.xml"/><Relationship Id="rId35" Type="http://schemas.openxmlformats.org/officeDocument/2006/relationships/ctrlProp" Target="../ctrlProps/ctrlProp233.xml"/><Relationship Id="rId43" Type="http://schemas.openxmlformats.org/officeDocument/2006/relationships/ctrlProp" Target="../ctrlProps/ctrlProp241.xml"/><Relationship Id="rId48" Type="http://schemas.openxmlformats.org/officeDocument/2006/relationships/ctrlProp" Target="../ctrlProps/ctrlProp246.xml"/><Relationship Id="rId56" Type="http://schemas.microsoft.com/office/2017/10/relationships/threadedComment" Target="../threadedComments/threadedComment6.xml"/><Relationship Id="rId8" Type="http://schemas.openxmlformats.org/officeDocument/2006/relationships/hyperlink" Target="..\04.&#12469;&#12499;&#31649;_&#12521;&#12471;&#12456;&#12523;\03.%20&#12372;&#20837;&#23621;&#32773;&#21033;&#29992;&#29366;&#27841;&#19968;&#35239;\&#39640;&#19992;&#9316;.xlsx" TargetMode="External"/><Relationship Id="rId51" Type="http://schemas.openxmlformats.org/officeDocument/2006/relationships/ctrlProp" Target="../ctrlProps/ctrlProp249.xml"/><Relationship Id="rId3" Type="http://schemas.openxmlformats.org/officeDocument/2006/relationships/hyperlink" Target="..\00.&#12521;&#12471;&#12456;&#12523;_General\1%20&#21508;&#26045;&#35373;&#12471;&#12501;&#12488;&#31649;&#29702;\32.&#23431;&#37117;&#23470;\2026&#24180;\2606&#12304;&#23431;&#37117;&#23470;&#12305;&#21220;&#21209;&#34920;(&#23455;&#32318;&#65289;.xlsx" TargetMode="Externa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254.xml"/><Relationship Id="rId18" Type="http://schemas.openxmlformats.org/officeDocument/2006/relationships/ctrlProp" Target="../ctrlProps/ctrlProp259.xml"/><Relationship Id="rId26" Type="http://schemas.openxmlformats.org/officeDocument/2006/relationships/ctrlProp" Target="../ctrlProps/ctrlProp267.xml"/><Relationship Id="rId39" Type="http://schemas.openxmlformats.org/officeDocument/2006/relationships/ctrlProp" Target="../ctrlProps/ctrlProp280.xml"/><Relationship Id="rId21" Type="http://schemas.openxmlformats.org/officeDocument/2006/relationships/ctrlProp" Target="../ctrlProps/ctrlProp262.xml"/><Relationship Id="rId34" Type="http://schemas.openxmlformats.org/officeDocument/2006/relationships/ctrlProp" Target="../ctrlProps/ctrlProp275.xml"/><Relationship Id="rId42" Type="http://schemas.openxmlformats.org/officeDocument/2006/relationships/ctrlProp" Target="../ctrlProps/ctrlProp283.xml"/><Relationship Id="rId47" Type="http://schemas.openxmlformats.org/officeDocument/2006/relationships/ctrlProp" Target="../ctrlProps/ctrlProp288.xml"/><Relationship Id="rId50" Type="http://schemas.openxmlformats.org/officeDocument/2006/relationships/ctrlProp" Target="../ctrlProps/ctrlProp291.xml"/><Relationship Id="rId55" Type="http://schemas.microsoft.com/office/2017/10/relationships/threadedComment" Target="../threadedComments/threadedComment7.xml"/><Relationship Id="rId7" Type="http://schemas.openxmlformats.org/officeDocument/2006/relationships/hyperlink" Target="..\..\&#21508;&#26045;&#35373;&#20849;&#26377;\Rasiel&#33833;&#19992;&#8560;\&#33833;&#19992;&#8560;&#12539;&#8561;&#65288;&#26087;&#12539;&#24029;&#36234;&#32113;&#25324;F&#65289;\&#20837;&#23621;&#32773;&#12539;&#21033;&#29992;&#32773;\SS&#12539;&#20307;&#39443;&#20104;&#32004;&#31649;&#29702;&#34920;.xlsx" TargetMode="External"/><Relationship Id="rId12" Type="http://schemas.openxmlformats.org/officeDocument/2006/relationships/ctrlProp" Target="../ctrlProps/ctrlProp253.xml"/><Relationship Id="rId17" Type="http://schemas.openxmlformats.org/officeDocument/2006/relationships/ctrlProp" Target="../ctrlProps/ctrlProp258.xml"/><Relationship Id="rId25" Type="http://schemas.openxmlformats.org/officeDocument/2006/relationships/ctrlProp" Target="../ctrlProps/ctrlProp266.xml"/><Relationship Id="rId33" Type="http://schemas.openxmlformats.org/officeDocument/2006/relationships/ctrlProp" Target="../ctrlProps/ctrlProp274.xml"/><Relationship Id="rId38" Type="http://schemas.openxmlformats.org/officeDocument/2006/relationships/ctrlProp" Target="../ctrlProps/ctrlProp279.xml"/><Relationship Id="rId46" Type="http://schemas.openxmlformats.org/officeDocument/2006/relationships/ctrlProp" Target="../ctrlProps/ctrlProp287.xml"/><Relationship Id="rId2" Type="http://schemas.openxmlformats.org/officeDocument/2006/relationships/hyperlink" Target="..\00.&#12521;&#12471;&#12456;&#12523;_General\1%20&#21508;&#26045;&#35373;&#12471;&#12501;&#12488;&#31649;&#29702;\25.&#33833;&#19992;&#8560;" TargetMode="External"/><Relationship Id="rId16" Type="http://schemas.openxmlformats.org/officeDocument/2006/relationships/ctrlProp" Target="../ctrlProps/ctrlProp257.xml"/><Relationship Id="rId20" Type="http://schemas.openxmlformats.org/officeDocument/2006/relationships/ctrlProp" Target="../ctrlProps/ctrlProp261.xml"/><Relationship Id="rId29" Type="http://schemas.openxmlformats.org/officeDocument/2006/relationships/ctrlProp" Target="../ctrlProps/ctrlProp270.xml"/><Relationship Id="rId41" Type="http://schemas.openxmlformats.org/officeDocument/2006/relationships/ctrlProp" Target="../ctrlProps/ctrlProp282.xml"/><Relationship Id="rId54" Type="http://schemas.openxmlformats.org/officeDocument/2006/relationships/comments" Target="../comments7.xml"/><Relationship Id="rId1" Type="http://schemas.openxmlformats.org/officeDocument/2006/relationships/hyperlink" Target="mailto:gyousei@&#12513;&#12540;&#12523;&#12398;&#30906;&#35469;&#12392;&#36578;&#36865;" TargetMode="External"/><Relationship Id="rId6" Type="http://schemas.openxmlformats.org/officeDocument/2006/relationships/hyperlink" Target="..\00.&#12521;&#12471;&#12456;&#12523;_General\9%20&#22312;&#23429;&#31649;&#29702;\07.&#12471;&#12501;&#12488;&#20998;&#26512;&#12471;&#12540;&#12488;" TargetMode="External"/><Relationship Id="rId11" Type="http://schemas.openxmlformats.org/officeDocument/2006/relationships/vmlDrawing" Target="../drawings/vmlDrawing7.vml"/><Relationship Id="rId24" Type="http://schemas.openxmlformats.org/officeDocument/2006/relationships/ctrlProp" Target="../ctrlProps/ctrlProp265.xml"/><Relationship Id="rId32" Type="http://schemas.openxmlformats.org/officeDocument/2006/relationships/ctrlProp" Target="../ctrlProps/ctrlProp273.xml"/><Relationship Id="rId37" Type="http://schemas.openxmlformats.org/officeDocument/2006/relationships/ctrlProp" Target="../ctrlProps/ctrlProp278.xml"/><Relationship Id="rId40" Type="http://schemas.openxmlformats.org/officeDocument/2006/relationships/ctrlProp" Target="../ctrlProps/ctrlProp281.xml"/><Relationship Id="rId45" Type="http://schemas.openxmlformats.org/officeDocument/2006/relationships/ctrlProp" Target="../ctrlProps/ctrlProp286.xml"/><Relationship Id="rId53" Type="http://schemas.openxmlformats.org/officeDocument/2006/relationships/ctrlProp" Target="../ctrlProps/ctrlProp294.xml"/><Relationship Id="rId5" Type="http://schemas.openxmlformats.org/officeDocument/2006/relationships/hyperlink" Target="..\..\&#21508;&#26045;&#35373;&#20849;&#26377;\Rasiel&#33833;&#19992;&#8560;\&#33833;&#19992;&#8560;&#12539;&#8561;&#65288;&#26087;&#12539;&#24029;&#36234;&#32113;&#25324;F&#65289;\&#20837;&#23621;&#32773;&#12539;&#21033;&#29992;&#32773;\SS&#12539;&#20307;&#39443;&#20104;&#32004;&#31649;&#29702;&#34920;.xlsx" TargetMode="External"/><Relationship Id="rId15" Type="http://schemas.openxmlformats.org/officeDocument/2006/relationships/ctrlProp" Target="../ctrlProps/ctrlProp256.xml"/><Relationship Id="rId23" Type="http://schemas.openxmlformats.org/officeDocument/2006/relationships/ctrlProp" Target="../ctrlProps/ctrlProp264.xml"/><Relationship Id="rId28" Type="http://schemas.openxmlformats.org/officeDocument/2006/relationships/ctrlProp" Target="../ctrlProps/ctrlProp269.xml"/><Relationship Id="rId36" Type="http://schemas.openxmlformats.org/officeDocument/2006/relationships/ctrlProp" Target="../ctrlProps/ctrlProp277.xml"/><Relationship Id="rId49" Type="http://schemas.openxmlformats.org/officeDocument/2006/relationships/ctrlProp" Target="../ctrlProps/ctrlProp290.xml"/><Relationship Id="rId10" Type="http://schemas.openxmlformats.org/officeDocument/2006/relationships/drawing" Target="../drawings/drawing7.xml"/><Relationship Id="rId19" Type="http://schemas.openxmlformats.org/officeDocument/2006/relationships/ctrlProp" Target="../ctrlProps/ctrlProp260.xml"/><Relationship Id="rId31" Type="http://schemas.openxmlformats.org/officeDocument/2006/relationships/ctrlProp" Target="../ctrlProps/ctrlProp272.xml"/><Relationship Id="rId44" Type="http://schemas.openxmlformats.org/officeDocument/2006/relationships/ctrlProp" Target="../ctrlProps/ctrlProp285.xml"/><Relationship Id="rId52" Type="http://schemas.openxmlformats.org/officeDocument/2006/relationships/ctrlProp" Target="../ctrlProps/ctrlProp293.xml"/><Relationship Id="rId4" Type="http://schemas.openxmlformats.org/officeDocument/2006/relationships/hyperlink" Target="..\04.&#12469;&#12499;&#31649;_&#12521;&#12471;&#12456;&#12523;\03.%20&#12372;&#20837;&#23621;&#32773;&#21033;&#29992;&#29366;&#27841;&#19968;&#35239;\&#33833;&#19992;&#8560;&#9316;.xlsx" TargetMode="External"/><Relationship Id="rId9" Type="http://schemas.openxmlformats.org/officeDocument/2006/relationships/printerSettings" Target="../printerSettings/printerSettings7.bin"/><Relationship Id="rId14" Type="http://schemas.openxmlformats.org/officeDocument/2006/relationships/ctrlProp" Target="../ctrlProps/ctrlProp255.xml"/><Relationship Id="rId22" Type="http://schemas.openxmlformats.org/officeDocument/2006/relationships/ctrlProp" Target="../ctrlProps/ctrlProp263.xml"/><Relationship Id="rId27" Type="http://schemas.openxmlformats.org/officeDocument/2006/relationships/ctrlProp" Target="../ctrlProps/ctrlProp268.xml"/><Relationship Id="rId30" Type="http://schemas.openxmlformats.org/officeDocument/2006/relationships/ctrlProp" Target="../ctrlProps/ctrlProp271.xml"/><Relationship Id="rId35" Type="http://schemas.openxmlformats.org/officeDocument/2006/relationships/ctrlProp" Target="../ctrlProps/ctrlProp276.xml"/><Relationship Id="rId43" Type="http://schemas.openxmlformats.org/officeDocument/2006/relationships/ctrlProp" Target="../ctrlProps/ctrlProp284.xml"/><Relationship Id="rId48" Type="http://schemas.openxmlformats.org/officeDocument/2006/relationships/ctrlProp" Target="../ctrlProps/ctrlProp289.xml"/><Relationship Id="rId8" Type="http://schemas.openxmlformats.org/officeDocument/2006/relationships/hyperlink" Target="..\00.&#12521;&#12471;&#12456;&#12523;_General\1%20&#21508;&#26045;&#35373;&#12471;&#12501;&#12488;&#31649;&#29702;\25.&#33833;&#19992;&#8560;" TargetMode="External"/><Relationship Id="rId51" Type="http://schemas.openxmlformats.org/officeDocument/2006/relationships/ctrlProp" Target="../ctrlProps/ctrlProp292.xml"/><Relationship Id="rId3" Type="http://schemas.openxmlformats.org/officeDocument/2006/relationships/hyperlink" Target="..\00.&#12521;&#12471;&#12456;&#12523;_General\1%20&#21508;&#26045;&#35373;&#12471;&#12501;&#12488;&#31649;&#29702;\32.&#23431;&#37117;&#23470;\2026&#24180;\2606&#12304;&#23431;&#37117;&#23470;&#12305;&#21220;&#21209;&#34920;(&#23455;&#32318;&#65289;.xlsx" TargetMode="External"/></Relationships>
</file>

<file path=xl/worksheets/_rels/sheet10.xml.rels><?xml version="1.0" encoding="UTF-8" standalone="yes"?>
<Relationships xmlns="http://schemas.openxmlformats.org/package/2006/relationships"><Relationship Id="rId13" Type="http://schemas.openxmlformats.org/officeDocument/2006/relationships/ctrlProp" Target="../ctrlProps/ctrlProp299.xml"/><Relationship Id="rId18" Type="http://schemas.openxmlformats.org/officeDocument/2006/relationships/ctrlProp" Target="../ctrlProps/ctrlProp304.xml"/><Relationship Id="rId26" Type="http://schemas.openxmlformats.org/officeDocument/2006/relationships/ctrlProp" Target="../ctrlProps/ctrlProp312.xml"/><Relationship Id="rId39" Type="http://schemas.openxmlformats.org/officeDocument/2006/relationships/ctrlProp" Target="../ctrlProps/ctrlProp325.xml"/><Relationship Id="rId3" Type="http://schemas.openxmlformats.org/officeDocument/2006/relationships/hyperlink" Target="..\00.&#12521;&#12471;&#12456;&#12523;_General\1%20&#21508;&#26045;&#35373;&#12471;&#12501;&#12488;&#31649;&#29702;\32.&#23431;&#37117;&#23470;\2026&#24180;\2606&#12304;&#23431;&#37117;&#23470;&#12305;&#21220;&#21209;&#34920;(&#23455;&#32318;&#65289;.xlsx" TargetMode="External"/><Relationship Id="rId21" Type="http://schemas.openxmlformats.org/officeDocument/2006/relationships/ctrlProp" Target="../ctrlProps/ctrlProp307.xml"/><Relationship Id="rId34" Type="http://schemas.openxmlformats.org/officeDocument/2006/relationships/ctrlProp" Target="../ctrlProps/ctrlProp320.xml"/><Relationship Id="rId42" Type="http://schemas.openxmlformats.org/officeDocument/2006/relationships/ctrlProp" Target="../ctrlProps/ctrlProp328.xml"/><Relationship Id="rId47" Type="http://schemas.openxmlformats.org/officeDocument/2006/relationships/ctrlProp" Target="../ctrlProps/ctrlProp333.xml"/><Relationship Id="rId50" Type="http://schemas.openxmlformats.org/officeDocument/2006/relationships/ctrlProp" Target="../ctrlProps/ctrlProp336.xml"/><Relationship Id="rId7" Type="http://schemas.openxmlformats.org/officeDocument/2006/relationships/drawing" Target="../drawings/drawing8.xml"/><Relationship Id="rId12" Type="http://schemas.openxmlformats.org/officeDocument/2006/relationships/ctrlProp" Target="../ctrlProps/ctrlProp298.xml"/><Relationship Id="rId17" Type="http://schemas.openxmlformats.org/officeDocument/2006/relationships/ctrlProp" Target="../ctrlProps/ctrlProp303.xml"/><Relationship Id="rId25" Type="http://schemas.openxmlformats.org/officeDocument/2006/relationships/ctrlProp" Target="../ctrlProps/ctrlProp311.xml"/><Relationship Id="rId33" Type="http://schemas.openxmlformats.org/officeDocument/2006/relationships/ctrlProp" Target="../ctrlProps/ctrlProp319.xml"/><Relationship Id="rId38" Type="http://schemas.openxmlformats.org/officeDocument/2006/relationships/ctrlProp" Target="../ctrlProps/ctrlProp324.xml"/><Relationship Id="rId46" Type="http://schemas.openxmlformats.org/officeDocument/2006/relationships/ctrlProp" Target="../ctrlProps/ctrlProp332.xml"/><Relationship Id="rId2" Type="http://schemas.openxmlformats.org/officeDocument/2006/relationships/hyperlink" Target="..\00.&#12521;&#12471;&#12456;&#12523;_General\1%20&#21508;&#26045;&#35373;&#12471;&#12501;&#12488;&#31649;&#29702;\32.&#23431;&#37117;&#23470;\2026&#24180;\2606&#12304;&#23431;&#37117;&#23470;&#12305;&#21220;&#21209;&#34920;(&#23455;&#32318;&#65289;.xlsx" TargetMode="External"/><Relationship Id="rId16" Type="http://schemas.openxmlformats.org/officeDocument/2006/relationships/ctrlProp" Target="../ctrlProps/ctrlProp302.xml"/><Relationship Id="rId20" Type="http://schemas.openxmlformats.org/officeDocument/2006/relationships/ctrlProp" Target="../ctrlProps/ctrlProp306.xml"/><Relationship Id="rId29" Type="http://schemas.openxmlformats.org/officeDocument/2006/relationships/ctrlProp" Target="../ctrlProps/ctrlProp315.xml"/><Relationship Id="rId41" Type="http://schemas.openxmlformats.org/officeDocument/2006/relationships/ctrlProp" Target="../ctrlProps/ctrlProp327.xml"/><Relationship Id="rId1" Type="http://schemas.openxmlformats.org/officeDocument/2006/relationships/hyperlink" Target="mailto:gyousei@&#12513;&#12540;&#12523;&#12398;&#30906;&#35469;&#12392;&#36578;&#36865;" TargetMode="External"/><Relationship Id="rId6" Type="http://schemas.openxmlformats.org/officeDocument/2006/relationships/printerSettings" Target="../printerSettings/printerSettings8.bin"/><Relationship Id="rId11" Type="http://schemas.openxmlformats.org/officeDocument/2006/relationships/ctrlProp" Target="../ctrlProps/ctrlProp297.xml"/><Relationship Id="rId24" Type="http://schemas.openxmlformats.org/officeDocument/2006/relationships/ctrlProp" Target="../ctrlProps/ctrlProp310.xml"/><Relationship Id="rId32" Type="http://schemas.openxmlformats.org/officeDocument/2006/relationships/ctrlProp" Target="../ctrlProps/ctrlProp318.xml"/><Relationship Id="rId37" Type="http://schemas.openxmlformats.org/officeDocument/2006/relationships/ctrlProp" Target="../ctrlProps/ctrlProp323.xml"/><Relationship Id="rId40" Type="http://schemas.openxmlformats.org/officeDocument/2006/relationships/ctrlProp" Target="../ctrlProps/ctrlProp326.xml"/><Relationship Id="rId45" Type="http://schemas.openxmlformats.org/officeDocument/2006/relationships/ctrlProp" Target="../ctrlProps/ctrlProp331.xml"/><Relationship Id="rId5" Type="http://schemas.openxmlformats.org/officeDocument/2006/relationships/hyperlink" Target="..\00.&#12521;&#12471;&#12456;&#12523;_General\9%20&#22312;&#23429;&#31649;&#29702;\07.&#12471;&#12501;&#12488;&#20998;&#26512;&#12471;&#12540;&#12488;" TargetMode="External"/><Relationship Id="rId15" Type="http://schemas.openxmlformats.org/officeDocument/2006/relationships/ctrlProp" Target="../ctrlProps/ctrlProp301.xml"/><Relationship Id="rId23" Type="http://schemas.openxmlformats.org/officeDocument/2006/relationships/ctrlProp" Target="../ctrlProps/ctrlProp309.xml"/><Relationship Id="rId28" Type="http://schemas.openxmlformats.org/officeDocument/2006/relationships/ctrlProp" Target="../ctrlProps/ctrlProp314.xml"/><Relationship Id="rId36" Type="http://schemas.openxmlformats.org/officeDocument/2006/relationships/ctrlProp" Target="../ctrlProps/ctrlProp322.xml"/><Relationship Id="rId49" Type="http://schemas.openxmlformats.org/officeDocument/2006/relationships/ctrlProp" Target="../ctrlProps/ctrlProp335.xml"/><Relationship Id="rId10" Type="http://schemas.openxmlformats.org/officeDocument/2006/relationships/ctrlProp" Target="../ctrlProps/ctrlProp296.xml"/><Relationship Id="rId19" Type="http://schemas.openxmlformats.org/officeDocument/2006/relationships/ctrlProp" Target="../ctrlProps/ctrlProp305.xml"/><Relationship Id="rId31" Type="http://schemas.openxmlformats.org/officeDocument/2006/relationships/ctrlProp" Target="../ctrlProps/ctrlProp317.xml"/><Relationship Id="rId44" Type="http://schemas.openxmlformats.org/officeDocument/2006/relationships/ctrlProp" Target="../ctrlProps/ctrlProp330.xml"/><Relationship Id="rId52" Type="http://schemas.microsoft.com/office/2017/10/relationships/threadedComment" Target="../threadedComments/threadedComment8.xml"/><Relationship Id="rId4" Type="http://schemas.openxmlformats.org/officeDocument/2006/relationships/hyperlink" Target="..\04.&#12469;&#12499;&#31649;_&#12521;&#12471;&#12456;&#12523;\03.%20&#12372;&#20837;&#23621;&#32773;&#21033;&#29992;&#29366;&#27841;&#19968;&#35239;\&#33833;&#19992;&#8561;&#9316;.xlsx" TargetMode="External"/><Relationship Id="rId9" Type="http://schemas.openxmlformats.org/officeDocument/2006/relationships/ctrlProp" Target="../ctrlProps/ctrlProp295.xml"/><Relationship Id="rId14" Type="http://schemas.openxmlformats.org/officeDocument/2006/relationships/ctrlProp" Target="../ctrlProps/ctrlProp300.xml"/><Relationship Id="rId22" Type="http://schemas.openxmlformats.org/officeDocument/2006/relationships/ctrlProp" Target="../ctrlProps/ctrlProp308.xml"/><Relationship Id="rId27" Type="http://schemas.openxmlformats.org/officeDocument/2006/relationships/ctrlProp" Target="../ctrlProps/ctrlProp313.xml"/><Relationship Id="rId30" Type="http://schemas.openxmlformats.org/officeDocument/2006/relationships/ctrlProp" Target="../ctrlProps/ctrlProp316.xml"/><Relationship Id="rId35" Type="http://schemas.openxmlformats.org/officeDocument/2006/relationships/ctrlProp" Target="../ctrlProps/ctrlProp321.xml"/><Relationship Id="rId43" Type="http://schemas.openxmlformats.org/officeDocument/2006/relationships/ctrlProp" Target="../ctrlProps/ctrlProp329.xml"/><Relationship Id="rId48" Type="http://schemas.openxmlformats.org/officeDocument/2006/relationships/ctrlProp" Target="../ctrlProps/ctrlProp334.xml"/><Relationship Id="rId8" Type="http://schemas.openxmlformats.org/officeDocument/2006/relationships/vmlDrawing" Target="../drawings/vmlDrawing8.vml"/><Relationship Id="rId51"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338.xml"/><Relationship Id="rId18" Type="http://schemas.openxmlformats.org/officeDocument/2006/relationships/ctrlProp" Target="../ctrlProps/ctrlProp343.xml"/><Relationship Id="rId26" Type="http://schemas.openxmlformats.org/officeDocument/2006/relationships/ctrlProp" Target="../ctrlProps/ctrlProp351.xml"/><Relationship Id="rId39" Type="http://schemas.openxmlformats.org/officeDocument/2006/relationships/ctrlProp" Target="../ctrlProps/ctrlProp364.xml"/><Relationship Id="rId21" Type="http://schemas.openxmlformats.org/officeDocument/2006/relationships/ctrlProp" Target="../ctrlProps/ctrlProp346.xml"/><Relationship Id="rId34" Type="http://schemas.openxmlformats.org/officeDocument/2006/relationships/ctrlProp" Target="../ctrlProps/ctrlProp359.xml"/><Relationship Id="rId42" Type="http://schemas.openxmlformats.org/officeDocument/2006/relationships/ctrlProp" Target="../ctrlProps/ctrlProp367.xml"/><Relationship Id="rId47" Type="http://schemas.openxmlformats.org/officeDocument/2006/relationships/ctrlProp" Target="../ctrlProps/ctrlProp372.xml"/><Relationship Id="rId50" Type="http://schemas.openxmlformats.org/officeDocument/2006/relationships/ctrlProp" Target="../ctrlProps/ctrlProp375.xml"/><Relationship Id="rId55" Type="http://schemas.microsoft.com/office/2017/10/relationships/threadedComment" Target="../threadedComments/threadedComment9.xml"/><Relationship Id="rId7" Type="http://schemas.openxmlformats.org/officeDocument/2006/relationships/hyperlink" Target="..\00.&#12521;&#12471;&#12456;&#12523;_General\1%20&#21508;&#26045;&#35373;&#12471;&#12501;&#12488;&#31649;&#29702;\36.&#35199;&#27973;&#30000;" TargetMode="External"/><Relationship Id="rId12" Type="http://schemas.openxmlformats.org/officeDocument/2006/relationships/ctrlProp" Target="../ctrlProps/ctrlProp337.xml"/><Relationship Id="rId17" Type="http://schemas.openxmlformats.org/officeDocument/2006/relationships/ctrlProp" Target="../ctrlProps/ctrlProp342.xml"/><Relationship Id="rId25" Type="http://schemas.openxmlformats.org/officeDocument/2006/relationships/ctrlProp" Target="../ctrlProps/ctrlProp350.xml"/><Relationship Id="rId33" Type="http://schemas.openxmlformats.org/officeDocument/2006/relationships/ctrlProp" Target="../ctrlProps/ctrlProp358.xml"/><Relationship Id="rId38" Type="http://schemas.openxmlformats.org/officeDocument/2006/relationships/ctrlProp" Target="../ctrlProps/ctrlProp363.xml"/><Relationship Id="rId46" Type="http://schemas.openxmlformats.org/officeDocument/2006/relationships/ctrlProp" Target="../ctrlProps/ctrlProp371.xml"/><Relationship Id="rId2" Type="http://schemas.openxmlformats.org/officeDocument/2006/relationships/hyperlink" Target="..\00.&#12521;&#12471;&#12456;&#12523;_General\1%20&#21508;&#26045;&#35373;&#12471;&#12501;&#12488;&#31649;&#29702;\36.&#35199;&#27973;&#30000;" TargetMode="External"/><Relationship Id="rId16" Type="http://schemas.openxmlformats.org/officeDocument/2006/relationships/ctrlProp" Target="../ctrlProps/ctrlProp341.xml"/><Relationship Id="rId20" Type="http://schemas.openxmlformats.org/officeDocument/2006/relationships/ctrlProp" Target="../ctrlProps/ctrlProp345.xml"/><Relationship Id="rId29" Type="http://schemas.openxmlformats.org/officeDocument/2006/relationships/ctrlProp" Target="../ctrlProps/ctrlProp354.xml"/><Relationship Id="rId41" Type="http://schemas.openxmlformats.org/officeDocument/2006/relationships/ctrlProp" Target="../ctrlProps/ctrlProp366.xml"/><Relationship Id="rId54" Type="http://schemas.openxmlformats.org/officeDocument/2006/relationships/comments" Target="../comments9.xml"/><Relationship Id="rId1" Type="http://schemas.openxmlformats.org/officeDocument/2006/relationships/hyperlink" Target="mailto:gyousei@&#12513;&#12540;&#12523;&#12398;&#30906;&#35469;&#12392;&#36578;&#36865;" TargetMode="External"/><Relationship Id="rId6" Type="http://schemas.openxmlformats.org/officeDocument/2006/relationships/hyperlink" Target="..\..\&#21508;&#26045;&#35373;&#20849;&#26377;\Rasiel&#35199;&#27973;&#30000;%20i\&#9733;&#9733;SS&#20104;&#32004;&#34920;%20(&#35199;&#27973;&#30000;)5.29&#26356;&#26032;.xlsx" TargetMode="External"/><Relationship Id="rId11" Type="http://schemas.openxmlformats.org/officeDocument/2006/relationships/vmlDrawing" Target="../drawings/vmlDrawing9.vml"/><Relationship Id="rId24" Type="http://schemas.openxmlformats.org/officeDocument/2006/relationships/ctrlProp" Target="../ctrlProps/ctrlProp349.xml"/><Relationship Id="rId32" Type="http://schemas.openxmlformats.org/officeDocument/2006/relationships/ctrlProp" Target="../ctrlProps/ctrlProp357.xml"/><Relationship Id="rId37" Type="http://schemas.openxmlformats.org/officeDocument/2006/relationships/ctrlProp" Target="../ctrlProps/ctrlProp362.xml"/><Relationship Id="rId40" Type="http://schemas.openxmlformats.org/officeDocument/2006/relationships/ctrlProp" Target="../ctrlProps/ctrlProp365.xml"/><Relationship Id="rId45" Type="http://schemas.openxmlformats.org/officeDocument/2006/relationships/ctrlProp" Target="../ctrlProps/ctrlProp370.xml"/><Relationship Id="rId53" Type="http://schemas.openxmlformats.org/officeDocument/2006/relationships/ctrlProp" Target="../ctrlProps/ctrlProp378.xml"/><Relationship Id="rId5" Type="http://schemas.openxmlformats.org/officeDocument/2006/relationships/hyperlink" Target="..\00.&#12521;&#12471;&#12456;&#12523;_General\9%20&#22312;&#23429;&#31649;&#29702;\07.&#12471;&#12501;&#12488;&#20998;&#26512;&#12471;&#12540;&#12488;" TargetMode="External"/><Relationship Id="rId15" Type="http://schemas.openxmlformats.org/officeDocument/2006/relationships/ctrlProp" Target="../ctrlProps/ctrlProp340.xml"/><Relationship Id="rId23" Type="http://schemas.openxmlformats.org/officeDocument/2006/relationships/ctrlProp" Target="../ctrlProps/ctrlProp348.xml"/><Relationship Id="rId28" Type="http://schemas.openxmlformats.org/officeDocument/2006/relationships/ctrlProp" Target="../ctrlProps/ctrlProp353.xml"/><Relationship Id="rId36" Type="http://schemas.openxmlformats.org/officeDocument/2006/relationships/ctrlProp" Target="../ctrlProps/ctrlProp361.xml"/><Relationship Id="rId49" Type="http://schemas.openxmlformats.org/officeDocument/2006/relationships/ctrlProp" Target="../ctrlProps/ctrlProp374.xml"/><Relationship Id="rId10" Type="http://schemas.openxmlformats.org/officeDocument/2006/relationships/drawing" Target="../drawings/drawing9.xml"/><Relationship Id="rId19" Type="http://schemas.openxmlformats.org/officeDocument/2006/relationships/ctrlProp" Target="../ctrlProps/ctrlProp344.xml"/><Relationship Id="rId31" Type="http://schemas.openxmlformats.org/officeDocument/2006/relationships/ctrlProp" Target="../ctrlProps/ctrlProp356.xml"/><Relationship Id="rId44" Type="http://schemas.openxmlformats.org/officeDocument/2006/relationships/ctrlProp" Target="../ctrlProps/ctrlProp369.xml"/><Relationship Id="rId52" Type="http://schemas.openxmlformats.org/officeDocument/2006/relationships/ctrlProp" Target="../ctrlProps/ctrlProp377.xml"/><Relationship Id="rId4" Type="http://schemas.openxmlformats.org/officeDocument/2006/relationships/hyperlink" Target="..\..\&#21508;&#26045;&#35373;&#20849;&#26377;\Rasiel&#35199;&#27973;&#30000;%20i\&#9733;&#9733;SS&#20104;&#32004;&#34920;%20(&#35199;&#27973;&#30000;)5.29&#26356;&#26032;.xlsx" TargetMode="External"/><Relationship Id="rId9" Type="http://schemas.openxmlformats.org/officeDocument/2006/relationships/printerSettings" Target="../printerSettings/printerSettings9.bin"/><Relationship Id="rId14" Type="http://schemas.openxmlformats.org/officeDocument/2006/relationships/ctrlProp" Target="../ctrlProps/ctrlProp339.xml"/><Relationship Id="rId22" Type="http://schemas.openxmlformats.org/officeDocument/2006/relationships/ctrlProp" Target="../ctrlProps/ctrlProp347.xml"/><Relationship Id="rId27" Type="http://schemas.openxmlformats.org/officeDocument/2006/relationships/ctrlProp" Target="../ctrlProps/ctrlProp352.xml"/><Relationship Id="rId30" Type="http://schemas.openxmlformats.org/officeDocument/2006/relationships/ctrlProp" Target="../ctrlProps/ctrlProp355.xml"/><Relationship Id="rId35" Type="http://schemas.openxmlformats.org/officeDocument/2006/relationships/ctrlProp" Target="../ctrlProps/ctrlProp360.xml"/><Relationship Id="rId43" Type="http://schemas.openxmlformats.org/officeDocument/2006/relationships/ctrlProp" Target="../ctrlProps/ctrlProp368.xml"/><Relationship Id="rId48" Type="http://schemas.openxmlformats.org/officeDocument/2006/relationships/ctrlProp" Target="../ctrlProps/ctrlProp373.xml"/><Relationship Id="rId8" Type="http://schemas.openxmlformats.org/officeDocument/2006/relationships/hyperlink" Target="..\04.&#12469;&#12499;&#31649;_&#12521;&#12471;&#12456;&#12523;\03.%20&#12372;&#20837;&#23621;&#32773;&#21033;&#29992;&#29366;&#27841;&#19968;&#35239;\&#35199;&#27973;&#30000;&#9316;.xlsx" TargetMode="External"/><Relationship Id="rId51" Type="http://schemas.openxmlformats.org/officeDocument/2006/relationships/ctrlProp" Target="../ctrlProps/ctrlProp376.xml"/><Relationship Id="rId3" Type="http://schemas.openxmlformats.org/officeDocument/2006/relationships/hyperlink" Target="..\04.&#12469;&#12499;&#31649;_&#12521;&#12471;&#12456;&#12523;\03.%20&#12372;&#20837;&#23621;&#32773;&#21033;&#29992;&#29366;&#27841;&#19968;&#35239;\&#35199;&#27973;&#30000;&#9316;.xlsx"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652FC-FFD8-4F04-B68B-CE118ACF7447}">
  <dimension ref="A1:F10"/>
  <sheetViews>
    <sheetView workbookViewId="0"/>
  </sheetViews>
  <sheetFormatPr defaultRowHeight="18"/>
  <cols>
    <col min="1" max="1" width="6.6640625" bestFit="1" customWidth="1"/>
    <col min="2" max="5" width="10.6640625" bestFit="1" customWidth="1"/>
    <col min="6" max="6" width="64.9140625" bestFit="1" customWidth="1"/>
  </cols>
  <sheetData>
    <row r="1" spans="1:6">
      <c r="A1" s="286" t="s">
        <v>953</v>
      </c>
      <c r="B1" s="286" t="s">
        <v>32</v>
      </c>
      <c r="C1" s="286" t="s">
        <v>954</v>
      </c>
      <c r="D1" s="288">
        <v>0.95</v>
      </c>
      <c r="E1" s="286" t="s">
        <v>955</v>
      </c>
      <c r="F1" s="286" t="s">
        <v>956</v>
      </c>
    </row>
    <row r="2" spans="1:6">
      <c r="A2" t="s">
        <v>920</v>
      </c>
      <c r="B2" t="s">
        <v>959</v>
      </c>
      <c r="C2" t="s">
        <v>960</v>
      </c>
      <c r="D2" t="s">
        <v>961</v>
      </c>
      <c r="E2" t="s">
        <v>962</v>
      </c>
      <c r="F2" t="s">
        <v>963</v>
      </c>
    </row>
    <row r="3" spans="1:6">
      <c r="A3" t="s">
        <v>147</v>
      </c>
      <c r="B3" t="s">
        <v>964</v>
      </c>
      <c r="C3" t="s">
        <v>965</v>
      </c>
      <c r="D3" t="s">
        <v>966</v>
      </c>
      <c r="E3" t="s">
        <v>967</v>
      </c>
      <c r="F3" t="s">
        <v>968</v>
      </c>
    </row>
    <row r="4" spans="1:6">
      <c r="A4" t="s">
        <v>146</v>
      </c>
      <c r="B4" t="s">
        <v>969</v>
      </c>
      <c r="C4" t="s">
        <v>970</v>
      </c>
      <c r="D4" t="s">
        <v>971</v>
      </c>
      <c r="E4" t="s">
        <v>972</v>
      </c>
      <c r="F4" t="s">
        <v>968</v>
      </c>
    </row>
    <row r="5" spans="1:6">
      <c r="A5" t="s">
        <v>144</v>
      </c>
      <c r="B5" t="s">
        <v>973</v>
      </c>
      <c r="C5" t="s">
        <v>974</v>
      </c>
      <c r="D5" t="s">
        <v>975</v>
      </c>
      <c r="E5" t="s">
        <v>976</v>
      </c>
      <c r="F5" t="s">
        <v>968</v>
      </c>
    </row>
    <row r="6" spans="1:6">
      <c r="A6" t="s">
        <v>380</v>
      </c>
      <c r="B6" t="s">
        <v>977</v>
      </c>
      <c r="C6" t="s">
        <v>978</v>
      </c>
      <c r="D6" t="s">
        <v>979</v>
      </c>
      <c r="E6" t="s">
        <v>980</v>
      </c>
      <c r="F6" t="s">
        <v>968</v>
      </c>
    </row>
    <row r="7" spans="1:6">
      <c r="A7" t="s">
        <v>143</v>
      </c>
      <c r="B7" t="s">
        <v>981</v>
      </c>
      <c r="C7" t="s">
        <v>982</v>
      </c>
      <c r="D7" t="s">
        <v>983</v>
      </c>
      <c r="E7" t="s">
        <v>984</v>
      </c>
      <c r="F7" t="s">
        <v>968</v>
      </c>
    </row>
    <row r="8" spans="1:6">
      <c r="A8" t="s">
        <v>985</v>
      </c>
      <c r="B8" t="s">
        <v>986</v>
      </c>
      <c r="C8" t="s">
        <v>987</v>
      </c>
      <c r="D8" t="s">
        <v>988</v>
      </c>
      <c r="E8" t="s">
        <v>989</v>
      </c>
      <c r="F8" t="s">
        <v>968</v>
      </c>
    </row>
    <row r="9" spans="1:6">
      <c r="A9" t="s">
        <v>379</v>
      </c>
      <c r="B9" t="s">
        <v>990</v>
      </c>
      <c r="C9" t="s">
        <v>991</v>
      </c>
      <c r="D9" t="s">
        <v>992</v>
      </c>
      <c r="E9" t="s">
        <v>993</v>
      </c>
      <c r="F9" t="s">
        <v>968</v>
      </c>
    </row>
    <row r="10" spans="1:6">
      <c r="A10" t="s">
        <v>378</v>
      </c>
      <c r="B10" t="s">
        <v>994</v>
      </c>
      <c r="C10" t="s">
        <v>995</v>
      </c>
      <c r="D10" t="s">
        <v>996</v>
      </c>
      <c r="E10" t="s">
        <v>997</v>
      </c>
      <c r="F10" t="s">
        <v>968</v>
      </c>
    </row>
  </sheetData>
  <phoneticPr fontId="2"/>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F4DA9-ABAE-471A-AD63-68988E07BDF0}">
  <dimension ref="A1:Q14"/>
  <sheetViews>
    <sheetView tabSelected="1" topLeftCell="A3" workbookViewId="0">
      <selection activeCell="G5" sqref="G5"/>
    </sheetView>
  </sheetViews>
  <sheetFormatPr defaultRowHeight="18"/>
  <cols>
    <col min="1" max="1" width="13.58203125" customWidth="1"/>
    <col min="2" max="2" width="11.58203125" customWidth="1"/>
    <col min="3" max="3" width="13.58203125" customWidth="1"/>
    <col min="4" max="5" width="10.58203125" customWidth="1"/>
    <col min="6" max="7" width="12.58203125" customWidth="1"/>
    <col min="8" max="9" width="11.58203125" customWidth="1"/>
    <col min="10" max="10" width="26.58203125" customWidth="1"/>
    <col min="11" max="11" width="30.58203125" customWidth="1"/>
    <col min="12" max="12" width="13.58203125" customWidth="1"/>
  </cols>
  <sheetData>
    <row r="1" spans="1:17" ht="26.5">
      <c r="A1" s="298" t="s">
        <v>952</v>
      </c>
      <c r="B1" s="299"/>
      <c r="C1" s="299"/>
      <c r="D1" s="299"/>
      <c r="E1" s="299"/>
      <c r="F1" s="299"/>
      <c r="G1" s="299"/>
      <c r="H1" s="299"/>
      <c r="I1" s="299"/>
      <c r="J1" s="299"/>
      <c r="K1" s="299"/>
      <c r="L1" s="299"/>
    </row>
    <row r="5" spans="1:17" ht="24" customHeight="1">
      <c r="A5" s="293" t="s">
        <v>999</v>
      </c>
      <c r="B5" s="293" t="s">
        <v>1000</v>
      </c>
      <c r="C5" s="293" t="s">
        <v>1001</v>
      </c>
      <c r="D5" s="294" t="s">
        <v>955</v>
      </c>
      <c r="E5" s="293" t="s">
        <v>1002</v>
      </c>
      <c r="F5" s="293" t="s">
        <v>1003</v>
      </c>
      <c r="G5" s="293" t="s">
        <v>1004</v>
      </c>
      <c r="H5" s="293" t="s">
        <v>1005</v>
      </c>
      <c r="I5" s="293" t="s">
        <v>1006</v>
      </c>
      <c r="J5" s="293" t="s">
        <v>1007</v>
      </c>
      <c r="K5" s="293" t="s">
        <v>1008</v>
      </c>
      <c r="L5" s="293" t="s">
        <v>1009</v>
      </c>
      <c r="M5" s="295" t="s">
        <v>1010</v>
      </c>
      <c r="N5" s="295" t="s">
        <v>1011</v>
      </c>
      <c r="O5" s="295" t="s">
        <v>1012</v>
      </c>
      <c r="P5" s="287" t="s">
        <v>957</v>
      </c>
      <c r="Q5" s="287" t="s">
        <v>958</v>
      </c>
    </row>
    <row r="6" spans="1:17" ht="36">
      <c r="A6" s="289" t="str">
        <f>HYPERLINK("#'宇都宮'!A1","宇都宮")</f>
        <v>宇都宮</v>
      </c>
      <c r="B6" s="290">
        <f>宇都宮!$G$18</f>
        <v>19</v>
      </c>
      <c r="C6" s="291">
        <f ca="1">宇都宮!$G$20</f>
        <v>0.92500000000000004</v>
      </c>
      <c r="D6" s="291">
        <f t="shared" ref="D6:D14" ca="1" si="0">C6-95%</f>
        <v>-2.4999999999999911E-2</v>
      </c>
      <c r="E6" s="291" t="str">
        <f t="shared" ref="E6:E14" ca="1" si="1">IF(C6="","未入力",IF(C6&lt;95%,"要対応","OK"))</f>
        <v>要対応</v>
      </c>
      <c r="F6" s="291">
        <f>宇都宮!$G$24</f>
        <v>8.3333333333333329E-2</v>
      </c>
      <c r="G6" s="291">
        <f ca="1">宇都宮!$G$12</f>
        <v>0.28191489361702127</v>
      </c>
      <c r="H6" s="296">
        <f>HYPERLINK("#'宇都宮'!BZ3",SUM(COUNTIF(宇都宮!$BQ$37:$BQ$42,FALSE),COUNTIF(宇都宮!$BZ$3:$BZ$16,FALSE),COUNTIF(宇都宮!$BZ$19:$BZ$33,FALSE),COUNTIF(宇都宮!$BZ$36:$BZ$42,FALSE)))</f>
        <v>42</v>
      </c>
      <c r="I6" s="297">
        <f ca="1">SUM(IFERROR(INDEX(宇都宮!$AL$38:$BH$38,1,1+2*MOD(MONTH(TODAY())+8,12)),0),IFERROR(INDEX(宇都宮!$AL$42:$BH$42,1,1+2*MOD(MONTH(TODAY())+8,12)),0))</f>
        <v>1</v>
      </c>
      <c r="J6" s="290" t="str">
        <f t="shared" ref="J6:J14" ca="1" si="2">_xlfn.TEXTJOIN(" / ",TRUE,IF(C6&lt;95%,"稼働率未達",""),IF(IFERROR(VALUE(H6),H6)&gt;=10,"タスク未完了多数",""),IF(I6&gt;0,"事故苦情あり",""))</f>
        <v>稼働率未達 / タスク未完了多数 / 事故苦情あり</v>
      </c>
      <c r="K6" s="292"/>
      <c r="L6" s="292"/>
    </row>
    <row r="7" spans="1:17">
      <c r="A7" s="289" t="str">
        <f>HYPERLINK("#'南中丸'!A1","南中丸")</f>
        <v>南中丸</v>
      </c>
      <c r="B7" s="290">
        <f>南中丸!$G$18</f>
        <v>20</v>
      </c>
      <c r="C7" s="291">
        <f>南中丸!$G$20</f>
        <v>0.8666666666666667</v>
      </c>
      <c r="D7" s="291">
        <f t="shared" si="0"/>
        <v>-8.3333333333333259E-2</v>
      </c>
      <c r="E7" s="291" t="str">
        <f t="shared" si="1"/>
        <v>要対応</v>
      </c>
      <c r="F7" s="291">
        <f>南中丸!$G$24</f>
        <v>1.0333333333333334</v>
      </c>
      <c r="G7" s="291">
        <f ca="1">南中丸!$G$12</f>
        <v>0.3935483870967742</v>
      </c>
      <c r="H7" s="296">
        <f>HYPERLINK("#'南中丸'!BW3",SUM(COUNTIF(南中丸!$BQ$37:$BQ$42,FALSE),COUNTIF(南中丸!$BW$3:$BW$16,FALSE),COUNTIF(南中丸!$BW$19:$BW$33,FALSE),COUNTIF(南中丸!$BW$36:$BW$42,FALSE)))</f>
        <v>42</v>
      </c>
      <c r="I7" s="297">
        <f ca="1">SUM(IFERROR(INDEX(南中丸!$AL$38:$BH$38,1,1+2*MOD(MONTH(TODAY())+8,12)),0),IFERROR(INDEX(南中丸!$AL$42:$BH$42,1,1+2*MOD(MONTH(TODAY())+8,12)),0))</f>
        <v>0</v>
      </c>
      <c r="J7" s="290" t="str">
        <f t="shared" ca="1" si="2"/>
        <v>稼働率未達 / タスク未完了多数</v>
      </c>
      <c r="K7" s="292"/>
      <c r="L7" s="292"/>
    </row>
    <row r="8" spans="1:17">
      <c r="A8" s="289" t="str">
        <f>HYPERLINK("#'春日部'!A1","春日部")</f>
        <v>春日部</v>
      </c>
      <c r="B8" s="290">
        <f>春日部!$G$18</f>
        <v>20</v>
      </c>
      <c r="C8" s="291">
        <f>春日部!$G$20</f>
        <v>0.9966666666666667</v>
      </c>
      <c r="D8" s="291">
        <f t="shared" si="0"/>
        <v>4.6666666666666745E-2</v>
      </c>
      <c r="E8" s="291" t="str">
        <f t="shared" si="1"/>
        <v>OK</v>
      </c>
      <c r="F8" s="291">
        <f>春日部!$G$24</f>
        <v>0.85</v>
      </c>
      <c r="G8" s="291">
        <f ca="1">春日部!$G$12</f>
        <v>0.21844660194174756</v>
      </c>
      <c r="H8" s="296">
        <f>HYPERLINK("#'春日部'!BW3",SUM(COUNTIF(春日部!$BQ$37:$BQ$42,FALSE),COUNTIF(春日部!$BW$3:$BW$16,FALSE),COUNTIF(春日部!$BW$19:$BW$33,FALSE),COUNTIF(春日部!$BW$36:$BW$42,FALSE)))</f>
        <v>42</v>
      </c>
      <c r="I8" s="297">
        <f ca="1">SUM(IFERROR(INDEX(春日部!$AL$38:$BH$38,1,1+2*MOD(MONTH(TODAY())+8,12)),0),IFERROR(INDEX(春日部!$AL$42:$BH$42,1,1+2*MOD(MONTH(TODAY())+8,12)),0))</f>
        <v>0</v>
      </c>
      <c r="J8" s="290" t="str">
        <f t="shared" ca="1" si="2"/>
        <v>タスク未完了多数</v>
      </c>
      <c r="K8" s="292"/>
      <c r="L8" s="292"/>
    </row>
    <row r="9" spans="1:17">
      <c r="A9" s="289" t="str">
        <f>HYPERLINK("#'上西郷'!A1","上西郷")</f>
        <v>上西郷</v>
      </c>
      <c r="B9" s="290">
        <f>上西郷!$G$18</f>
        <v>20</v>
      </c>
      <c r="C9" s="291">
        <f>上西郷!$G$20</f>
        <v>1</v>
      </c>
      <c r="D9" s="291">
        <f t="shared" si="0"/>
        <v>5.0000000000000044E-2</v>
      </c>
      <c r="E9" s="291" t="str">
        <f t="shared" si="1"/>
        <v>OK</v>
      </c>
      <c r="F9" s="291">
        <f>上西郷!$G$24</f>
        <v>0.23333333333333334</v>
      </c>
      <c r="G9" s="291">
        <f ca="1">上西郷!$G$12</f>
        <v>0.46451612903225808</v>
      </c>
      <c r="H9" s="296">
        <f>HYPERLINK("#'上西郷'!BW3",SUM(COUNTIF(上西郷!$BQ$37:$BQ$42,FALSE),COUNTIF(上西郷!$BW$3:$BW$16,FALSE),COUNTIF(上西郷!$BW$19:$BW$33,FALSE),COUNTIF(上西郷!$BW$36:$BW$42,FALSE)))</f>
        <v>42</v>
      </c>
      <c r="I9" s="297">
        <f ca="1">SUM(IFERROR(INDEX(上西郷!$AL$38:$BH$38,1,1+2*MOD(MONTH(TODAY())+8,12)),0),IFERROR(INDEX(上西郷!$AL$42:$BH$42,1,1+2*MOD(MONTH(TODAY())+8,12)),0))</f>
        <v>0</v>
      </c>
      <c r="J9" s="290" t="str">
        <f t="shared" ca="1" si="2"/>
        <v>タスク未完了多数</v>
      </c>
      <c r="K9" s="292"/>
      <c r="L9" s="292"/>
    </row>
    <row r="10" spans="1:17">
      <c r="A10" s="289" t="str">
        <f>HYPERLINK("#'気賀'!A1","気賀")</f>
        <v>気賀</v>
      </c>
      <c r="B10" s="290">
        <f>気賀!$G$18</f>
        <v>20</v>
      </c>
      <c r="C10" s="291">
        <f>気賀!$G$20</f>
        <v>0.94166666666666665</v>
      </c>
      <c r="D10" s="291">
        <f t="shared" si="0"/>
        <v>-8.3333333333333037E-3</v>
      </c>
      <c r="E10" s="291" t="str">
        <f t="shared" si="1"/>
        <v>要対応</v>
      </c>
      <c r="F10" s="291">
        <f>気賀!$G$24</f>
        <v>0.9</v>
      </c>
      <c r="G10" s="291">
        <f ca="1">気賀!$G$12</f>
        <v>0.31987075928917608</v>
      </c>
      <c r="H10" s="296">
        <f>HYPERLINK("#'気賀'!BW3",SUM(COUNTIF(気賀!$BQ$37:$BQ$42,FALSE),COUNTIF(気賀!$BW$3:$BW$16,FALSE),COUNTIF(気賀!$BW$19:$BW$33,FALSE),COUNTIF(気賀!$BW$36:$BW$42,FALSE)))</f>
        <v>42</v>
      </c>
      <c r="I10" s="297">
        <f ca="1">SUM(IFERROR(INDEX(気賀!$AL$38:$BH$38,1,1+2*MOD(MONTH(TODAY())+8,12)),0),IFERROR(INDEX(気賀!$AL$42:$BH$42,1,1+2*MOD(MONTH(TODAY())+8,12)),0))</f>
        <v>0</v>
      </c>
      <c r="J10" s="290" t="str">
        <f t="shared" ca="1" si="2"/>
        <v>稼働率未達 / タスク未完了多数</v>
      </c>
      <c r="K10" s="292"/>
      <c r="L10" s="292"/>
    </row>
    <row r="11" spans="1:17" ht="36">
      <c r="A11" s="289" t="str">
        <f>HYPERLINK("#'高丘'!A1","高丘")</f>
        <v>高丘</v>
      </c>
      <c r="B11" s="290">
        <f>高丘!$G$18</f>
        <v>20</v>
      </c>
      <c r="C11" s="291">
        <f>高丘!$G$20</f>
        <v>0.95</v>
      </c>
      <c r="D11" s="291">
        <f t="shared" si="0"/>
        <v>0</v>
      </c>
      <c r="E11" s="291" t="str">
        <f t="shared" si="1"/>
        <v>OK</v>
      </c>
      <c r="F11" s="291">
        <f>高丘!$G$24</f>
        <v>1.0166666666666666</v>
      </c>
      <c r="G11" s="291">
        <f ca="1">高丘!$G$12</f>
        <v>0.15259740259740259</v>
      </c>
      <c r="H11" s="296">
        <f>HYPERLINK("#'高丘'!BW3",SUM(COUNTIF(高丘!$BQ$37:$BQ$42,FALSE),COUNTIF(高丘!$BW$3:$BW$16,FALSE),COUNTIF(高丘!$BW$19:$BW$33,FALSE),COUNTIF(高丘!$BW$36:$BW$42,FALSE)))</f>
        <v>42</v>
      </c>
      <c r="I11" s="297">
        <f ca="1">SUM(IFERROR(INDEX(高丘!$AL$38:$BH$38,1,1+2*MOD(MONTH(TODAY())+8,12)),0),IFERROR(INDEX(高丘!$AL$42:$BH$42,1,1+2*MOD(MONTH(TODAY())+8,12)),0))</f>
        <v>2</v>
      </c>
      <c r="J11" s="290" t="str">
        <f t="shared" ca="1" si="2"/>
        <v>タスク未完了多数 / 事故苦情あり</v>
      </c>
      <c r="K11" s="292"/>
      <c r="L11" s="292"/>
    </row>
    <row r="12" spans="1:17">
      <c r="A12" s="289" t="str">
        <f>HYPERLINK("#'萩丘ⅰ'!A1","萩丘ⅰ")</f>
        <v>萩丘ⅰ</v>
      </c>
      <c r="B12" s="290">
        <f>萩丘ⅰ!$G$18</f>
        <v>20</v>
      </c>
      <c r="C12" s="291">
        <f>萩丘ⅰ!$G$20</f>
        <v>1</v>
      </c>
      <c r="D12" s="291">
        <f t="shared" si="0"/>
        <v>5.0000000000000044E-2</v>
      </c>
      <c r="E12" s="291" t="str">
        <f t="shared" si="1"/>
        <v>OK</v>
      </c>
      <c r="F12" s="291">
        <f>萩丘ⅰ!$G$24</f>
        <v>1.0666666666666667</v>
      </c>
      <c r="G12" s="291">
        <f ca="1">萩丘ⅰ!$G$12</f>
        <v>0.29982964224872233</v>
      </c>
      <c r="H12" s="296">
        <f>HYPERLINK("#'萩丘ⅰ'!BW3",SUM(COUNTIF(萩丘ⅰ!$BQ$37:$BQ$42,FALSE),COUNTIF(萩丘ⅰ!$BW$3:$BW$16,FALSE),COUNTIF(萩丘ⅰ!$BW$19:$BW$33,FALSE),COUNTIF(萩丘ⅰ!$BW$36:$BW$42,FALSE)))</f>
        <v>42</v>
      </c>
      <c r="I12" s="297">
        <f ca="1">SUM(IFERROR(INDEX(萩丘ⅰ!$AL$38:$BH$38,1,1+2*MOD(MONTH(TODAY())+8,12)),0),IFERROR(INDEX(萩丘ⅰ!$AL$42:$BH$42,1,1+2*MOD(MONTH(TODAY())+8,12)),0))</f>
        <v>0</v>
      </c>
      <c r="J12" s="290" t="str">
        <f t="shared" ca="1" si="2"/>
        <v>タスク未完了多数</v>
      </c>
      <c r="K12" s="292"/>
      <c r="L12" s="292"/>
    </row>
    <row r="13" spans="1:17">
      <c r="A13" s="289" t="str">
        <f>HYPERLINK("#'萩丘ⅱ'!A1","萩丘ⅱ")</f>
        <v>萩丘ⅱ</v>
      </c>
      <c r="B13" s="290">
        <f>萩丘ⅱ!$G$18</f>
        <v>10</v>
      </c>
      <c r="C13" s="291">
        <f>萩丘ⅱ!$G$20</f>
        <v>1</v>
      </c>
      <c r="D13" s="291">
        <f t="shared" si="0"/>
        <v>5.0000000000000044E-2</v>
      </c>
      <c r="E13" s="291" t="str">
        <f t="shared" si="1"/>
        <v>OK</v>
      </c>
      <c r="F13" s="291">
        <f>萩丘ⅱ!$G$24</f>
        <v>0</v>
      </c>
      <c r="G13" s="291">
        <f ca="1">萩丘ⅱ!$G$12</f>
        <v>0</v>
      </c>
      <c r="H13" s="296">
        <f>HYPERLINK("#'萩丘ⅱ'!BW3",SUM(COUNTIF(萩丘ⅱ!$BQ$37:$BQ$42,FALSE),COUNTIF(萩丘ⅱ!$BW$3:$BW$16,FALSE),COUNTIF(萩丘ⅱ!$BW$19:$BW$33,FALSE),COUNTIF(萩丘ⅱ!$BW$36:$BW$42,FALSE)))</f>
        <v>42</v>
      </c>
      <c r="I13" s="297">
        <f ca="1">SUM(IFERROR(INDEX(萩丘ⅱ!$AL$38:$BH$38,1,1+2*MOD(MONTH(TODAY())+8,12)),0),IFERROR(INDEX(萩丘ⅱ!$AL$42:$BH$42,1,1+2*MOD(MONTH(TODAY())+8,12)),0))</f>
        <v>0</v>
      </c>
      <c r="J13" s="290" t="str">
        <f t="shared" ca="1" si="2"/>
        <v>タスク未完了多数</v>
      </c>
      <c r="K13" s="292"/>
      <c r="L13" s="292"/>
    </row>
    <row r="14" spans="1:17">
      <c r="A14" s="289" t="str">
        <f>HYPERLINK("#'西浅田'!A1","西浅田")</f>
        <v>西浅田</v>
      </c>
      <c r="B14" s="290">
        <f>西浅田!$G$18</f>
        <v>29</v>
      </c>
      <c r="C14" s="291">
        <f>西浅田!$G$20</f>
        <v>0.9244444444444444</v>
      </c>
      <c r="D14" s="291">
        <f t="shared" si="0"/>
        <v>-2.5555555555555554E-2</v>
      </c>
      <c r="E14" s="291" t="str">
        <f t="shared" si="1"/>
        <v>要対応</v>
      </c>
      <c r="F14" s="291">
        <f>西浅田!$G$24</f>
        <v>0.53333333333333333</v>
      </c>
      <c r="G14" s="291">
        <f ca="1">西浅田!$G$12</f>
        <v>0.11136363636363636</v>
      </c>
      <c r="H14" s="296">
        <f>HYPERLINK("#'西浅田'!BW3",SUM(COUNTIF(西浅田!$BQ$37:$BQ$42,FALSE),COUNTIF(西浅田!$BW$3:$BW$16,FALSE),COUNTIF(西浅田!$BW$19:$BW$33,FALSE),COUNTIF(西浅田!$BW$36:$BW$42,FALSE)))</f>
        <v>42</v>
      </c>
      <c r="I14" s="297">
        <f ca="1">SUM(IFERROR(INDEX(西浅田!$AL$38:$BH$38,1,1+2*MOD(MONTH(TODAY())+8,12)),0),IFERROR(INDEX(西浅田!$AL$42:$BH$42,1,1+2*MOD(MONTH(TODAY())+8,12)),0))</f>
        <v>0</v>
      </c>
      <c r="J14" s="290" t="str">
        <f t="shared" ca="1" si="2"/>
        <v>稼働率未達 / タスク未完了多数</v>
      </c>
      <c r="K14" s="292"/>
      <c r="L14" s="292"/>
    </row>
  </sheetData>
  <sheetProtection sheet="1" objects="1" scenarios="1"/>
  <autoFilter ref="A5:L14" xr:uid="{A25F4DA9-ABAE-471A-AD63-68988E07BDF0}"/>
  <mergeCells count="1">
    <mergeCell ref="A1:L1"/>
  </mergeCells>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A73580-692D-4B63-88E5-A16C5362A264}">
  <sheetPr codeName="Sheet7">
    <tabColor rgb="FFFF0000"/>
    <pageSetUpPr fitToPage="1"/>
  </sheetPr>
  <dimension ref="A1:CT94"/>
  <sheetViews>
    <sheetView showGridLines="0" zoomScale="60" zoomScaleNormal="60" workbookViewId="0">
      <selection activeCell="AP78" sqref="AP78"/>
    </sheetView>
  </sheetViews>
  <sheetFormatPr defaultColWidth="3.83203125" defaultRowHeight="22.5" customHeight="1"/>
  <cols>
    <col min="1" max="7" width="3.83203125" style="161"/>
    <col min="8" max="8" width="5.6640625" style="161" bestFit="1" customWidth="1"/>
    <col min="9" max="10" width="3.83203125" style="161"/>
    <col min="11" max="11" width="5.6640625" style="161" bestFit="1" customWidth="1"/>
    <col min="12" max="13" width="3.83203125" style="161"/>
    <col min="14" max="14" width="5.6640625" style="161" bestFit="1" customWidth="1"/>
    <col min="15" max="19" width="3.83203125" style="161"/>
    <col min="20" max="20" width="3.83203125" style="161" customWidth="1"/>
    <col min="21" max="33" width="3.83203125" style="161"/>
    <col min="34" max="34" width="3.83203125" style="161" customWidth="1"/>
    <col min="35" max="92" width="3.83203125" style="161"/>
    <col min="93" max="93" width="6.58203125" style="164" customWidth="1"/>
    <col min="94" max="94" width="9.83203125" style="164" bestFit="1" customWidth="1"/>
    <col min="95" max="95" width="4.9140625" style="164" bestFit="1" customWidth="1"/>
    <col min="96" max="96" width="10.6640625" style="164" bestFit="1" customWidth="1"/>
    <col min="97" max="98" width="4.9140625" style="164" bestFit="1" customWidth="1"/>
    <col min="99" max="16384" width="3.83203125" style="161"/>
  </cols>
  <sheetData>
    <row r="1" spans="1:98" s="160" customFormat="1" ht="22.5" customHeight="1" thickTop="1" thickBot="1">
      <c r="A1" s="306" t="s">
        <v>66</v>
      </c>
      <c r="B1" s="306"/>
      <c r="C1" s="306"/>
      <c r="D1" s="158" t="s">
        <v>377</v>
      </c>
      <c r="E1" s="158"/>
      <c r="F1" s="158"/>
      <c r="G1" s="307">
        <v>20</v>
      </c>
      <c r="H1" s="307"/>
      <c r="I1" s="158" t="s">
        <v>688</v>
      </c>
      <c r="J1" s="158"/>
      <c r="K1" s="158"/>
      <c r="L1" s="158"/>
      <c r="M1" s="158"/>
      <c r="N1" s="158"/>
      <c r="O1" s="158"/>
      <c r="P1" s="158"/>
      <c r="Q1" s="158"/>
      <c r="R1" s="159"/>
      <c r="S1" s="159"/>
      <c r="T1" s="159"/>
      <c r="U1" s="159"/>
      <c r="V1" s="221" t="s">
        <v>686</v>
      </c>
      <c r="W1" s="158"/>
      <c r="X1" s="158"/>
      <c r="Y1" s="158"/>
      <c r="Z1" s="158"/>
      <c r="AA1" s="308">
        <v>2</v>
      </c>
      <c r="AB1" s="308"/>
      <c r="AC1" s="199" t="s">
        <v>105</v>
      </c>
      <c r="AD1" s="158"/>
      <c r="AE1" s="200" t="s">
        <v>581</v>
      </c>
      <c r="AF1" s="158"/>
      <c r="AG1" s="158"/>
      <c r="AH1" s="159"/>
      <c r="AI1" s="199" t="s">
        <v>106</v>
      </c>
      <c r="AJ1" s="159"/>
      <c r="AK1" s="200" t="s">
        <v>581</v>
      </c>
      <c r="AL1" s="159"/>
      <c r="AM1" s="159"/>
      <c r="AN1" s="159"/>
      <c r="AO1" s="199" t="s">
        <v>106</v>
      </c>
      <c r="AP1" s="159"/>
      <c r="AQ1" s="200"/>
      <c r="AR1" s="159"/>
      <c r="AS1" s="159"/>
      <c r="AT1" s="159"/>
      <c r="AU1" s="199" t="s">
        <v>237</v>
      </c>
      <c r="AV1" s="159"/>
      <c r="AW1" s="200"/>
      <c r="AX1" s="159"/>
      <c r="AY1" s="159"/>
      <c r="AZ1" s="159"/>
      <c r="BA1" s="309" t="s">
        <v>261</v>
      </c>
      <c r="BB1" s="310"/>
      <c r="BC1" s="311">
        <v>46202</v>
      </c>
      <c r="BD1" s="312"/>
      <c r="BE1" s="313"/>
      <c r="BF1" s="314" t="str">
        <f ca="1">IF(BC1="","",(TODAY()-BC1)&amp;"日未更新")</f>
        <v>0日未更新</v>
      </c>
      <c r="BG1" s="315"/>
      <c r="BH1" s="315"/>
      <c r="BI1" s="315"/>
      <c r="BJ1" s="316"/>
      <c r="BK1" s="159"/>
      <c r="BL1" s="159"/>
      <c r="BM1" s="159"/>
      <c r="BN1" s="159"/>
      <c r="BO1" s="158"/>
      <c r="BP1" s="159"/>
      <c r="BQ1" s="159"/>
      <c r="BR1" s="159"/>
      <c r="BS1" s="159"/>
      <c r="BT1" s="159"/>
      <c r="BU1" s="159"/>
      <c r="BV1" s="159"/>
      <c r="BW1" s="159"/>
      <c r="BX1" s="159"/>
      <c r="BY1" s="159"/>
      <c r="BZ1" s="158"/>
      <c r="CA1" s="323" t="s">
        <v>238</v>
      </c>
      <c r="CB1" s="323"/>
      <c r="CC1" s="323"/>
      <c r="CD1" s="323"/>
      <c r="CE1" s="323"/>
      <c r="CF1" s="323"/>
      <c r="CG1" s="323"/>
      <c r="CH1" s="323"/>
      <c r="CO1" s="268" t="s">
        <v>910</v>
      </c>
      <c r="CP1" s="268" t="s">
        <v>911</v>
      </c>
      <c r="CQ1" s="268" t="s">
        <v>908</v>
      </c>
      <c r="CR1" s="268" t="s">
        <v>912</v>
      </c>
      <c r="CS1" s="268" t="s">
        <v>905</v>
      </c>
      <c r="CT1" s="268" t="s">
        <v>913</v>
      </c>
    </row>
    <row r="2" spans="1:98" ht="22.5" customHeight="1" thickTop="1">
      <c r="B2" s="175" t="s">
        <v>229</v>
      </c>
      <c r="C2" s="176"/>
      <c r="D2" s="176"/>
      <c r="E2" s="176"/>
      <c r="F2" s="176"/>
      <c r="G2" s="176"/>
      <c r="H2" s="176">
        <v>620</v>
      </c>
      <c r="I2" s="176"/>
      <c r="J2" s="176"/>
      <c r="K2" s="176">
        <v>600</v>
      </c>
      <c r="L2" s="176"/>
      <c r="M2" s="176"/>
      <c r="N2" s="176">
        <v>600</v>
      </c>
      <c r="O2" s="176"/>
      <c r="P2" s="176"/>
      <c r="Q2" s="176"/>
      <c r="R2" s="176"/>
      <c r="S2" s="176"/>
      <c r="T2" s="176"/>
      <c r="U2" s="176"/>
      <c r="V2" s="176"/>
      <c r="W2" s="176"/>
      <c r="X2" s="176"/>
      <c r="Y2" s="176"/>
      <c r="Z2" s="176"/>
      <c r="AA2" s="176"/>
      <c r="AD2" s="178"/>
      <c r="AE2" s="178"/>
      <c r="AF2" s="177" t="s">
        <v>110</v>
      </c>
      <c r="AG2" s="178"/>
      <c r="AH2" s="178"/>
      <c r="AI2" s="178"/>
      <c r="AJ2" s="178"/>
      <c r="AK2" s="178"/>
      <c r="AL2" s="178"/>
      <c r="AM2" s="178"/>
      <c r="AN2" s="178"/>
      <c r="AO2" s="178"/>
      <c r="AP2" s="178"/>
      <c r="AQ2" s="178"/>
      <c r="AR2" s="178"/>
      <c r="AS2" s="178"/>
      <c r="AT2" s="178"/>
      <c r="AU2" s="178"/>
      <c r="AV2" s="178"/>
      <c r="AW2" s="178"/>
      <c r="AX2" s="178"/>
      <c r="AY2" s="178"/>
      <c r="AZ2" s="178"/>
      <c r="BA2" s="178"/>
      <c r="BB2" s="178"/>
      <c r="BC2" s="178"/>
      <c r="BD2" s="178"/>
      <c r="BE2" s="178"/>
      <c r="BH2" s="324" t="s">
        <v>127</v>
      </c>
      <c r="BI2" s="325"/>
      <c r="BJ2" s="325"/>
      <c r="BK2" s="325"/>
      <c r="BL2" s="325"/>
      <c r="BM2" s="325"/>
      <c r="BN2" s="326"/>
      <c r="BO2" s="189" t="s">
        <v>52</v>
      </c>
      <c r="BP2" s="190" t="s">
        <v>53</v>
      </c>
      <c r="BQ2" s="197" t="s">
        <v>54</v>
      </c>
      <c r="BR2" s="198" t="s">
        <v>55</v>
      </c>
      <c r="BS2" s="190" t="s">
        <v>56</v>
      </c>
      <c r="BT2" s="191" t="s">
        <v>57</v>
      </c>
      <c r="BU2" s="327" t="s">
        <v>112</v>
      </c>
      <c r="BV2" s="328"/>
      <c r="BW2" s="328" t="s">
        <v>951</v>
      </c>
      <c r="BX2" s="329"/>
      <c r="BZ2" s="181" t="s">
        <v>948</v>
      </c>
      <c r="CA2" s="179"/>
      <c r="CB2" s="179"/>
      <c r="CC2" s="179"/>
      <c r="CD2" s="179"/>
      <c r="CE2" s="179"/>
      <c r="CF2" s="179"/>
      <c r="CG2" s="179"/>
      <c r="CH2" s="179"/>
      <c r="CI2" s="179"/>
      <c r="CJ2" s="179"/>
      <c r="CK2" s="179"/>
      <c r="CO2" s="266" t="s">
        <v>920</v>
      </c>
      <c r="CP2" s="267">
        <v>46113</v>
      </c>
      <c r="CQ2" s="266">
        <v>6</v>
      </c>
      <c r="CR2" s="266">
        <v>0</v>
      </c>
      <c r="CS2" s="266">
        <v>0</v>
      </c>
      <c r="CT2" s="266">
        <v>0</v>
      </c>
    </row>
    <row r="3" spans="1:98" ht="22.5" customHeight="1">
      <c r="B3" s="300" t="s">
        <v>263</v>
      </c>
      <c r="C3" s="301"/>
      <c r="D3" s="301"/>
      <c r="E3" s="301"/>
      <c r="F3" s="302"/>
      <c r="G3" s="303" t="s">
        <v>254</v>
      </c>
      <c r="H3" s="304"/>
      <c r="I3" s="305"/>
      <c r="J3" s="303" t="s">
        <v>27</v>
      </c>
      <c r="K3" s="304"/>
      <c r="L3" s="305"/>
      <c r="M3" s="303" t="s">
        <v>226</v>
      </c>
      <c r="N3" s="304"/>
      <c r="O3" s="305"/>
      <c r="P3" s="303" t="s">
        <v>15</v>
      </c>
      <c r="Q3" s="304"/>
      <c r="R3" s="305"/>
      <c r="S3" s="303" t="s">
        <v>22</v>
      </c>
      <c r="T3" s="304"/>
      <c r="U3" s="305"/>
      <c r="V3" s="303" t="s">
        <v>1</v>
      </c>
      <c r="W3" s="304"/>
      <c r="X3" s="305"/>
      <c r="Y3" s="303" t="s">
        <v>18</v>
      </c>
      <c r="Z3" s="304"/>
      <c r="AA3" s="305"/>
      <c r="AB3" s="236"/>
      <c r="AC3" s="236"/>
      <c r="AD3" s="236"/>
      <c r="AF3" s="179" t="s">
        <v>61</v>
      </c>
      <c r="AG3" s="179"/>
      <c r="AH3" s="179"/>
      <c r="AI3" s="179"/>
      <c r="AJ3" s="179"/>
      <c r="AK3" s="179"/>
      <c r="AL3" s="179"/>
      <c r="AM3" s="179"/>
      <c r="AN3" s="179"/>
      <c r="AO3" s="179"/>
      <c r="AP3" s="179"/>
      <c r="AQ3" s="179"/>
      <c r="AR3" s="178"/>
      <c r="AS3" s="178"/>
      <c r="AT3" s="179" t="s">
        <v>62</v>
      </c>
      <c r="AU3" s="179"/>
      <c r="AV3" s="179"/>
      <c r="AW3" s="179"/>
      <c r="AX3" s="179"/>
      <c r="AY3" s="179"/>
      <c r="AZ3" s="179"/>
      <c r="BA3" s="179"/>
      <c r="BB3" s="179"/>
      <c r="BC3" s="179"/>
      <c r="BD3" s="179"/>
      <c r="BE3" s="179"/>
      <c r="BH3" s="187">
        <v>1</v>
      </c>
      <c r="BI3" s="317" t="s">
        <v>381</v>
      </c>
      <c r="BJ3" s="317" t="s">
        <v>268</v>
      </c>
      <c r="BK3" s="317" t="s">
        <v>384</v>
      </c>
      <c r="BL3" s="317" t="s">
        <v>273</v>
      </c>
      <c r="BM3" s="317" t="s">
        <v>273</v>
      </c>
      <c r="BN3" s="318" t="s">
        <v>273</v>
      </c>
      <c r="BO3" s="215" t="s">
        <v>724</v>
      </c>
      <c r="BP3" s="209" t="s">
        <v>724</v>
      </c>
      <c r="BQ3" s="209" t="s">
        <v>724</v>
      </c>
      <c r="BR3" s="209" t="s">
        <v>724</v>
      </c>
      <c r="BS3" s="209"/>
      <c r="BT3" s="210"/>
      <c r="BU3" s="319" t="s">
        <v>228</v>
      </c>
      <c r="BV3" s="317" t="s">
        <v>267</v>
      </c>
      <c r="BW3" s="317"/>
      <c r="BX3" s="320"/>
      <c r="BZ3" s="285" t="b">
        <v>0</v>
      </c>
      <c r="CA3" s="178" t="s">
        <v>97</v>
      </c>
      <c r="CB3" s="178"/>
      <c r="CC3" s="178"/>
      <c r="CD3" s="178"/>
      <c r="CE3" s="178"/>
      <c r="CF3" s="178"/>
      <c r="CG3" s="178"/>
      <c r="CH3" s="178"/>
      <c r="CI3" s="178"/>
      <c r="CJ3" s="178"/>
      <c r="CK3" s="178"/>
      <c r="CO3" s="266" t="s">
        <v>920</v>
      </c>
      <c r="CP3" s="267">
        <v>46113</v>
      </c>
      <c r="CQ3" s="266">
        <v>5</v>
      </c>
      <c r="CR3" s="266">
        <v>150</v>
      </c>
      <c r="CS3" s="266">
        <v>2</v>
      </c>
      <c r="CT3" s="266">
        <v>152</v>
      </c>
    </row>
    <row r="4" spans="1:98" ht="22.5" customHeight="1">
      <c r="B4" s="335" t="s">
        <v>32</v>
      </c>
      <c r="C4" s="336"/>
      <c r="D4" s="336"/>
      <c r="E4" s="336"/>
      <c r="F4" s="337"/>
      <c r="G4" s="321">
        <v>20</v>
      </c>
      <c r="H4" s="321"/>
      <c r="I4" s="321"/>
      <c r="J4" s="321">
        <v>19</v>
      </c>
      <c r="K4" s="321"/>
      <c r="L4" s="321"/>
      <c r="M4" s="321">
        <v>19</v>
      </c>
      <c r="N4" s="321"/>
      <c r="O4" s="321"/>
      <c r="P4" s="321" t="str">
        <f ca="1">IFERROR(INDEX(INDIRECT("'"&amp;P$3&amp;"'!J:J"),MATCH($D$1,INDIRECT("'"&amp;P$3&amp;"'!A:A"),0)),"")</f>
        <v/>
      </c>
      <c r="Q4" s="321"/>
      <c r="R4" s="321"/>
      <c r="S4" s="321" t="str">
        <f ca="1">IFERROR(INDEX(INDIRECT("'"&amp;S$3&amp;"'!J:J"),MATCH($D$1,INDIRECT("'"&amp;S$3&amp;"'!A:A"),0)),"")</f>
        <v/>
      </c>
      <c r="T4" s="321"/>
      <c r="U4" s="321"/>
      <c r="V4" s="321" t="str">
        <f ca="1">IFERROR(INDEX(INDIRECT("'"&amp;V$3&amp;"'!J:J"),MATCH($D$1,INDIRECT("'"&amp;V$3&amp;"'!A:A"),0)),"")</f>
        <v/>
      </c>
      <c r="W4" s="321"/>
      <c r="X4" s="321"/>
      <c r="Y4" s="321" t="str">
        <f ca="1">IFERROR(INDEX(INDIRECT("'"&amp;Y$3&amp;"'!J:J"),MATCH($D$1,INDIRECT("'"&amp;Y$3&amp;"'!A:A"),0)),"")</f>
        <v/>
      </c>
      <c r="Z4" s="321"/>
      <c r="AA4" s="321"/>
      <c r="AB4" s="194"/>
      <c r="AC4" s="194"/>
      <c r="AD4" s="194"/>
      <c r="AF4" s="322" t="s">
        <v>254</v>
      </c>
      <c r="AG4" s="322"/>
      <c r="AH4" s="322" t="s">
        <v>27</v>
      </c>
      <c r="AI4" s="322"/>
      <c r="AJ4" s="322" t="s">
        <v>226</v>
      </c>
      <c r="AK4" s="322"/>
      <c r="AL4" s="322" t="s">
        <v>15</v>
      </c>
      <c r="AM4" s="322"/>
      <c r="AN4" s="322" t="s">
        <v>23</v>
      </c>
      <c r="AO4" s="322"/>
      <c r="AP4" s="322" t="s">
        <v>256</v>
      </c>
      <c r="AQ4" s="322"/>
      <c r="AT4" s="322" t="s">
        <v>254</v>
      </c>
      <c r="AU4" s="322"/>
      <c r="AV4" s="322" t="s">
        <v>27</v>
      </c>
      <c r="AW4" s="322"/>
      <c r="AX4" s="322" t="s">
        <v>226</v>
      </c>
      <c r="AY4" s="322"/>
      <c r="AZ4" s="322" t="s">
        <v>15</v>
      </c>
      <c r="BA4" s="322"/>
      <c r="BB4" s="322" t="s">
        <v>23</v>
      </c>
      <c r="BC4" s="322"/>
      <c r="BD4" s="322" t="s">
        <v>256</v>
      </c>
      <c r="BE4" s="322"/>
      <c r="BH4" s="187">
        <v>2</v>
      </c>
      <c r="BI4" s="317" t="s">
        <v>383</v>
      </c>
      <c r="BJ4" s="317" t="s">
        <v>270</v>
      </c>
      <c r="BK4" s="317" t="s">
        <v>385</v>
      </c>
      <c r="BL4" s="317" t="s">
        <v>274</v>
      </c>
      <c r="BM4" s="317" t="s">
        <v>274</v>
      </c>
      <c r="BN4" s="318" t="s">
        <v>274</v>
      </c>
      <c r="BO4" s="215"/>
      <c r="BP4" s="209"/>
      <c r="BQ4" s="209"/>
      <c r="BR4" s="209"/>
      <c r="BS4" s="209"/>
      <c r="BT4" s="210"/>
      <c r="BU4" s="319"/>
      <c r="BV4" s="317"/>
      <c r="BW4" s="317"/>
      <c r="BX4" s="320"/>
      <c r="BZ4" s="285" t="b">
        <v>0</v>
      </c>
      <c r="CA4" s="192" t="s">
        <v>69</v>
      </c>
      <c r="CB4" s="178"/>
      <c r="CC4" s="178"/>
      <c r="CD4" s="178"/>
      <c r="CE4" s="178"/>
      <c r="CF4" s="178"/>
      <c r="CG4" s="178"/>
      <c r="CH4" s="178"/>
      <c r="CI4" s="178"/>
      <c r="CJ4" s="178"/>
      <c r="CK4" s="178"/>
      <c r="CO4" s="266" t="s">
        <v>920</v>
      </c>
      <c r="CP4" s="267">
        <v>46113</v>
      </c>
      <c r="CQ4" s="266">
        <v>4</v>
      </c>
      <c r="CR4" s="266">
        <v>220</v>
      </c>
      <c r="CS4" s="266">
        <v>0</v>
      </c>
      <c r="CT4" s="266">
        <v>220</v>
      </c>
    </row>
    <row r="5" spans="1:98" ht="22.5" customHeight="1">
      <c r="B5" s="331" t="s">
        <v>225</v>
      </c>
      <c r="C5" s="332"/>
      <c r="D5" s="332"/>
      <c r="E5" s="332"/>
      <c r="F5" s="333"/>
      <c r="G5" s="334">
        <f ca="1">IFERROR(INDEX(INDIRECT("'"&amp;G$3&amp;"'!Ｉ:Ｉ"),MATCH($D$1,INDIRECT("'"&amp;G$3&amp;"'!A:A"),0)),"")</f>
        <v>564</v>
      </c>
      <c r="H5" s="334"/>
      <c r="I5" s="334"/>
      <c r="J5" s="334">
        <v>519</v>
      </c>
      <c r="K5" s="334"/>
      <c r="L5" s="334"/>
      <c r="M5" s="334">
        <v>561</v>
      </c>
      <c r="N5" s="334"/>
      <c r="O5" s="334"/>
      <c r="P5" s="334" t="str">
        <f ca="1">IFERROR(INDEX(INDIRECT("'"&amp;P$3&amp;"'!Ｉ:Ｉ"),MATCH($D$1,INDIRECT("'"&amp;P$3&amp;"'!A:A"),0)),"")</f>
        <v/>
      </c>
      <c r="Q5" s="334"/>
      <c r="R5" s="334"/>
      <c r="S5" s="334" t="str">
        <f ca="1">IFERROR(INDEX(INDIRECT("'"&amp;S$3&amp;"'!Ｉ:Ｉ"),MATCH($D$1,INDIRECT("'"&amp;S$3&amp;"'!A:A"),0)),"")</f>
        <v/>
      </c>
      <c r="T5" s="334"/>
      <c r="U5" s="334"/>
      <c r="V5" s="334" t="str">
        <f ca="1">IFERROR(INDEX(INDIRECT("'"&amp;V$3&amp;"'!Ｉ:Ｉ"),MATCH($D$1,INDIRECT("'"&amp;V$3&amp;"'!A:A"),0)),"")</f>
        <v/>
      </c>
      <c r="W5" s="334"/>
      <c r="X5" s="334"/>
      <c r="Y5" s="334" t="str">
        <f ca="1">IFERROR(INDEX(INDIRECT("'"&amp;Y$3&amp;"'!Ｉ:Ｉ"),MATCH($D$1,INDIRECT("'"&amp;Y$3&amp;"'!A:A"),0)),"")</f>
        <v/>
      </c>
      <c r="Z5" s="334"/>
      <c r="AA5" s="334"/>
      <c r="AB5" s="194"/>
      <c r="AC5" s="194"/>
      <c r="AD5" s="194"/>
      <c r="AF5" s="330">
        <v>1</v>
      </c>
      <c r="AG5" s="330"/>
      <c r="AH5" s="330">
        <v>3</v>
      </c>
      <c r="AI5" s="330"/>
      <c r="AJ5" s="330">
        <v>1</v>
      </c>
      <c r="AK5" s="330"/>
      <c r="AL5" s="330">
        <v>1</v>
      </c>
      <c r="AM5" s="330"/>
      <c r="AN5" s="330"/>
      <c r="AO5" s="330"/>
      <c r="AP5" s="330"/>
      <c r="AQ5" s="330"/>
      <c r="AT5" s="330">
        <v>0</v>
      </c>
      <c r="AU5" s="330"/>
      <c r="AV5" s="330">
        <v>2</v>
      </c>
      <c r="AW5" s="330"/>
      <c r="AX5" s="330">
        <v>2</v>
      </c>
      <c r="AY5" s="330"/>
      <c r="AZ5" s="330"/>
      <c r="BA5" s="330"/>
      <c r="BB5" s="330"/>
      <c r="BC5" s="330"/>
      <c r="BD5" s="330"/>
      <c r="BE5" s="330"/>
      <c r="BH5" s="187">
        <v>3</v>
      </c>
      <c r="BI5" s="317" t="s">
        <v>382</v>
      </c>
      <c r="BJ5" s="317" t="s">
        <v>269</v>
      </c>
      <c r="BK5" s="317" t="s">
        <v>386</v>
      </c>
      <c r="BL5" s="317" t="s">
        <v>275</v>
      </c>
      <c r="BM5" s="317" t="s">
        <v>275</v>
      </c>
      <c r="BN5" s="318" t="s">
        <v>275</v>
      </c>
      <c r="BO5" s="215"/>
      <c r="BP5" s="209"/>
      <c r="BQ5" s="209"/>
      <c r="BR5" s="209"/>
      <c r="BS5" s="209"/>
      <c r="BT5" s="210"/>
      <c r="BU5" s="319"/>
      <c r="BV5" s="317"/>
      <c r="BW5" s="317"/>
      <c r="BX5" s="320"/>
      <c r="BZ5" s="285" t="b">
        <v>0</v>
      </c>
      <c r="CA5" s="192" t="s">
        <v>70</v>
      </c>
      <c r="CB5" s="178"/>
      <c r="CC5" s="178"/>
      <c r="CD5" s="178"/>
      <c r="CE5" s="178"/>
      <c r="CF5" s="193"/>
      <c r="CG5" s="193"/>
      <c r="CH5" s="193"/>
      <c r="CI5" s="178"/>
      <c r="CJ5" s="178"/>
      <c r="CK5" s="178"/>
      <c r="CO5" s="266" t="s">
        <v>920</v>
      </c>
      <c r="CP5" s="267">
        <v>46113</v>
      </c>
      <c r="CQ5" s="266">
        <v>3</v>
      </c>
      <c r="CR5" s="266">
        <v>149</v>
      </c>
      <c r="CS5" s="266">
        <v>0</v>
      </c>
      <c r="CT5" s="266">
        <v>149</v>
      </c>
    </row>
    <row r="6" spans="1:98" ht="22.5" customHeight="1">
      <c r="B6" s="338" t="s">
        <v>33</v>
      </c>
      <c r="C6" s="339"/>
      <c r="D6" s="339"/>
      <c r="E6" s="339"/>
      <c r="F6" s="340"/>
      <c r="G6" s="341">
        <f ca="1">IFERROR(G5/(G1*DAY(EOMONTH(DATE(2024,LEFT(G3,LEN(G3)-1),1),0))),"")</f>
        <v>0.9096774193548387</v>
      </c>
      <c r="H6" s="341"/>
      <c r="I6" s="341"/>
      <c r="J6" s="341">
        <f>J5/K2</f>
        <v>0.86499999999999999</v>
      </c>
      <c r="K6" s="341"/>
      <c r="L6" s="341"/>
      <c r="M6" s="341">
        <f>M5/N2</f>
        <v>0.93500000000000005</v>
      </c>
      <c r="N6" s="341"/>
      <c r="O6" s="341"/>
      <c r="P6" s="341" t="str">
        <f ca="1">IFERROR(P5/(P1*DAY(EOMONTH(DATE(2024,LEFT(P3,LEN(P3)-1),1),0))),"")</f>
        <v/>
      </c>
      <c r="Q6" s="341"/>
      <c r="R6" s="341"/>
      <c r="S6" s="341" t="str">
        <f ca="1">IFERROR(S5/(S1*DAY(EOMONTH(DATE(2024,LEFT(S3,LEN(S3)-1),1),0))),"")</f>
        <v/>
      </c>
      <c r="T6" s="341"/>
      <c r="U6" s="341"/>
      <c r="V6" s="341" t="str">
        <f ca="1">IFERROR(V5/(V1*DAY(EOMONTH(DATE(2024,LEFT(V3,LEN(V3)-1),1),0))),"")</f>
        <v/>
      </c>
      <c r="W6" s="341"/>
      <c r="X6" s="341"/>
      <c r="Y6" s="341" t="str">
        <f ca="1">IFERROR(Y5/(Y1*DAY(EOMONTH(DATE(2024,LEFT(Y3,LEN(Y3)-1),1),0))),"")</f>
        <v/>
      </c>
      <c r="Z6" s="341"/>
      <c r="AA6" s="341"/>
      <c r="AB6" s="237"/>
      <c r="AC6" s="237"/>
      <c r="AD6" s="237"/>
      <c r="AF6" s="179" t="s">
        <v>60</v>
      </c>
      <c r="AG6" s="179"/>
      <c r="AH6" s="179"/>
      <c r="AI6" s="179"/>
      <c r="AJ6" s="179"/>
      <c r="AK6" s="179"/>
      <c r="AL6" s="179"/>
      <c r="AM6" s="179"/>
      <c r="AN6" s="179"/>
      <c r="AO6" s="179"/>
      <c r="AP6" s="179"/>
      <c r="AQ6" s="179"/>
      <c r="AR6" s="178"/>
      <c r="AS6" s="178"/>
      <c r="AT6" s="179" t="s">
        <v>109</v>
      </c>
      <c r="AU6" s="179"/>
      <c r="AV6" s="179"/>
      <c r="AW6" s="179"/>
      <c r="AX6" s="179"/>
      <c r="AY6" s="179"/>
      <c r="AZ6" s="179"/>
      <c r="BA6" s="179"/>
      <c r="BB6" s="179"/>
      <c r="BC6" s="179"/>
      <c r="BD6" s="179"/>
      <c r="BE6" s="179"/>
      <c r="BH6" s="187">
        <v>4</v>
      </c>
      <c r="BI6" s="317" t="s">
        <v>381</v>
      </c>
      <c r="BJ6" s="317" t="s">
        <v>268</v>
      </c>
      <c r="BK6" s="317" t="s">
        <v>387</v>
      </c>
      <c r="BL6" s="317" t="s">
        <v>276</v>
      </c>
      <c r="BM6" s="317" t="s">
        <v>276</v>
      </c>
      <c r="BN6" s="318" t="s">
        <v>276</v>
      </c>
      <c r="BO6" s="215" t="s">
        <v>724</v>
      </c>
      <c r="BP6" s="209" t="s">
        <v>724</v>
      </c>
      <c r="BQ6" s="209"/>
      <c r="BR6" s="209"/>
      <c r="BS6" s="209"/>
      <c r="BT6" s="210"/>
      <c r="BU6" s="319" t="s">
        <v>228</v>
      </c>
      <c r="BV6" s="317" t="s">
        <v>267</v>
      </c>
      <c r="BW6" s="317"/>
      <c r="BX6" s="320"/>
      <c r="BZ6" s="285" t="b">
        <v>0</v>
      </c>
      <c r="CA6" s="192" t="s">
        <v>71</v>
      </c>
      <c r="CB6" s="178"/>
      <c r="CC6" s="178"/>
      <c r="CD6" s="178"/>
      <c r="CE6" s="178"/>
      <c r="CF6" s="193"/>
      <c r="CG6" s="193"/>
      <c r="CH6" s="193"/>
      <c r="CI6" s="178"/>
      <c r="CJ6" s="178"/>
      <c r="CK6" s="178"/>
      <c r="CO6" s="266" t="s">
        <v>920</v>
      </c>
      <c r="CP6" s="267">
        <v>46113</v>
      </c>
      <c r="CQ6" s="266">
        <v>2</v>
      </c>
      <c r="CR6" s="266">
        <v>0</v>
      </c>
      <c r="CS6" s="266">
        <v>0</v>
      </c>
      <c r="CT6" s="266">
        <v>0</v>
      </c>
    </row>
    <row r="7" spans="1:98" ht="22.5" customHeight="1">
      <c r="B7" s="335" t="s">
        <v>224</v>
      </c>
      <c r="C7" s="336"/>
      <c r="D7" s="336"/>
      <c r="E7" s="336"/>
      <c r="F7" s="337"/>
      <c r="G7" s="321">
        <f ca="1">IFERROR(INDEX(INDIRECT("'"&amp;G$3&amp;"'!L:L"),MATCH($D$1,INDIRECT("'"&amp;G$3&amp;"'!A:A"),0)),"")</f>
        <v>4</v>
      </c>
      <c r="H7" s="321"/>
      <c r="I7" s="321"/>
      <c r="J7" s="321">
        <v>7</v>
      </c>
      <c r="K7" s="321"/>
      <c r="L7" s="321"/>
      <c r="M7" s="321">
        <v>8</v>
      </c>
      <c r="N7" s="321"/>
      <c r="O7" s="321"/>
      <c r="P7" s="321"/>
      <c r="Q7" s="321"/>
      <c r="R7" s="321"/>
      <c r="S7" s="321" t="str">
        <f ca="1">IFERROR(INDEX(INDIRECT("'"&amp;S$3&amp;"'!L:L"),MATCH($D$1,INDIRECT("'"&amp;S$3&amp;"'!A:A"),0)),"")</f>
        <v/>
      </c>
      <c r="T7" s="321"/>
      <c r="U7" s="321"/>
      <c r="V7" s="321" t="str">
        <f ca="1">IFERROR(INDEX(INDIRECT("'"&amp;V$3&amp;"'!L:L"),MATCH($D$1,INDIRECT("'"&amp;V$3&amp;"'!A:A"),0)),"")</f>
        <v/>
      </c>
      <c r="W7" s="321"/>
      <c r="X7" s="321"/>
      <c r="Y7" s="321" t="str">
        <f ca="1">IFERROR(INDEX(INDIRECT("'"&amp;Y$3&amp;"'!L:L"),MATCH($D$1,INDIRECT("'"&amp;Y$3&amp;"'!A:A"),0)),"")</f>
        <v/>
      </c>
      <c r="Z7" s="321"/>
      <c r="AA7" s="321"/>
      <c r="AB7" s="194"/>
      <c r="AC7" s="194"/>
      <c r="AD7" s="194"/>
      <c r="AF7" s="322" t="s">
        <v>254</v>
      </c>
      <c r="AG7" s="322"/>
      <c r="AH7" s="322" t="s">
        <v>27</v>
      </c>
      <c r="AI7" s="322"/>
      <c r="AJ7" s="322" t="s">
        <v>226</v>
      </c>
      <c r="AK7" s="322"/>
      <c r="AL7" s="322" t="s">
        <v>15</v>
      </c>
      <c r="AM7" s="322"/>
      <c r="AN7" s="322" t="s">
        <v>23</v>
      </c>
      <c r="AO7" s="322"/>
      <c r="AP7" s="322" t="s">
        <v>256</v>
      </c>
      <c r="AQ7" s="322"/>
      <c r="AT7" s="322" t="s">
        <v>254</v>
      </c>
      <c r="AU7" s="322"/>
      <c r="AV7" s="322" t="s">
        <v>27</v>
      </c>
      <c r="AW7" s="322"/>
      <c r="AX7" s="322" t="s">
        <v>226</v>
      </c>
      <c r="AY7" s="322"/>
      <c r="AZ7" s="322" t="s">
        <v>15</v>
      </c>
      <c r="BA7" s="322"/>
      <c r="BB7" s="322" t="s">
        <v>23</v>
      </c>
      <c r="BC7" s="322"/>
      <c r="BD7" s="322" t="s">
        <v>256</v>
      </c>
      <c r="BE7" s="322"/>
      <c r="BH7" s="187">
        <v>5</v>
      </c>
      <c r="BI7" s="317" t="s">
        <v>382</v>
      </c>
      <c r="BJ7" s="317" t="s">
        <v>269</v>
      </c>
      <c r="BK7" s="317" t="s">
        <v>388</v>
      </c>
      <c r="BL7" s="317" t="s">
        <v>277</v>
      </c>
      <c r="BM7" s="317" t="s">
        <v>277</v>
      </c>
      <c r="BN7" s="318" t="s">
        <v>277</v>
      </c>
      <c r="BO7" s="215"/>
      <c r="BP7" s="209"/>
      <c r="BQ7" s="209"/>
      <c r="BR7" s="209"/>
      <c r="BS7" s="209"/>
      <c r="BT7" s="210"/>
      <c r="BU7" s="319"/>
      <c r="BV7" s="317"/>
      <c r="BW7" s="317"/>
      <c r="BX7" s="320"/>
      <c r="BZ7" s="285" t="b">
        <v>0</v>
      </c>
      <c r="CA7" s="192" t="s">
        <v>74</v>
      </c>
      <c r="CB7" s="178"/>
      <c r="CC7" s="178"/>
      <c r="CD7" s="178"/>
      <c r="CE7" s="178"/>
      <c r="CF7" s="193"/>
      <c r="CG7" s="193"/>
      <c r="CH7" s="193"/>
      <c r="CI7" s="178"/>
      <c r="CJ7" s="178"/>
      <c r="CK7" s="178"/>
      <c r="CO7" s="266" t="s">
        <v>920</v>
      </c>
      <c r="CP7" s="267">
        <v>46113</v>
      </c>
      <c r="CQ7" s="266">
        <v>1</v>
      </c>
      <c r="CR7" s="266">
        <v>0</v>
      </c>
      <c r="CS7" s="266">
        <v>0</v>
      </c>
      <c r="CT7" s="266">
        <v>0</v>
      </c>
    </row>
    <row r="8" spans="1:98" ht="22.5" customHeight="1">
      <c r="B8" s="338" t="s">
        <v>34</v>
      </c>
      <c r="C8" s="339"/>
      <c r="D8" s="339"/>
      <c r="E8" s="339"/>
      <c r="F8" s="340"/>
      <c r="G8" s="341">
        <f>4/31</f>
        <v>0.12903225806451613</v>
      </c>
      <c r="H8" s="341"/>
      <c r="I8" s="341"/>
      <c r="J8" s="341">
        <f>J7/31</f>
        <v>0.22580645161290322</v>
      </c>
      <c r="K8" s="341"/>
      <c r="L8" s="341"/>
      <c r="M8" s="341">
        <f>M7/30</f>
        <v>0.26666666666666666</v>
      </c>
      <c r="N8" s="341"/>
      <c r="O8" s="341"/>
      <c r="P8" s="341" t="str">
        <f>IFERROR(P7/(P1*DAY(EOMONTH(DATE(2024,LEFT(P3,LEN(P3)-1),1),0))),"")</f>
        <v/>
      </c>
      <c r="Q8" s="341"/>
      <c r="R8" s="341"/>
      <c r="S8" s="341" t="str">
        <f ca="1">IFERROR(S7/(S1*DAY(EOMONTH(DATE(2024,LEFT(S3,LEN(S3)-1),1),0))),"")</f>
        <v/>
      </c>
      <c r="T8" s="341"/>
      <c r="U8" s="341"/>
      <c r="V8" s="341" t="str">
        <f ca="1">IFERROR(V7/(V1*DAY(EOMONTH(DATE(2024,LEFT(V3,LEN(V3)-1),1),0))),"")</f>
        <v/>
      </c>
      <c r="W8" s="341"/>
      <c r="X8" s="341"/>
      <c r="Y8" s="341" t="str">
        <f ca="1">IFERROR(Y7/(Y1*DAY(EOMONTH(DATE(2024,LEFT(Y3,LEN(Y3)-1),1),0))),"")</f>
        <v/>
      </c>
      <c r="Z8" s="341"/>
      <c r="AA8" s="341"/>
      <c r="AB8" s="237"/>
      <c r="AC8" s="237"/>
      <c r="AD8" s="237"/>
      <c r="AF8" s="330">
        <v>1</v>
      </c>
      <c r="AG8" s="330"/>
      <c r="AH8" s="330">
        <v>2</v>
      </c>
      <c r="AI8" s="330"/>
      <c r="AJ8" s="330"/>
      <c r="AK8" s="330"/>
      <c r="AL8" s="330"/>
      <c r="AM8" s="330"/>
      <c r="AN8" s="330"/>
      <c r="AO8" s="330"/>
      <c r="AP8" s="330"/>
      <c r="AQ8" s="330"/>
      <c r="AT8" s="330">
        <v>1</v>
      </c>
      <c r="AU8" s="330"/>
      <c r="AV8" s="330">
        <v>2</v>
      </c>
      <c r="AW8" s="330"/>
      <c r="AX8" s="330">
        <v>1</v>
      </c>
      <c r="AY8" s="330"/>
      <c r="AZ8" s="330"/>
      <c r="BA8" s="330"/>
      <c r="BB8" s="330"/>
      <c r="BC8" s="330"/>
      <c r="BD8" s="330"/>
      <c r="BE8" s="330"/>
      <c r="BH8" s="187">
        <v>6</v>
      </c>
      <c r="BI8" s="317" t="s">
        <v>383</v>
      </c>
      <c r="BJ8" s="317" t="s">
        <v>270</v>
      </c>
      <c r="BK8" s="317" t="s">
        <v>389</v>
      </c>
      <c r="BL8" s="317" t="s">
        <v>278</v>
      </c>
      <c r="BM8" s="317" t="s">
        <v>278</v>
      </c>
      <c r="BN8" s="318" t="s">
        <v>278</v>
      </c>
      <c r="BO8" s="215" t="s">
        <v>724</v>
      </c>
      <c r="BP8" s="209" t="s">
        <v>724</v>
      </c>
      <c r="BQ8" s="209"/>
      <c r="BR8" s="209"/>
      <c r="BS8" s="209"/>
      <c r="BT8" s="210"/>
      <c r="BU8" s="319"/>
      <c r="BV8" s="317"/>
      <c r="BW8" s="317"/>
      <c r="BX8" s="320"/>
      <c r="BZ8" s="285" t="b">
        <v>0</v>
      </c>
      <c r="CA8" s="192" t="s">
        <v>72</v>
      </c>
      <c r="CB8" s="178"/>
      <c r="CC8" s="178"/>
      <c r="CD8" s="178"/>
      <c r="CE8" s="178"/>
      <c r="CF8" s="193"/>
      <c r="CG8" s="193"/>
      <c r="CH8" s="193"/>
      <c r="CI8" s="178"/>
      <c r="CJ8" s="178"/>
      <c r="CK8" s="178"/>
      <c r="CO8" s="266" t="s">
        <v>920</v>
      </c>
      <c r="CP8" s="267">
        <v>46113</v>
      </c>
      <c r="CQ8" s="266" t="s">
        <v>904</v>
      </c>
      <c r="CR8" s="266">
        <v>0</v>
      </c>
      <c r="CS8" s="266">
        <v>0</v>
      </c>
      <c r="CT8" s="266">
        <v>0</v>
      </c>
    </row>
    <row r="9" spans="1:98" ht="22.5" customHeight="1">
      <c r="B9" s="335" t="s">
        <v>175</v>
      </c>
      <c r="C9" s="336"/>
      <c r="D9" s="336"/>
      <c r="E9" s="336"/>
      <c r="F9" s="337"/>
      <c r="G9" s="321">
        <f ca="1">IFERROR(INDEX(INDIRECT("'"&amp;G$3&amp;"'!O:O"),MATCH($D$1,INDIRECT("'"&amp;G$3&amp;"'!A:A"),0)),"")</f>
        <v>555</v>
      </c>
      <c r="H9" s="321"/>
      <c r="I9" s="321"/>
      <c r="J9" s="321">
        <v>519</v>
      </c>
      <c r="K9" s="321"/>
      <c r="L9" s="321"/>
      <c r="M9" s="321">
        <v>558</v>
      </c>
      <c r="N9" s="321"/>
      <c r="O9" s="321"/>
      <c r="P9" s="321">
        <v>532</v>
      </c>
      <c r="Q9" s="321"/>
      <c r="R9" s="321"/>
      <c r="S9" s="321" t="str">
        <f ca="1">IFERROR(INDEX(INDIRECT("'"&amp;S$3&amp;"'!O:O"),MATCH($D$1,INDIRECT("'"&amp;S$3&amp;"'!A:A"),0)),"")</f>
        <v/>
      </c>
      <c r="T9" s="321"/>
      <c r="U9" s="321"/>
      <c r="V9" s="321" t="str">
        <f ca="1">IFERROR(INDEX(INDIRECT("'"&amp;V$3&amp;"'!O:O"),MATCH($D$1,INDIRECT("'"&amp;V$3&amp;"'!A:A"),0)),"")</f>
        <v/>
      </c>
      <c r="W9" s="321"/>
      <c r="X9" s="321"/>
      <c r="Y9" s="321" t="str">
        <f ca="1">IFERROR(INDEX(INDIRECT("'"&amp;Y$3&amp;"'!O:O"),MATCH($D$1,INDIRECT("'"&amp;Y$3&amp;"'!A:A"),0)),"")</f>
        <v/>
      </c>
      <c r="Z9" s="321"/>
      <c r="AA9" s="321"/>
      <c r="AB9" s="194"/>
      <c r="AC9" s="194"/>
      <c r="AD9" s="194"/>
      <c r="AF9" s="179" t="s">
        <v>250</v>
      </c>
      <c r="AG9" s="179"/>
      <c r="AH9" s="179"/>
      <c r="AI9" s="179"/>
      <c r="AJ9" s="179"/>
      <c r="AK9" s="179"/>
      <c r="AL9" s="179"/>
      <c r="AM9" s="179"/>
      <c r="AN9" s="179"/>
      <c r="AO9" s="179"/>
      <c r="AP9" s="179"/>
      <c r="AQ9" s="179"/>
      <c r="AR9" s="179"/>
      <c r="AS9" s="179"/>
      <c r="AT9" s="180"/>
      <c r="AU9" s="179"/>
      <c r="AV9" s="179"/>
      <c r="AW9" s="179"/>
      <c r="AX9" s="179"/>
      <c r="AY9" s="179"/>
      <c r="AZ9" s="179"/>
      <c r="BA9" s="179"/>
      <c r="BB9" s="179"/>
      <c r="BC9" s="179"/>
      <c r="BD9" s="179"/>
      <c r="BE9" s="179"/>
      <c r="BH9" s="187">
        <v>7</v>
      </c>
      <c r="BI9" s="317" t="s">
        <v>382</v>
      </c>
      <c r="BJ9" s="317" t="s">
        <v>269</v>
      </c>
      <c r="BK9" s="317" t="s">
        <v>390</v>
      </c>
      <c r="BL9" s="317" t="s">
        <v>279</v>
      </c>
      <c r="BM9" s="317" t="s">
        <v>279</v>
      </c>
      <c r="BN9" s="318" t="s">
        <v>279</v>
      </c>
      <c r="BO9" s="215"/>
      <c r="BP9" s="209"/>
      <c r="BQ9" s="209"/>
      <c r="BR9" s="209"/>
      <c r="BS9" s="209"/>
      <c r="BT9" s="210"/>
      <c r="BU9" s="319"/>
      <c r="BV9" s="317"/>
      <c r="BW9" s="317"/>
      <c r="BX9" s="320"/>
      <c r="BZ9" s="285" t="b">
        <v>0</v>
      </c>
      <c r="CA9" s="192" t="s">
        <v>73</v>
      </c>
      <c r="CB9" s="178"/>
      <c r="CC9" s="178"/>
      <c r="CD9" s="178"/>
      <c r="CE9" s="178"/>
      <c r="CF9" s="193"/>
      <c r="CG9" s="193"/>
      <c r="CH9" s="193"/>
      <c r="CI9" s="178"/>
      <c r="CJ9" s="178"/>
      <c r="CK9" s="178"/>
      <c r="CM9" s="164"/>
    </row>
    <row r="10" spans="1:98" ht="22.5" customHeight="1">
      <c r="B10" s="338" t="s">
        <v>35</v>
      </c>
      <c r="C10" s="339"/>
      <c r="D10" s="339"/>
      <c r="E10" s="339"/>
      <c r="F10" s="340"/>
      <c r="G10" s="341">
        <f ca="1">IFERROR(G9/G5,"")</f>
        <v>0.98404255319148937</v>
      </c>
      <c r="H10" s="341"/>
      <c r="I10" s="341"/>
      <c r="J10" s="341">
        <f>IFERROR(J9/J5,"")</f>
        <v>1</v>
      </c>
      <c r="K10" s="341"/>
      <c r="L10" s="341"/>
      <c r="M10" s="341">
        <f>IFERROR(M9/M5,"")</f>
        <v>0.99465240641711228</v>
      </c>
      <c r="N10" s="341"/>
      <c r="O10" s="341"/>
      <c r="P10" s="341" t="str">
        <f ca="1">IFERROR(P9/P5,"")</f>
        <v/>
      </c>
      <c r="Q10" s="341"/>
      <c r="R10" s="341"/>
      <c r="S10" s="341" t="str">
        <f ca="1">IFERROR(S9/S5,"")</f>
        <v/>
      </c>
      <c r="T10" s="341"/>
      <c r="U10" s="341"/>
      <c r="V10" s="341" t="str">
        <f ca="1">IFERROR(V9/V5,"")</f>
        <v/>
      </c>
      <c r="W10" s="341"/>
      <c r="X10" s="341"/>
      <c r="Y10" s="341" t="str">
        <f ca="1">IFERROR(Y9/Y5,"")</f>
        <v/>
      </c>
      <c r="Z10" s="341"/>
      <c r="AA10" s="341"/>
      <c r="AB10" s="237"/>
      <c r="AC10" s="237"/>
      <c r="AD10" s="237"/>
      <c r="AF10" s="342" t="s">
        <v>249</v>
      </c>
      <c r="AG10" s="343"/>
      <c r="AH10" s="343"/>
      <c r="AI10" s="343"/>
      <c r="AJ10" s="343"/>
      <c r="AK10" s="343"/>
      <c r="AL10" s="343"/>
      <c r="AM10" s="344"/>
      <c r="AN10" s="342" t="s">
        <v>63</v>
      </c>
      <c r="AO10" s="343"/>
      <c r="AP10" s="345"/>
      <c r="AQ10" s="346" t="s">
        <v>111</v>
      </c>
      <c r="AR10" s="343"/>
      <c r="AS10" s="343"/>
      <c r="AT10" s="343"/>
      <c r="AU10" s="343"/>
      <c r="AV10" s="343"/>
      <c r="AW10" s="343"/>
      <c r="AX10" s="343"/>
      <c r="AY10" s="343"/>
      <c r="AZ10" s="343"/>
      <c r="BA10" s="343"/>
      <c r="BB10" s="343"/>
      <c r="BC10" s="343"/>
      <c r="BD10" s="343"/>
      <c r="BE10" s="345"/>
      <c r="BH10" s="187">
        <v>8</v>
      </c>
      <c r="BI10" s="317" t="s">
        <v>382</v>
      </c>
      <c r="BJ10" s="317" t="s">
        <v>269</v>
      </c>
      <c r="BK10" s="317" t="s">
        <v>391</v>
      </c>
      <c r="BL10" s="317" t="s">
        <v>280</v>
      </c>
      <c r="BM10" s="317" t="s">
        <v>280</v>
      </c>
      <c r="BN10" s="318" t="s">
        <v>280</v>
      </c>
      <c r="BO10" s="215"/>
      <c r="BP10" s="209"/>
      <c r="BQ10" s="209"/>
      <c r="BR10" s="209"/>
      <c r="BS10" s="209"/>
      <c r="BT10" s="210"/>
      <c r="BU10" s="319" t="s">
        <v>228</v>
      </c>
      <c r="BV10" s="317" t="s">
        <v>267</v>
      </c>
      <c r="BW10" s="317"/>
      <c r="BX10" s="320"/>
      <c r="BZ10" s="285" t="b">
        <v>0</v>
      </c>
      <c r="CA10" s="192" t="s">
        <v>76</v>
      </c>
      <c r="CB10" s="178"/>
      <c r="CC10" s="178"/>
      <c r="CD10" s="178"/>
      <c r="CE10" s="178"/>
      <c r="CF10" s="193"/>
      <c r="CG10" s="193"/>
      <c r="CH10" s="193"/>
      <c r="CI10" s="178"/>
      <c r="CJ10" s="178"/>
      <c r="CK10" s="178"/>
    </row>
    <row r="11" spans="1:98" ht="22.5" customHeight="1">
      <c r="B11" s="335" t="s">
        <v>179</v>
      </c>
      <c r="C11" s="336"/>
      <c r="D11" s="336"/>
      <c r="E11" s="336"/>
      <c r="F11" s="337"/>
      <c r="G11" s="321">
        <f ca="1">IFERROR(INDEX(INDIRECT("'"&amp;G$3&amp;"'!R:R"),MATCH($D$1,INDIRECT("'"&amp;G$3&amp;"'!A:A"),0)),"")</f>
        <v>159</v>
      </c>
      <c r="H11" s="321"/>
      <c r="I11" s="321"/>
      <c r="J11" s="321">
        <v>159</v>
      </c>
      <c r="K11" s="321"/>
      <c r="L11" s="321"/>
      <c r="M11" s="321">
        <v>160</v>
      </c>
      <c r="N11" s="321"/>
      <c r="O11" s="321"/>
      <c r="P11" s="321" t="str">
        <f ca="1">IFERROR(INDEX(INDIRECT("'"&amp;P$3&amp;"'!R:R"),MATCH($D$1,INDIRECT("'"&amp;P$3&amp;"'!A:A"),0)),"")</f>
        <v/>
      </c>
      <c r="Q11" s="321"/>
      <c r="R11" s="321"/>
      <c r="S11" s="321" t="str">
        <f ca="1">IFERROR(INDEX(INDIRECT("'"&amp;S$3&amp;"'!R:R"),MATCH($D$1,INDIRECT("'"&amp;S$3&amp;"'!A:A"),0)),"")</f>
        <v/>
      </c>
      <c r="T11" s="321"/>
      <c r="U11" s="321"/>
      <c r="V11" s="321" t="str">
        <f ca="1">IFERROR(INDEX(INDIRECT("'"&amp;V$3&amp;"'!R:R"),MATCH($D$1,INDIRECT("'"&amp;V$3&amp;"'!A:A"),0)),"")</f>
        <v/>
      </c>
      <c r="W11" s="321"/>
      <c r="X11" s="321"/>
      <c r="Y11" s="321" t="str">
        <f ca="1">IFERROR(INDEX(INDIRECT("'"&amp;Y$3&amp;"'!R:R"),MATCH($D$1,INDIRECT("'"&amp;Y$3&amp;"'!A:A"),0)),"")</f>
        <v/>
      </c>
      <c r="Z11" s="321"/>
      <c r="AA11" s="321"/>
      <c r="AB11" s="194"/>
      <c r="AC11" s="194"/>
      <c r="AD11" s="194"/>
      <c r="AF11" s="354"/>
      <c r="AG11" s="355"/>
      <c r="AH11" s="355"/>
      <c r="AI11" s="355"/>
      <c r="AJ11" s="355"/>
      <c r="AK11" s="355"/>
      <c r="AL11" s="355"/>
      <c r="AM11" s="356"/>
      <c r="AN11" s="357"/>
      <c r="AO11" s="358"/>
      <c r="AP11" s="203"/>
      <c r="AQ11" s="359"/>
      <c r="AR11" s="355"/>
      <c r="AS11" s="355"/>
      <c r="AT11" s="355"/>
      <c r="AU11" s="355"/>
      <c r="AV11" s="355"/>
      <c r="AW11" s="355"/>
      <c r="AX11" s="355"/>
      <c r="AY11" s="355"/>
      <c r="AZ11" s="355"/>
      <c r="BA11" s="355"/>
      <c r="BB11" s="355"/>
      <c r="BC11" s="355"/>
      <c r="BD11" s="355"/>
      <c r="BE11" s="360"/>
      <c r="BH11" s="187">
        <v>9</v>
      </c>
      <c r="BI11" s="317" t="s">
        <v>382</v>
      </c>
      <c r="BJ11" s="317" t="s">
        <v>269</v>
      </c>
      <c r="BK11" s="317" t="s">
        <v>392</v>
      </c>
      <c r="BL11" s="317" t="s">
        <v>281</v>
      </c>
      <c r="BM11" s="317" t="s">
        <v>281</v>
      </c>
      <c r="BN11" s="318" t="s">
        <v>281</v>
      </c>
      <c r="BO11" s="215" t="s">
        <v>724</v>
      </c>
      <c r="BP11" s="209" t="s">
        <v>724</v>
      </c>
      <c r="BQ11" s="209"/>
      <c r="BR11" s="209"/>
      <c r="BS11" s="209"/>
      <c r="BT11" s="210"/>
      <c r="BU11" s="319"/>
      <c r="BV11" s="317"/>
      <c r="BW11" s="317"/>
      <c r="BX11" s="320"/>
      <c r="BZ11" s="285" t="b">
        <v>0</v>
      </c>
      <c r="CA11" s="192" t="s">
        <v>239</v>
      </c>
      <c r="CB11" s="178"/>
      <c r="CC11" s="178"/>
      <c r="CD11" s="178"/>
      <c r="CE11" s="178"/>
      <c r="CF11" s="193"/>
      <c r="CG11" s="193"/>
      <c r="CH11" s="193"/>
      <c r="CI11" s="178"/>
      <c r="CJ11" s="178"/>
      <c r="CK11" s="178"/>
    </row>
    <row r="12" spans="1:98" ht="22.5" customHeight="1">
      <c r="B12" s="338" t="s">
        <v>218</v>
      </c>
      <c r="C12" s="339"/>
      <c r="D12" s="339"/>
      <c r="E12" s="339"/>
      <c r="F12" s="340"/>
      <c r="G12" s="341">
        <f ca="1">IFERROR(G11/G5,"")</f>
        <v>0.28191489361702127</v>
      </c>
      <c r="H12" s="341"/>
      <c r="I12" s="341"/>
      <c r="J12" s="341">
        <f>IFERROR(J11/J5,"")</f>
        <v>0.30635838150289019</v>
      </c>
      <c r="K12" s="341"/>
      <c r="L12" s="341"/>
      <c r="M12" s="341">
        <f>IFERROR(M11/M5,"")</f>
        <v>0.28520499108734404</v>
      </c>
      <c r="N12" s="341"/>
      <c r="O12" s="341"/>
      <c r="P12" s="341" t="str">
        <f ca="1">IFERROR(P11/P5,"")</f>
        <v/>
      </c>
      <c r="Q12" s="341"/>
      <c r="R12" s="341"/>
      <c r="S12" s="341" t="str">
        <f ca="1">IFERROR(S11/S5,"")</f>
        <v/>
      </c>
      <c r="T12" s="341"/>
      <c r="U12" s="341"/>
      <c r="V12" s="341" t="str">
        <f ca="1">IFERROR(V11/V5,"")</f>
        <v/>
      </c>
      <c r="W12" s="341"/>
      <c r="X12" s="341"/>
      <c r="Y12" s="341" t="str">
        <f ca="1">IFERROR(Y11/Y5,"")</f>
        <v/>
      </c>
      <c r="Z12" s="341"/>
      <c r="AA12" s="341"/>
      <c r="AB12" s="237"/>
      <c r="AC12" s="237"/>
      <c r="AD12" s="237"/>
      <c r="AF12" s="347" t="s">
        <v>753</v>
      </c>
      <c r="AG12" s="348"/>
      <c r="AH12" s="348"/>
      <c r="AI12" s="348"/>
      <c r="AJ12" s="348"/>
      <c r="AK12" s="348"/>
      <c r="AL12" s="348"/>
      <c r="AM12" s="349"/>
      <c r="AN12" s="350" t="s">
        <v>755</v>
      </c>
      <c r="AO12" s="351"/>
      <c r="AP12" s="202"/>
      <c r="AQ12" s="352" t="s">
        <v>758</v>
      </c>
      <c r="AR12" s="348"/>
      <c r="AS12" s="348"/>
      <c r="AT12" s="348"/>
      <c r="AU12" s="348"/>
      <c r="AV12" s="348"/>
      <c r="AW12" s="348"/>
      <c r="AX12" s="348"/>
      <c r="AY12" s="348"/>
      <c r="AZ12" s="348"/>
      <c r="BA12" s="348"/>
      <c r="BB12" s="348"/>
      <c r="BC12" s="348"/>
      <c r="BD12" s="348"/>
      <c r="BE12" s="353"/>
      <c r="BH12" s="187">
        <v>10</v>
      </c>
      <c r="BI12" s="317" t="s">
        <v>382</v>
      </c>
      <c r="BJ12" s="317" t="s">
        <v>269</v>
      </c>
      <c r="BK12" s="317" t="s">
        <v>393</v>
      </c>
      <c r="BL12" s="317" t="s">
        <v>282</v>
      </c>
      <c r="BM12" s="317" t="s">
        <v>282</v>
      </c>
      <c r="BN12" s="318" t="s">
        <v>282</v>
      </c>
      <c r="BO12" s="215"/>
      <c r="BP12" s="209"/>
      <c r="BQ12" s="209"/>
      <c r="BR12" s="209"/>
      <c r="BS12" s="209"/>
      <c r="BT12" s="210"/>
      <c r="BU12" s="319"/>
      <c r="BV12" s="317"/>
      <c r="BW12" s="317"/>
      <c r="BX12" s="320"/>
      <c r="BZ12" s="285" t="b">
        <v>0</v>
      </c>
      <c r="CA12" s="192" t="s">
        <v>77</v>
      </c>
      <c r="CB12" s="178"/>
      <c r="CC12" s="178"/>
      <c r="CD12" s="178"/>
      <c r="CE12" s="178"/>
      <c r="CF12" s="193"/>
      <c r="CG12" s="193"/>
      <c r="CH12" s="193"/>
      <c r="CI12" s="178"/>
      <c r="CJ12" s="178"/>
      <c r="CK12" s="178"/>
    </row>
    <row r="13" spans="1:98" ht="22.5" customHeight="1">
      <c r="B13" s="335" t="s">
        <v>47</v>
      </c>
      <c r="C13" s="336"/>
      <c r="D13" s="336"/>
      <c r="E13" s="336"/>
      <c r="F13" s="337"/>
      <c r="G13" s="361">
        <f ca="1">IFERROR(INDEX(INDIRECT("'"&amp;G$3&amp;"'!M:M"),MATCH($D$1,INDIRECT("'"&amp;G$3&amp;"'!A:A"),0)),"")</f>
        <v>0</v>
      </c>
      <c r="H13" s="361"/>
      <c r="I13" s="361"/>
      <c r="J13" s="361">
        <v>1</v>
      </c>
      <c r="K13" s="361"/>
      <c r="L13" s="361"/>
      <c r="M13" s="361">
        <v>0</v>
      </c>
      <c r="N13" s="361"/>
      <c r="O13" s="361"/>
      <c r="P13" s="361">
        <v>1</v>
      </c>
      <c r="Q13" s="361"/>
      <c r="R13" s="361"/>
      <c r="S13" s="361" t="str">
        <f ca="1">IFERROR(INDEX(INDIRECT("'"&amp;S$3&amp;"'!M:M"),MATCH($D$1,INDIRECT("'"&amp;S$3&amp;"'!A:A"),0)),"")</f>
        <v/>
      </c>
      <c r="T13" s="361"/>
      <c r="U13" s="361"/>
      <c r="V13" s="361" t="str">
        <f ca="1">IFERROR(INDEX(INDIRECT("'"&amp;V$3&amp;"'!M:M"),MATCH($D$1,INDIRECT("'"&amp;V$3&amp;"'!A:A"),0)),"")</f>
        <v/>
      </c>
      <c r="W13" s="361"/>
      <c r="X13" s="361"/>
      <c r="Y13" s="361" t="str">
        <f ca="1">IFERROR(INDEX(INDIRECT("'"&amp;Y$3&amp;"'!M:M"),MATCH($D$1,INDIRECT("'"&amp;Y$3&amp;"'!A:A"),0)),"")</f>
        <v/>
      </c>
      <c r="Z13" s="361"/>
      <c r="AA13" s="361"/>
      <c r="AB13" s="238"/>
      <c r="AC13" s="238"/>
      <c r="AD13" s="238"/>
      <c r="AF13" s="367" t="s">
        <v>731</v>
      </c>
      <c r="AG13" s="368"/>
      <c r="AH13" s="368"/>
      <c r="AI13" s="368"/>
      <c r="AJ13" s="368"/>
      <c r="AK13" s="368"/>
      <c r="AL13" s="368"/>
      <c r="AM13" s="369"/>
      <c r="AN13" s="370" t="s">
        <v>756</v>
      </c>
      <c r="AO13" s="371"/>
      <c r="AP13" s="204"/>
      <c r="AQ13" s="372" t="s">
        <v>757</v>
      </c>
      <c r="AR13" s="368"/>
      <c r="AS13" s="368"/>
      <c r="AT13" s="368"/>
      <c r="AU13" s="368"/>
      <c r="AV13" s="368"/>
      <c r="AW13" s="368"/>
      <c r="AX13" s="368"/>
      <c r="AY13" s="368"/>
      <c r="AZ13" s="368"/>
      <c r="BA13" s="368"/>
      <c r="BB13" s="368"/>
      <c r="BC13" s="368"/>
      <c r="BD13" s="368"/>
      <c r="BE13" s="373"/>
      <c r="BH13" s="187">
        <v>11</v>
      </c>
      <c r="BI13" s="317" t="s">
        <v>381</v>
      </c>
      <c r="BJ13" s="317" t="s">
        <v>268</v>
      </c>
      <c r="BK13" s="317" t="s">
        <v>394</v>
      </c>
      <c r="BL13" s="317" t="s">
        <v>283</v>
      </c>
      <c r="BM13" s="317" t="s">
        <v>283</v>
      </c>
      <c r="BN13" s="318" t="s">
        <v>283</v>
      </c>
      <c r="BO13" s="215" t="s">
        <v>724</v>
      </c>
      <c r="BP13" s="209" t="s">
        <v>724</v>
      </c>
      <c r="BQ13" s="209" t="s">
        <v>724</v>
      </c>
      <c r="BR13" s="209"/>
      <c r="BS13" s="209"/>
      <c r="BT13" s="210"/>
      <c r="BU13" s="362" t="s">
        <v>228</v>
      </c>
      <c r="BV13" s="319" t="s">
        <v>267</v>
      </c>
      <c r="BW13" s="317"/>
      <c r="BX13" s="320"/>
      <c r="BZ13" s="285" t="b">
        <v>0</v>
      </c>
      <c r="CA13" s="192" t="s">
        <v>78</v>
      </c>
      <c r="CB13" s="178"/>
      <c r="CC13" s="178"/>
      <c r="CD13" s="178"/>
      <c r="CE13" s="178"/>
      <c r="CF13" s="193"/>
      <c r="CG13" s="193"/>
      <c r="CH13" s="193"/>
      <c r="CI13" s="178"/>
      <c r="CJ13" s="178"/>
      <c r="CK13" s="178"/>
    </row>
    <row r="14" spans="1:98" ht="22.5" customHeight="1" thickBot="1">
      <c r="A14" s="201" t="s">
        <v>251</v>
      </c>
      <c r="B14" s="363" t="s">
        <v>227</v>
      </c>
      <c r="C14" s="364"/>
      <c r="D14" s="364"/>
      <c r="E14" s="364"/>
      <c r="F14" s="365"/>
      <c r="G14" s="366"/>
      <c r="H14" s="366"/>
      <c r="I14" s="366"/>
      <c r="J14" s="366"/>
      <c r="K14" s="366"/>
      <c r="L14" s="366"/>
      <c r="M14" s="366"/>
      <c r="N14" s="366"/>
      <c r="O14" s="366"/>
      <c r="P14" s="366"/>
      <c r="Q14" s="366"/>
      <c r="R14" s="366"/>
      <c r="S14" s="366"/>
      <c r="T14" s="366"/>
      <c r="U14" s="366"/>
      <c r="V14" s="366"/>
      <c r="W14" s="366"/>
      <c r="X14" s="366"/>
      <c r="Y14" s="366"/>
      <c r="Z14" s="366"/>
      <c r="AA14" s="366"/>
      <c r="AB14" s="239"/>
      <c r="AC14" s="239"/>
      <c r="AD14" s="239"/>
      <c r="AF14" s="367"/>
      <c r="AG14" s="368"/>
      <c r="AH14" s="368"/>
      <c r="AI14" s="368"/>
      <c r="AJ14" s="368"/>
      <c r="AK14" s="368"/>
      <c r="AL14" s="368"/>
      <c r="AM14" s="369"/>
      <c r="AN14" s="370"/>
      <c r="AO14" s="371"/>
      <c r="AP14" s="204"/>
      <c r="AQ14" s="372"/>
      <c r="AR14" s="368"/>
      <c r="AS14" s="368"/>
      <c r="AT14" s="368"/>
      <c r="AU14" s="368"/>
      <c r="AV14" s="368"/>
      <c r="AW14" s="368"/>
      <c r="AX14" s="368"/>
      <c r="AY14" s="368"/>
      <c r="AZ14" s="368"/>
      <c r="BA14" s="368"/>
      <c r="BB14" s="368"/>
      <c r="BC14" s="368"/>
      <c r="BD14" s="368"/>
      <c r="BE14" s="373"/>
      <c r="BH14" s="187">
        <v>12</v>
      </c>
      <c r="BI14" s="317" t="s">
        <v>382</v>
      </c>
      <c r="BJ14" s="317" t="s">
        <v>269</v>
      </c>
      <c r="BK14" s="317" t="s">
        <v>395</v>
      </c>
      <c r="BL14" s="317" t="s">
        <v>284</v>
      </c>
      <c r="BM14" s="317" t="s">
        <v>284</v>
      </c>
      <c r="BN14" s="318" t="s">
        <v>284</v>
      </c>
      <c r="BO14" s="215"/>
      <c r="BP14" s="209"/>
      <c r="BQ14" s="209"/>
      <c r="BR14" s="209"/>
      <c r="BS14" s="209"/>
      <c r="BT14" s="210"/>
      <c r="BU14" s="362"/>
      <c r="BV14" s="319"/>
      <c r="BW14" s="317"/>
      <c r="BX14" s="320"/>
      <c r="BZ14" s="285" t="b">
        <v>0</v>
      </c>
      <c r="CA14" s="192" t="s">
        <v>79</v>
      </c>
      <c r="CB14" s="178"/>
      <c r="CC14" s="178"/>
      <c r="CD14" s="178"/>
      <c r="CE14" s="178"/>
      <c r="CF14" s="178"/>
      <c r="CG14" s="178"/>
      <c r="CH14" s="178"/>
      <c r="CI14" s="178"/>
      <c r="CJ14" s="178"/>
      <c r="CK14" s="178"/>
    </row>
    <row r="15" spans="1:98" ht="22.5" customHeight="1" thickTop="1">
      <c r="B15" s="382" t="s">
        <v>264</v>
      </c>
      <c r="C15" s="383"/>
      <c r="D15" s="383"/>
      <c r="E15" s="383"/>
      <c r="F15" s="384"/>
      <c r="G15" s="385">
        <f ca="1">IFERROR(INDEX(INDIRECT("'"&amp;G$3&amp;"'!X:X"),MATCH($D$1,INDIRECT("'"&amp;G$3&amp;"'!A:A"),0)),"")</f>
        <v>663446.78399999999</v>
      </c>
      <c r="H15" s="385"/>
      <c r="I15" s="385"/>
      <c r="J15" s="385">
        <v>599831</v>
      </c>
      <c r="K15" s="385"/>
      <c r="L15" s="385"/>
      <c r="M15" s="385">
        <v>651354</v>
      </c>
      <c r="N15" s="385"/>
      <c r="O15" s="385"/>
      <c r="P15" s="385" t="str">
        <f ca="1">IFERROR(INDEX(INDIRECT("'"&amp;P$3&amp;"'!X:X"),MATCH($D$1,INDIRECT("'"&amp;P$3&amp;"'!A:A"),0)),"")</f>
        <v/>
      </c>
      <c r="Q15" s="385"/>
      <c r="R15" s="385"/>
      <c r="S15" s="385" t="str">
        <f ca="1">IFERROR(INDEX(INDIRECT("'"&amp;S$3&amp;"'!X:X"),MATCH($D$1,INDIRECT("'"&amp;S$3&amp;"'!A:A"),0)),"")</f>
        <v/>
      </c>
      <c r="T15" s="385"/>
      <c r="U15" s="385"/>
      <c r="V15" s="386" t="s">
        <v>266</v>
      </c>
      <c r="W15" s="387"/>
      <c r="X15" s="388">
        <f ca="1">AVERAGE(G15:U15)</f>
        <v>638210.5946666667</v>
      </c>
      <c r="Y15" s="388"/>
      <c r="Z15" s="388"/>
      <c r="AA15" s="389"/>
      <c r="AB15" s="162"/>
      <c r="BH15" s="187">
        <v>13</v>
      </c>
      <c r="BI15" s="318" t="s">
        <v>382</v>
      </c>
      <c r="BJ15" s="319"/>
      <c r="BK15" s="318" t="s">
        <v>396</v>
      </c>
      <c r="BL15" s="390"/>
      <c r="BM15" s="390"/>
      <c r="BN15" s="391"/>
      <c r="BO15" s="215"/>
      <c r="BP15" s="209"/>
      <c r="BQ15" s="209"/>
      <c r="BR15" s="209"/>
      <c r="BS15" s="209"/>
      <c r="BT15" s="210"/>
      <c r="BU15" s="248"/>
      <c r="BV15" s="246"/>
      <c r="BW15" s="244"/>
      <c r="BX15" s="247"/>
      <c r="BZ15" s="285" t="b">
        <v>0</v>
      </c>
      <c r="CA15" s="192" t="s">
        <v>80</v>
      </c>
      <c r="CB15" s="178"/>
      <c r="CC15" s="178"/>
      <c r="CD15" s="178"/>
      <c r="CE15" s="178"/>
      <c r="CF15" s="178"/>
      <c r="CG15" s="178"/>
      <c r="CH15" s="178"/>
      <c r="CI15" s="178"/>
      <c r="CJ15" s="178"/>
      <c r="CK15" s="178"/>
    </row>
    <row r="16" spans="1:98" s="164" customFormat="1" ht="22.5" customHeight="1">
      <c r="B16" s="164">
        <f ca="1">DAY(EOMONTH(B17, 0))</f>
        <v>30</v>
      </c>
      <c r="V16" s="220"/>
      <c r="W16" s="220"/>
      <c r="X16" s="220"/>
      <c r="Y16" s="220"/>
      <c r="Z16" s="220"/>
      <c r="AA16" s="220"/>
      <c r="AB16" s="162"/>
      <c r="AC16" s="374" t="s">
        <v>236</v>
      </c>
      <c r="AD16" s="375"/>
      <c r="AE16" s="375"/>
      <c r="AF16" s="375"/>
      <c r="AG16" s="375"/>
      <c r="AH16" s="375"/>
      <c r="AI16" s="375"/>
      <c r="AJ16" s="376"/>
      <c r="AK16" s="377" t="s">
        <v>254</v>
      </c>
      <c r="AL16" s="378"/>
      <c r="AM16" s="379"/>
      <c r="AN16" s="380" t="s">
        <v>27</v>
      </c>
      <c r="AO16" s="378"/>
      <c r="AP16" s="381"/>
      <c r="AQ16" s="377" t="s">
        <v>226</v>
      </c>
      <c r="AR16" s="378"/>
      <c r="AS16" s="379"/>
      <c r="AT16" s="380" t="s">
        <v>14</v>
      </c>
      <c r="AU16" s="378"/>
      <c r="AV16" s="381"/>
      <c r="AW16" s="377" t="s">
        <v>22</v>
      </c>
      <c r="AX16" s="378"/>
      <c r="AY16" s="379"/>
      <c r="AZ16" s="380" t="s">
        <v>1</v>
      </c>
      <c r="BA16" s="378"/>
      <c r="BB16" s="379"/>
      <c r="BH16" s="187">
        <v>14</v>
      </c>
      <c r="BI16" s="244"/>
      <c r="BJ16" s="244"/>
      <c r="BK16" s="244"/>
      <c r="BL16" s="244"/>
      <c r="BM16" s="244"/>
      <c r="BN16" s="245"/>
      <c r="BO16" s="215"/>
      <c r="BP16" s="209"/>
      <c r="BQ16" s="209"/>
      <c r="BR16" s="209"/>
      <c r="BS16" s="209"/>
      <c r="BT16" s="210"/>
      <c r="BU16" s="246"/>
      <c r="BV16" s="244"/>
      <c r="BW16" s="244"/>
      <c r="BX16" s="247"/>
      <c r="BZ16" s="285" t="b">
        <v>0</v>
      </c>
      <c r="CA16" s="192" t="s">
        <v>81</v>
      </c>
      <c r="CB16" s="194"/>
      <c r="CC16" s="194"/>
      <c r="CD16" s="194"/>
      <c r="CE16" s="194"/>
      <c r="CF16" s="194"/>
      <c r="CG16" s="194"/>
      <c r="CH16" s="194"/>
      <c r="CI16" s="194"/>
      <c r="CJ16" s="194"/>
      <c r="CK16" s="194"/>
    </row>
    <row r="17" spans="2:89" ht="22.5" customHeight="1">
      <c r="B17" s="711">
        <f ca="1">NOW()</f>
        <v>46202.751855208335</v>
      </c>
      <c r="C17" s="711"/>
      <c r="D17" s="711"/>
      <c r="E17" s="711"/>
      <c r="F17" s="711"/>
      <c r="G17" s="322" t="s">
        <v>777</v>
      </c>
      <c r="H17" s="322"/>
      <c r="I17" s="322"/>
      <c r="J17" s="322" t="s">
        <v>778</v>
      </c>
      <c r="K17" s="322"/>
      <c r="L17" s="322"/>
      <c r="M17" s="322" t="s">
        <v>779</v>
      </c>
      <c r="N17" s="322"/>
      <c r="O17" s="322"/>
      <c r="P17" s="322" t="s">
        <v>780</v>
      </c>
      <c r="Q17" s="322"/>
      <c r="R17" s="322"/>
      <c r="S17" s="322" t="s">
        <v>781</v>
      </c>
      <c r="T17" s="322"/>
      <c r="U17" s="322"/>
      <c r="V17" s="322" t="s">
        <v>782</v>
      </c>
      <c r="W17" s="322"/>
      <c r="X17" s="322"/>
      <c r="Y17" s="235"/>
      <c r="Z17" s="235"/>
      <c r="AA17" s="235"/>
      <c r="AB17" s="165"/>
      <c r="AC17" s="392" t="s">
        <v>234</v>
      </c>
      <c r="AD17" s="393"/>
      <c r="AE17" s="393"/>
      <c r="AF17" s="394"/>
      <c r="AG17" s="398" t="s">
        <v>262</v>
      </c>
      <c r="AH17" s="399"/>
      <c r="AI17" s="399"/>
      <c r="AJ17" s="400"/>
      <c r="AK17" s="401">
        <v>9.1</v>
      </c>
      <c r="AL17" s="402"/>
      <c r="AM17" s="403"/>
      <c r="AN17" s="404">
        <v>9.9</v>
      </c>
      <c r="AO17" s="402"/>
      <c r="AP17" s="405"/>
      <c r="AQ17" s="401">
        <v>9.9</v>
      </c>
      <c r="AR17" s="402"/>
      <c r="AS17" s="403"/>
      <c r="AT17" s="404"/>
      <c r="AU17" s="402"/>
      <c r="AV17" s="405"/>
      <c r="AW17" s="401"/>
      <c r="AX17" s="402"/>
      <c r="AY17" s="403"/>
      <c r="AZ17" s="404"/>
      <c r="BA17" s="402"/>
      <c r="BB17" s="403"/>
      <c r="BH17" s="187">
        <v>15</v>
      </c>
      <c r="BI17" s="244"/>
      <c r="BJ17" s="244"/>
      <c r="BK17" s="244"/>
      <c r="BL17" s="244"/>
      <c r="BM17" s="244"/>
      <c r="BN17" s="245"/>
      <c r="BO17" s="215"/>
      <c r="BP17" s="209"/>
      <c r="BQ17" s="209"/>
      <c r="BR17" s="209"/>
      <c r="BS17" s="209"/>
      <c r="BT17" s="210"/>
      <c r="BU17" s="246"/>
      <c r="BV17" s="244"/>
      <c r="BW17" s="244"/>
      <c r="BX17" s="247"/>
      <c r="CA17" s="178"/>
      <c r="CB17" s="178"/>
      <c r="CC17" s="178"/>
      <c r="CD17" s="178"/>
      <c r="CE17" s="178"/>
      <c r="CF17" s="178"/>
      <c r="CG17" s="178"/>
      <c r="CH17" s="178"/>
      <c r="CI17" s="178"/>
      <c r="CJ17" s="178"/>
      <c r="CK17" s="178"/>
    </row>
    <row r="18" spans="2:89" ht="22.5" customHeight="1">
      <c r="B18" s="466" t="s">
        <v>32</v>
      </c>
      <c r="C18" s="466"/>
      <c r="D18" s="466"/>
      <c r="E18" s="466"/>
      <c r="F18" s="466"/>
      <c r="G18" s="709">
        <v>19</v>
      </c>
      <c r="H18" s="709"/>
      <c r="I18" s="709"/>
      <c r="J18" s="709">
        <v>19</v>
      </c>
      <c r="K18" s="709"/>
      <c r="L18" s="709"/>
      <c r="M18" s="709">
        <v>19</v>
      </c>
      <c r="N18" s="709"/>
      <c r="O18" s="709"/>
      <c r="P18" s="709">
        <v>19</v>
      </c>
      <c r="Q18" s="709"/>
      <c r="R18" s="709"/>
      <c r="S18" s="709"/>
      <c r="T18" s="709"/>
      <c r="U18" s="709"/>
      <c r="V18" s="728">
        <f>COUNTA([1]人員配置【入力用】!$C$13:$C$32)</f>
        <v>19</v>
      </c>
      <c r="W18" s="728"/>
      <c r="X18" s="728"/>
      <c r="Y18" s="235"/>
      <c r="Z18" s="235"/>
      <c r="AA18" s="235"/>
      <c r="AB18" s="162"/>
      <c r="AC18" s="395"/>
      <c r="AD18" s="396"/>
      <c r="AE18" s="396"/>
      <c r="AF18" s="397"/>
      <c r="AG18" s="407" t="s">
        <v>50</v>
      </c>
      <c r="AH18" s="408"/>
      <c r="AI18" s="408"/>
      <c r="AJ18" s="409"/>
      <c r="AK18" s="410">
        <f>343/160</f>
        <v>2.1437499999999998</v>
      </c>
      <c r="AL18" s="411"/>
      <c r="AM18" s="412"/>
      <c r="AN18" s="413"/>
      <c r="AO18" s="411"/>
      <c r="AP18" s="414"/>
      <c r="AQ18" s="410">
        <v>0.1</v>
      </c>
      <c r="AR18" s="411"/>
      <c r="AS18" s="412"/>
      <c r="AT18" s="413"/>
      <c r="AU18" s="411"/>
      <c r="AV18" s="414"/>
      <c r="AW18" s="410"/>
      <c r="AX18" s="411"/>
      <c r="AY18" s="412"/>
      <c r="AZ18" s="413"/>
      <c r="BA18" s="411"/>
      <c r="BB18" s="412"/>
      <c r="BH18" s="187">
        <v>16</v>
      </c>
      <c r="BI18" s="244"/>
      <c r="BJ18" s="244"/>
      <c r="BK18" s="244"/>
      <c r="BL18" s="244"/>
      <c r="BM18" s="244"/>
      <c r="BN18" s="245"/>
      <c r="BO18" s="215"/>
      <c r="BP18" s="209"/>
      <c r="BQ18" s="209"/>
      <c r="BR18" s="209"/>
      <c r="BS18" s="209"/>
      <c r="BT18" s="210"/>
      <c r="BU18" s="246"/>
      <c r="BV18" s="244"/>
      <c r="BW18" s="244"/>
      <c r="BX18" s="247"/>
      <c r="BZ18" s="181" t="s">
        <v>949</v>
      </c>
      <c r="CA18" s="179"/>
      <c r="CB18" s="179"/>
      <c r="CC18" s="179"/>
      <c r="CD18" s="179"/>
      <c r="CE18" s="179"/>
      <c r="CF18" s="179"/>
      <c r="CG18" s="179"/>
      <c r="CH18" s="179"/>
      <c r="CI18" s="179"/>
      <c r="CJ18" s="179"/>
      <c r="CK18" s="179"/>
    </row>
    <row r="19" spans="2:89" ht="22.5" customHeight="1">
      <c r="B19" s="708" t="s">
        <v>225</v>
      </c>
      <c r="C19" s="708"/>
      <c r="D19" s="708"/>
      <c r="E19" s="708"/>
      <c r="F19" s="708"/>
      <c r="G19" s="709">
        <v>555</v>
      </c>
      <c r="H19" s="709"/>
      <c r="I19" s="709"/>
      <c r="J19" s="709">
        <v>555</v>
      </c>
      <c r="K19" s="709"/>
      <c r="L19" s="709"/>
      <c r="M19" s="709">
        <v>555</v>
      </c>
      <c r="N19" s="709"/>
      <c r="O19" s="709"/>
      <c r="P19" s="709">
        <v>555</v>
      </c>
      <c r="Q19" s="709"/>
      <c r="R19" s="709"/>
      <c r="S19" s="709"/>
      <c r="T19" s="709"/>
      <c r="U19" s="709"/>
      <c r="V19" s="728">
        <f>SUM([1]人員配置【入力用】!$E$13:$E$32)</f>
        <v>555</v>
      </c>
      <c r="W19" s="728"/>
      <c r="X19" s="728"/>
      <c r="Y19" s="235"/>
      <c r="Z19" s="235"/>
      <c r="AA19" s="235"/>
      <c r="AB19" s="162"/>
      <c r="AC19" s="446">
        <v>9.9</v>
      </c>
      <c r="AD19" s="447"/>
      <c r="AE19" s="447"/>
      <c r="AF19" s="448"/>
      <c r="AG19" s="452" t="s">
        <v>51</v>
      </c>
      <c r="AH19" s="453"/>
      <c r="AI19" s="453"/>
      <c r="AJ19" s="454"/>
      <c r="AK19" s="421">
        <f>13/160</f>
        <v>8.1250000000000003E-2</v>
      </c>
      <c r="AL19" s="416"/>
      <c r="AM19" s="417"/>
      <c r="AN19" s="415"/>
      <c r="AO19" s="416"/>
      <c r="AP19" s="442"/>
      <c r="AQ19" s="421">
        <v>0.15</v>
      </c>
      <c r="AR19" s="416"/>
      <c r="AS19" s="417"/>
      <c r="AT19" s="415"/>
      <c r="AU19" s="416"/>
      <c r="AV19" s="442"/>
      <c r="AW19" s="421"/>
      <c r="AX19" s="416"/>
      <c r="AY19" s="417"/>
      <c r="AZ19" s="415"/>
      <c r="BA19" s="416"/>
      <c r="BB19" s="417"/>
      <c r="BH19" s="187">
        <v>17</v>
      </c>
      <c r="BI19" s="244"/>
      <c r="BJ19" s="244"/>
      <c r="BK19" s="244"/>
      <c r="BL19" s="244"/>
      <c r="BM19" s="244"/>
      <c r="BN19" s="245"/>
      <c r="BO19" s="215"/>
      <c r="BP19" s="209"/>
      <c r="BQ19" s="209"/>
      <c r="BR19" s="209"/>
      <c r="BS19" s="209"/>
      <c r="BT19" s="210"/>
      <c r="BU19" s="246"/>
      <c r="BV19" s="244"/>
      <c r="BW19" s="244"/>
      <c r="BX19" s="247"/>
      <c r="BZ19" s="285" t="b">
        <v>0</v>
      </c>
      <c r="CA19" s="178" t="s">
        <v>100</v>
      </c>
      <c r="CB19" s="178"/>
      <c r="CC19" s="178"/>
      <c r="CD19" s="178"/>
      <c r="CE19" s="178"/>
      <c r="CF19" s="178"/>
      <c r="CG19" s="178"/>
      <c r="CH19" s="178"/>
      <c r="CI19" s="178"/>
      <c r="CJ19" s="178"/>
      <c r="CK19" s="178"/>
    </row>
    <row r="20" spans="2:89" ht="22.5" customHeight="1">
      <c r="B20" s="466" t="s">
        <v>33</v>
      </c>
      <c r="C20" s="466"/>
      <c r="D20" s="466"/>
      <c r="E20" s="466"/>
      <c r="F20" s="466"/>
      <c r="G20" s="710">
        <f ca="1">G19/(B16*20)</f>
        <v>0.92500000000000004</v>
      </c>
      <c r="H20" s="710"/>
      <c r="I20" s="710"/>
      <c r="J20" s="710">
        <f ca="1">J19/(B16*20)</f>
        <v>0.92500000000000004</v>
      </c>
      <c r="K20" s="710"/>
      <c r="L20" s="710"/>
      <c r="M20" s="710">
        <v>0.92500000000000004</v>
      </c>
      <c r="N20" s="710"/>
      <c r="O20" s="710"/>
      <c r="P20" s="710">
        <v>0.92500000000000004</v>
      </c>
      <c r="Q20" s="710"/>
      <c r="R20" s="710"/>
      <c r="S20" s="710"/>
      <c r="T20" s="710"/>
      <c r="U20" s="710"/>
      <c r="V20" s="712">
        <f ca="1">V19/(B16*20)</f>
        <v>0.92500000000000004</v>
      </c>
      <c r="W20" s="712"/>
      <c r="X20" s="712"/>
      <c r="Y20" s="235"/>
      <c r="Z20" s="235"/>
      <c r="AA20" s="235"/>
      <c r="AB20" s="162"/>
      <c r="AC20" s="446"/>
      <c r="AD20" s="447"/>
      <c r="AE20" s="447"/>
      <c r="AF20" s="448"/>
      <c r="AG20" s="439" t="s">
        <v>232</v>
      </c>
      <c r="AH20" s="440"/>
      <c r="AI20" s="440"/>
      <c r="AJ20" s="441"/>
      <c r="AK20" s="410">
        <v>0</v>
      </c>
      <c r="AL20" s="411"/>
      <c r="AM20" s="412"/>
      <c r="AN20" s="413"/>
      <c r="AO20" s="411"/>
      <c r="AP20" s="414"/>
      <c r="AQ20" s="410">
        <v>1</v>
      </c>
      <c r="AR20" s="411"/>
      <c r="AS20" s="412"/>
      <c r="AT20" s="413"/>
      <c r="AU20" s="411"/>
      <c r="AV20" s="414"/>
      <c r="AW20" s="410"/>
      <c r="AX20" s="411"/>
      <c r="AY20" s="412"/>
      <c r="AZ20" s="413"/>
      <c r="BA20" s="411"/>
      <c r="BB20" s="412"/>
      <c r="BH20" s="187">
        <v>18</v>
      </c>
      <c r="BI20" s="244"/>
      <c r="BJ20" s="244"/>
      <c r="BK20" s="244"/>
      <c r="BL20" s="244"/>
      <c r="BM20" s="244"/>
      <c r="BN20" s="245"/>
      <c r="BO20" s="215"/>
      <c r="BP20" s="209"/>
      <c r="BQ20" s="209"/>
      <c r="BR20" s="209"/>
      <c r="BS20" s="209"/>
      <c r="BT20" s="210"/>
      <c r="BU20" s="246"/>
      <c r="BV20" s="244"/>
      <c r="BW20" s="244"/>
      <c r="BX20" s="247"/>
      <c r="BZ20" s="285" t="b">
        <v>0</v>
      </c>
      <c r="CA20" s="178" t="s">
        <v>98</v>
      </c>
      <c r="CB20" s="178"/>
      <c r="CC20" s="178"/>
      <c r="CD20" s="194"/>
      <c r="CE20" s="193"/>
      <c r="CF20" s="178"/>
      <c r="CG20" s="178"/>
      <c r="CH20" s="178"/>
      <c r="CI20" s="178"/>
      <c r="CJ20" s="178"/>
      <c r="CK20" s="178"/>
    </row>
    <row r="21" spans="2:89" ht="22.5" customHeight="1" thickBot="1">
      <c r="B21" s="708" t="s">
        <v>783</v>
      </c>
      <c r="C21" s="708"/>
      <c r="D21" s="708"/>
      <c r="E21" s="708"/>
      <c r="F21" s="708"/>
      <c r="G21" s="710"/>
      <c r="H21" s="710"/>
      <c r="I21" s="710"/>
      <c r="J21" s="710"/>
      <c r="K21" s="710"/>
      <c r="L21" s="710"/>
      <c r="M21" s="710"/>
      <c r="N21" s="710"/>
      <c r="O21" s="710"/>
      <c r="P21" s="710"/>
      <c r="Q21" s="710"/>
      <c r="R21" s="710"/>
      <c r="S21" s="710"/>
      <c r="T21" s="710"/>
      <c r="U21" s="710"/>
      <c r="V21" s="712"/>
      <c r="W21" s="712"/>
      <c r="X21" s="712"/>
      <c r="Y21" s="235"/>
      <c r="Z21" s="235"/>
      <c r="AA21" s="235"/>
      <c r="AB21" s="162"/>
      <c r="AC21" s="446"/>
      <c r="AD21" s="447"/>
      <c r="AE21" s="447"/>
      <c r="AF21" s="448"/>
      <c r="AG21" s="443" t="s">
        <v>233</v>
      </c>
      <c r="AH21" s="444"/>
      <c r="AI21" s="444"/>
      <c r="AJ21" s="445"/>
      <c r="AK21" s="421">
        <f>166/160</f>
        <v>1.0375000000000001</v>
      </c>
      <c r="AL21" s="416"/>
      <c r="AM21" s="417"/>
      <c r="AN21" s="415"/>
      <c r="AO21" s="416"/>
      <c r="AP21" s="442"/>
      <c r="AQ21" s="421">
        <v>0.52</v>
      </c>
      <c r="AR21" s="416"/>
      <c r="AS21" s="417"/>
      <c r="AT21" s="415"/>
      <c r="AU21" s="416"/>
      <c r="AV21" s="442"/>
      <c r="AW21" s="421"/>
      <c r="AX21" s="416"/>
      <c r="AY21" s="417"/>
      <c r="AZ21" s="415"/>
      <c r="BA21" s="416"/>
      <c r="BB21" s="417"/>
      <c r="BH21" s="187">
        <v>19</v>
      </c>
      <c r="BI21" s="244"/>
      <c r="BJ21" s="244"/>
      <c r="BK21" s="244"/>
      <c r="BL21" s="244"/>
      <c r="BM21" s="244"/>
      <c r="BN21" s="245"/>
      <c r="BO21" s="215"/>
      <c r="BP21" s="209"/>
      <c r="BQ21" s="209"/>
      <c r="BR21" s="209"/>
      <c r="BS21" s="209"/>
      <c r="BT21" s="210"/>
      <c r="BU21" s="246"/>
      <c r="BV21" s="244"/>
      <c r="BW21" s="244"/>
      <c r="BX21" s="247"/>
      <c r="BZ21" s="285" t="b">
        <v>0</v>
      </c>
      <c r="CA21" s="178" t="s">
        <v>99</v>
      </c>
      <c r="CB21" s="178"/>
      <c r="CC21" s="178"/>
      <c r="CD21" s="194"/>
      <c r="CE21" s="193"/>
      <c r="CF21" s="178"/>
      <c r="CG21" s="178"/>
      <c r="CH21" s="178"/>
      <c r="CI21" s="178"/>
      <c r="CJ21" s="178"/>
      <c r="CK21" s="178"/>
    </row>
    <row r="22" spans="2:89" ht="22.5" customHeight="1" thickTop="1">
      <c r="B22" s="466" t="s">
        <v>784</v>
      </c>
      <c r="C22" s="466"/>
      <c r="D22" s="466"/>
      <c r="E22" s="466"/>
      <c r="F22" s="466"/>
      <c r="G22" s="710"/>
      <c r="H22" s="710"/>
      <c r="I22" s="710"/>
      <c r="J22" s="710"/>
      <c r="K22" s="710"/>
      <c r="L22" s="710"/>
      <c r="M22" s="710"/>
      <c r="N22" s="710"/>
      <c r="O22" s="710"/>
      <c r="P22" s="710"/>
      <c r="Q22" s="710"/>
      <c r="R22" s="710"/>
      <c r="S22" s="710"/>
      <c r="T22" s="710"/>
      <c r="U22" s="710"/>
      <c r="V22" s="712"/>
      <c r="W22" s="712"/>
      <c r="X22" s="712"/>
      <c r="Y22" s="235"/>
      <c r="Z22" s="235"/>
      <c r="AA22" s="235"/>
      <c r="AB22" s="162"/>
      <c r="AC22" s="449"/>
      <c r="AD22" s="450"/>
      <c r="AE22" s="450"/>
      <c r="AF22" s="451"/>
      <c r="AG22" s="418" t="s">
        <v>235</v>
      </c>
      <c r="AH22" s="419"/>
      <c r="AI22" s="419"/>
      <c r="AJ22" s="420"/>
      <c r="AK22" s="462">
        <f>IFERROR((AK20+AK21)/AK17,"")</f>
        <v>0.11401098901098902</v>
      </c>
      <c r="AL22" s="463"/>
      <c r="AM22" s="464"/>
      <c r="AN22" s="462">
        <f>IFERROR((AN20+AN21)/AN17,"")</f>
        <v>0</v>
      </c>
      <c r="AO22" s="463"/>
      <c r="AP22" s="464"/>
      <c r="AQ22" s="462">
        <f>IFERROR((AQ20+AQ21)/AQ17,"")</f>
        <v>0.15353535353535352</v>
      </c>
      <c r="AR22" s="463"/>
      <c r="AS22" s="464"/>
      <c r="AT22" s="462" t="str">
        <f>IFERROR((AT20+AT21)/AT17,"")</f>
        <v/>
      </c>
      <c r="AU22" s="463"/>
      <c r="AV22" s="464"/>
      <c r="AW22" s="462" t="str">
        <f>IFERROR((AW20+AW21)/AW17,"")</f>
        <v/>
      </c>
      <c r="AX22" s="463"/>
      <c r="AY22" s="464"/>
      <c r="AZ22" s="462" t="str">
        <f>IFERROR((AZ20+AZ21)/AZ17,"")</f>
        <v/>
      </c>
      <c r="BA22" s="463"/>
      <c r="BB22" s="464"/>
      <c r="BH22" s="187">
        <v>20</v>
      </c>
      <c r="BI22" s="244"/>
      <c r="BJ22" s="244"/>
      <c r="BK22" s="244"/>
      <c r="BL22" s="244"/>
      <c r="BM22" s="244"/>
      <c r="BN22" s="245"/>
      <c r="BO22" s="215"/>
      <c r="BP22" s="209"/>
      <c r="BQ22" s="209"/>
      <c r="BR22" s="209"/>
      <c r="BS22" s="209"/>
      <c r="BT22" s="210"/>
      <c r="BU22" s="246"/>
      <c r="BV22" s="244"/>
      <c r="BW22" s="244"/>
      <c r="BX22" s="247"/>
      <c r="BZ22" s="285" t="b">
        <v>0</v>
      </c>
      <c r="CA22" s="192" t="s">
        <v>95</v>
      </c>
      <c r="CB22" s="178"/>
      <c r="CC22" s="178"/>
      <c r="CD22" s="194"/>
      <c r="CE22" s="193"/>
      <c r="CF22" s="178"/>
      <c r="CG22" s="178"/>
      <c r="CH22" s="178"/>
      <c r="CI22" s="178"/>
      <c r="CJ22" s="178"/>
      <c r="CK22" s="178"/>
    </row>
    <row r="23" spans="2:89" ht="22.5" customHeight="1">
      <c r="B23" s="466" t="s">
        <v>224</v>
      </c>
      <c r="C23" s="466"/>
      <c r="D23" s="466"/>
      <c r="E23" s="466"/>
      <c r="F23" s="466"/>
      <c r="G23" s="709">
        <v>5</v>
      </c>
      <c r="H23" s="709"/>
      <c r="I23" s="709"/>
      <c r="J23" s="709">
        <v>25</v>
      </c>
      <c r="K23" s="709"/>
      <c r="L23" s="709"/>
      <c r="M23" s="709">
        <v>37</v>
      </c>
      <c r="N23" s="709"/>
      <c r="O23" s="709"/>
      <c r="P23" s="709">
        <v>50</v>
      </c>
      <c r="Q23" s="709"/>
      <c r="R23" s="709"/>
      <c r="S23" s="709"/>
      <c r="T23" s="709"/>
      <c r="U23" s="709"/>
      <c r="V23" s="728" t="str">
        <f ca="1">IFERROR(INDEX(INDIRECT("'"&amp;#REF!&amp;"'!L:L"),MATCH($D$1,INDIRECT("'"&amp;#REF!&amp;"'!A:A"),0)),"")</f>
        <v/>
      </c>
      <c r="W23" s="728"/>
      <c r="X23" s="728"/>
      <c r="Y23" s="235"/>
      <c r="Z23" s="235"/>
      <c r="AA23" s="235"/>
      <c r="AB23" s="162"/>
      <c r="BH23" s="187">
        <v>21</v>
      </c>
      <c r="BI23" s="244"/>
      <c r="BJ23" s="244"/>
      <c r="BK23" s="244"/>
      <c r="BL23" s="244"/>
      <c r="BM23" s="244"/>
      <c r="BN23" s="245"/>
      <c r="BO23" s="215"/>
      <c r="BP23" s="209"/>
      <c r="BQ23" s="209"/>
      <c r="BR23" s="209"/>
      <c r="BS23" s="209"/>
      <c r="BT23" s="210"/>
      <c r="BU23" s="246"/>
      <c r="BV23" s="244"/>
      <c r="BW23" s="244"/>
      <c r="BX23" s="247"/>
      <c r="BZ23" s="285" t="b">
        <v>0</v>
      </c>
      <c r="CA23" s="192" t="s">
        <v>94</v>
      </c>
      <c r="CB23" s="178"/>
      <c r="CC23" s="178"/>
      <c r="CD23" s="194"/>
      <c r="CE23" s="193"/>
      <c r="CF23" s="178"/>
      <c r="CG23" s="178"/>
      <c r="CH23" s="178"/>
      <c r="CI23" s="178"/>
      <c r="CJ23" s="178"/>
      <c r="CK23" s="178"/>
    </row>
    <row r="24" spans="2:89" ht="22.5" customHeight="1">
      <c r="B24" s="466" t="s">
        <v>34</v>
      </c>
      <c r="C24" s="466"/>
      <c r="D24" s="466"/>
      <c r="E24" s="466"/>
      <c r="F24" s="466"/>
      <c r="G24" s="710">
        <f>G23/60</f>
        <v>8.3333333333333329E-2</v>
      </c>
      <c r="H24" s="710"/>
      <c r="I24" s="710"/>
      <c r="J24" s="710">
        <f>J23/60</f>
        <v>0.41666666666666669</v>
      </c>
      <c r="K24" s="710"/>
      <c r="L24" s="710"/>
      <c r="M24" s="710">
        <f>M23/60</f>
        <v>0.6166666666666667</v>
      </c>
      <c r="N24" s="710"/>
      <c r="O24" s="710"/>
      <c r="P24" s="710">
        <f>P23/60</f>
        <v>0.83333333333333337</v>
      </c>
      <c r="Q24" s="710"/>
      <c r="R24" s="710"/>
      <c r="S24" s="710"/>
      <c r="T24" s="710"/>
      <c r="U24" s="710"/>
      <c r="V24" s="712"/>
      <c r="W24" s="712"/>
      <c r="X24" s="712"/>
      <c r="Y24" s="235"/>
      <c r="Z24" s="235"/>
      <c r="AA24" s="235"/>
      <c r="AC24" s="182" t="s">
        <v>240</v>
      </c>
      <c r="AD24" s="182"/>
      <c r="AE24" s="182"/>
      <c r="AF24" s="182"/>
      <c r="AG24" s="182"/>
      <c r="AH24" s="182"/>
      <c r="AI24" s="183"/>
      <c r="AJ24" s="183"/>
      <c r="AK24" s="183"/>
      <c r="AL24" s="183"/>
      <c r="AM24" s="183"/>
      <c r="AN24" s="183"/>
      <c r="AO24" s="184"/>
      <c r="AP24" s="184"/>
      <c r="AQ24" s="184"/>
      <c r="AR24" s="184"/>
      <c r="AS24" s="185"/>
      <c r="AT24" s="185"/>
      <c r="AU24" s="185"/>
      <c r="AV24" s="185"/>
      <c r="AW24" s="186"/>
      <c r="AX24" s="186"/>
      <c r="AY24" s="186"/>
      <c r="AZ24" s="186"/>
      <c r="BA24" s="179"/>
      <c r="BB24" s="179"/>
      <c r="BH24" s="187">
        <v>22</v>
      </c>
      <c r="BI24" s="244"/>
      <c r="BJ24" s="244"/>
      <c r="BK24" s="244"/>
      <c r="BL24" s="244"/>
      <c r="BM24" s="244"/>
      <c r="BN24" s="245"/>
      <c r="BO24" s="215"/>
      <c r="BP24" s="209"/>
      <c r="BQ24" s="209"/>
      <c r="BR24" s="209"/>
      <c r="BS24" s="209"/>
      <c r="BT24" s="210"/>
      <c r="BU24" s="246"/>
      <c r="BV24" s="244"/>
      <c r="BW24" s="244"/>
      <c r="BX24" s="247"/>
      <c r="BZ24" s="285" t="b">
        <v>0</v>
      </c>
      <c r="CA24" s="192" t="s">
        <v>93</v>
      </c>
      <c r="CB24" s="178"/>
      <c r="CC24" s="178"/>
      <c r="CD24" s="194"/>
      <c r="CE24" s="193"/>
      <c r="CF24" s="178"/>
      <c r="CG24" s="178"/>
      <c r="CH24" s="178"/>
      <c r="CI24" s="178"/>
      <c r="CJ24" s="178"/>
      <c r="CK24" s="178"/>
    </row>
    <row r="25" spans="2:89" ht="22.5" customHeight="1">
      <c r="B25" s="714"/>
      <c r="C25" s="714"/>
      <c r="D25" s="714"/>
      <c r="E25" s="714"/>
      <c r="F25" s="714"/>
      <c r="G25" s="713"/>
      <c r="H25" s="713"/>
      <c r="I25" s="713"/>
      <c r="J25" s="713"/>
      <c r="K25" s="713"/>
      <c r="L25" s="713"/>
      <c r="M25" s="713"/>
      <c r="N25" s="713"/>
      <c r="O25" s="713"/>
      <c r="P25" s="713"/>
      <c r="Q25" s="713"/>
      <c r="R25" s="713"/>
      <c r="S25" s="713"/>
      <c r="T25" s="713"/>
      <c r="U25" s="713"/>
      <c r="V25" s="713"/>
      <c r="W25" s="713"/>
      <c r="X25" s="713"/>
      <c r="AB25" s="167"/>
      <c r="AC25" s="473"/>
      <c r="AD25" s="474"/>
      <c r="AE25" s="377" t="s">
        <v>254</v>
      </c>
      <c r="AF25" s="378"/>
      <c r="AG25" s="378"/>
      <c r="AH25" s="379"/>
      <c r="AI25" s="380" t="s">
        <v>255</v>
      </c>
      <c r="AJ25" s="378"/>
      <c r="AK25" s="378"/>
      <c r="AL25" s="381"/>
      <c r="AM25" s="377" t="s">
        <v>58</v>
      </c>
      <c r="AN25" s="378"/>
      <c r="AO25" s="378"/>
      <c r="AP25" s="379"/>
      <c r="AQ25" s="380" t="s">
        <v>14</v>
      </c>
      <c r="AR25" s="378"/>
      <c r="AS25" s="378"/>
      <c r="AT25" s="381"/>
      <c r="AU25" s="377" t="s">
        <v>22</v>
      </c>
      <c r="AV25" s="378"/>
      <c r="AW25" s="378"/>
      <c r="AX25" s="379"/>
      <c r="AY25" s="380" t="s">
        <v>1</v>
      </c>
      <c r="AZ25" s="378"/>
      <c r="BA25" s="378"/>
      <c r="BB25" s="379"/>
      <c r="BH25" s="187">
        <v>23</v>
      </c>
      <c r="BI25" s="244"/>
      <c r="BJ25" s="244"/>
      <c r="BK25" s="244"/>
      <c r="BL25" s="244"/>
      <c r="BM25" s="244"/>
      <c r="BN25" s="245"/>
      <c r="BO25" s="215"/>
      <c r="BP25" s="209"/>
      <c r="BQ25" s="209"/>
      <c r="BR25" s="209"/>
      <c r="BS25" s="209"/>
      <c r="BT25" s="210"/>
      <c r="BU25" s="246"/>
      <c r="BV25" s="244"/>
      <c r="BW25" s="244"/>
      <c r="BX25" s="247"/>
      <c r="BZ25" s="285" t="b">
        <v>0</v>
      </c>
      <c r="CA25" s="192" t="s">
        <v>92</v>
      </c>
      <c r="CB25" s="178"/>
      <c r="CC25" s="178"/>
      <c r="CD25" s="194"/>
      <c r="CE25" s="193"/>
      <c r="CF25" s="178"/>
      <c r="CG25" s="178"/>
      <c r="CH25" s="178"/>
      <c r="CI25" s="178"/>
      <c r="CJ25" s="178"/>
      <c r="CK25" s="178"/>
    </row>
    <row r="26" spans="2:89" ht="22.5" customHeight="1">
      <c r="B26" s="722" t="s">
        <v>236</v>
      </c>
      <c r="C26" s="723"/>
      <c r="D26" s="723"/>
      <c r="E26" s="723"/>
      <c r="F26" s="723"/>
      <c r="G26" s="723"/>
      <c r="H26" s="723"/>
      <c r="I26" s="724"/>
      <c r="J26" s="377" t="s">
        <v>254</v>
      </c>
      <c r="K26" s="378"/>
      <c r="L26" s="379"/>
      <c r="M26" s="380" t="s">
        <v>27</v>
      </c>
      <c r="N26" s="378"/>
      <c r="O26" s="381"/>
      <c r="P26" s="377" t="s">
        <v>226</v>
      </c>
      <c r="Q26" s="378"/>
      <c r="R26" s="379"/>
      <c r="S26" s="380" t="s">
        <v>14</v>
      </c>
      <c r="T26" s="378"/>
      <c r="U26" s="381"/>
      <c r="V26" s="377" t="s">
        <v>22</v>
      </c>
      <c r="W26" s="378"/>
      <c r="X26" s="379"/>
      <c r="Y26" s="380" t="s">
        <v>1</v>
      </c>
      <c r="Z26" s="378"/>
      <c r="AA26" s="379"/>
      <c r="AB26" s="167"/>
      <c r="AC26" s="475"/>
      <c r="AD26" s="476"/>
      <c r="AE26" s="458" t="s">
        <v>120</v>
      </c>
      <c r="AF26" s="459"/>
      <c r="AG26" s="459" t="s">
        <v>121</v>
      </c>
      <c r="AH26" s="460"/>
      <c r="AI26" s="470" t="s">
        <v>120</v>
      </c>
      <c r="AJ26" s="459"/>
      <c r="AK26" s="459" t="s">
        <v>121</v>
      </c>
      <c r="AL26" s="471"/>
      <c r="AM26" s="458" t="s">
        <v>120</v>
      </c>
      <c r="AN26" s="459"/>
      <c r="AO26" s="459" t="s">
        <v>121</v>
      </c>
      <c r="AP26" s="460"/>
      <c r="AQ26" s="470" t="s">
        <v>120</v>
      </c>
      <c r="AR26" s="459"/>
      <c r="AS26" s="459" t="s">
        <v>121</v>
      </c>
      <c r="AT26" s="471"/>
      <c r="AU26" s="458" t="s">
        <v>120</v>
      </c>
      <c r="AV26" s="459"/>
      <c r="AW26" s="459" t="s">
        <v>121</v>
      </c>
      <c r="AX26" s="460"/>
      <c r="AY26" s="470" t="s">
        <v>120</v>
      </c>
      <c r="AZ26" s="459"/>
      <c r="BA26" s="459" t="s">
        <v>121</v>
      </c>
      <c r="BB26" s="460"/>
      <c r="BH26" s="187">
        <v>24</v>
      </c>
      <c r="BI26" s="244"/>
      <c r="BJ26" s="244"/>
      <c r="BK26" s="244"/>
      <c r="BL26" s="244"/>
      <c r="BM26" s="244"/>
      <c r="BN26" s="245"/>
      <c r="BO26" s="215"/>
      <c r="BP26" s="209"/>
      <c r="BQ26" s="209"/>
      <c r="BR26" s="209"/>
      <c r="BS26" s="209"/>
      <c r="BT26" s="210"/>
      <c r="BU26" s="246"/>
      <c r="BV26" s="244"/>
      <c r="BW26" s="244"/>
      <c r="BX26" s="247"/>
      <c r="BZ26" s="285" t="b">
        <v>0</v>
      </c>
      <c r="CA26" s="192" t="s">
        <v>91</v>
      </c>
      <c r="CB26" s="178"/>
      <c r="CC26" s="178"/>
      <c r="CD26" s="194"/>
      <c r="CE26" s="193"/>
      <c r="CF26" s="178"/>
      <c r="CG26" s="178"/>
      <c r="CH26" s="178"/>
      <c r="CI26" s="178"/>
      <c r="CJ26" s="178"/>
      <c r="CK26" s="178"/>
    </row>
    <row r="27" spans="2:89" ht="22.5" customHeight="1">
      <c r="B27" s="392"/>
      <c r="C27" s="393"/>
      <c r="D27" s="393"/>
      <c r="E27" s="394"/>
      <c r="F27" s="398" t="s">
        <v>262</v>
      </c>
      <c r="G27" s="399"/>
      <c r="H27" s="399"/>
      <c r="I27" s="400"/>
      <c r="J27" s="401"/>
      <c r="K27" s="402"/>
      <c r="L27" s="403"/>
      <c r="M27" s="404"/>
      <c r="N27" s="402"/>
      <c r="O27" s="405"/>
      <c r="P27" s="401"/>
      <c r="Q27" s="402"/>
      <c r="R27" s="403"/>
      <c r="S27" s="404"/>
      <c r="T27" s="402"/>
      <c r="U27" s="405"/>
      <c r="V27" s="401"/>
      <c r="W27" s="402"/>
      <c r="X27" s="403"/>
      <c r="Y27" s="404"/>
      <c r="Z27" s="402"/>
      <c r="AA27" s="403"/>
      <c r="AB27" s="167"/>
      <c r="AC27" s="324" t="s">
        <v>117</v>
      </c>
      <c r="AD27" s="467"/>
      <c r="AE27" s="468">
        <v>13</v>
      </c>
      <c r="AF27" s="469"/>
      <c r="AG27" s="469">
        <v>0</v>
      </c>
      <c r="AH27" s="489"/>
      <c r="AI27" s="482">
        <v>11</v>
      </c>
      <c r="AJ27" s="469"/>
      <c r="AK27" s="469">
        <v>1</v>
      </c>
      <c r="AL27" s="488"/>
      <c r="AM27" s="478">
        <v>18</v>
      </c>
      <c r="AN27" s="479"/>
      <c r="AO27" s="480">
        <v>1</v>
      </c>
      <c r="AP27" s="481"/>
      <c r="AQ27" s="482"/>
      <c r="AR27" s="469"/>
      <c r="AS27" s="469"/>
      <c r="AT27" s="488"/>
      <c r="AU27" s="468"/>
      <c r="AV27" s="469"/>
      <c r="AW27" s="469"/>
      <c r="AX27" s="489"/>
      <c r="AY27" s="482"/>
      <c r="AZ27" s="469"/>
      <c r="BA27" s="469"/>
      <c r="BB27" s="489"/>
      <c r="BH27" s="187">
        <v>25</v>
      </c>
      <c r="BI27" s="244"/>
      <c r="BJ27" s="244"/>
      <c r="BK27" s="244"/>
      <c r="BL27" s="244"/>
      <c r="BM27" s="244"/>
      <c r="BN27" s="245"/>
      <c r="BO27" s="215"/>
      <c r="BP27" s="209"/>
      <c r="BQ27" s="209"/>
      <c r="BR27" s="209"/>
      <c r="BS27" s="209"/>
      <c r="BT27" s="210"/>
      <c r="BU27" s="246"/>
      <c r="BV27" s="244"/>
      <c r="BW27" s="244"/>
      <c r="BX27" s="247"/>
      <c r="BZ27" s="285" t="b">
        <v>0</v>
      </c>
      <c r="CA27" s="178" t="s">
        <v>90</v>
      </c>
      <c r="CB27" s="178"/>
      <c r="CC27" s="178"/>
      <c r="CD27" s="194"/>
      <c r="CE27" s="193"/>
      <c r="CF27" s="178"/>
      <c r="CG27" s="178"/>
      <c r="CH27" s="178"/>
      <c r="CI27" s="178"/>
      <c r="CJ27" s="178"/>
      <c r="CK27" s="178"/>
    </row>
    <row r="28" spans="2:89" ht="22.5" customHeight="1">
      <c r="B28" s="395"/>
      <c r="C28" s="396"/>
      <c r="D28" s="396"/>
      <c r="E28" s="397"/>
      <c r="F28" s="407" t="s">
        <v>50</v>
      </c>
      <c r="G28" s="408"/>
      <c r="H28" s="408"/>
      <c r="I28" s="409"/>
      <c r="J28" s="410">
        <v>404.7</v>
      </c>
      <c r="K28" s="411"/>
      <c r="L28" s="412"/>
      <c r="M28" s="413">
        <v>152</v>
      </c>
      <c r="N28" s="411"/>
      <c r="O28" s="414"/>
      <c r="P28" s="410">
        <v>221</v>
      </c>
      <c r="Q28" s="411"/>
      <c r="R28" s="412"/>
      <c r="S28" s="413"/>
      <c r="T28" s="411"/>
      <c r="U28" s="414"/>
      <c r="V28" s="410"/>
      <c r="W28" s="411"/>
      <c r="X28" s="412"/>
      <c r="Y28" s="413"/>
      <c r="Z28" s="411"/>
      <c r="AA28" s="412"/>
      <c r="AC28" s="486" t="s">
        <v>118</v>
      </c>
      <c r="AD28" s="487"/>
      <c r="AE28" s="427">
        <v>1</v>
      </c>
      <c r="AF28" s="426"/>
      <c r="AG28" s="426">
        <v>0</v>
      </c>
      <c r="AH28" s="428"/>
      <c r="AI28" s="423">
        <v>7</v>
      </c>
      <c r="AJ28" s="426"/>
      <c r="AK28" s="426">
        <v>1</v>
      </c>
      <c r="AL28" s="424"/>
      <c r="AM28" s="422">
        <v>5</v>
      </c>
      <c r="AN28" s="423"/>
      <c r="AO28" s="424">
        <v>1</v>
      </c>
      <c r="AP28" s="425"/>
      <c r="AQ28" s="423"/>
      <c r="AR28" s="426"/>
      <c r="AS28" s="426"/>
      <c r="AT28" s="424"/>
      <c r="AU28" s="427"/>
      <c r="AV28" s="426"/>
      <c r="AW28" s="426"/>
      <c r="AX28" s="428"/>
      <c r="AY28" s="423"/>
      <c r="AZ28" s="426"/>
      <c r="BA28" s="426"/>
      <c r="BB28" s="428"/>
      <c r="BH28" s="187">
        <v>26</v>
      </c>
      <c r="BI28" s="244"/>
      <c r="BJ28" s="244"/>
      <c r="BK28" s="244"/>
      <c r="BL28" s="244"/>
      <c r="BM28" s="244"/>
      <c r="BN28" s="245"/>
      <c r="BO28" s="215"/>
      <c r="BP28" s="209"/>
      <c r="BQ28" s="209"/>
      <c r="BR28" s="209"/>
      <c r="BS28" s="209"/>
      <c r="BT28" s="210"/>
      <c r="BU28" s="246"/>
      <c r="BV28" s="244"/>
      <c r="BW28" s="244"/>
      <c r="BX28" s="247"/>
      <c r="BZ28" s="285" t="b">
        <v>0</v>
      </c>
      <c r="CA28" s="192" t="s">
        <v>101</v>
      </c>
      <c r="CB28" s="178"/>
      <c r="CC28" s="178"/>
      <c r="CD28" s="194"/>
      <c r="CE28" s="193"/>
      <c r="CF28" s="178"/>
      <c r="CG28" s="178"/>
      <c r="CH28" s="178"/>
      <c r="CI28" s="178"/>
      <c r="CJ28" s="178"/>
      <c r="CK28" s="178"/>
    </row>
    <row r="29" spans="2:89" ht="22.5" customHeight="1" thickBot="1">
      <c r="B29" s="446"/>
      <c r="C29" s="447"/>
      <c r="D29" s="447"/>
      <c r="E29" s="448"/>
      <c r="F29" s="452" t="s">
        <v>51</v>
      </c>
      <c r="G29" s="453"/>
      <c r="H29" s="453"/>
      <c r="I29" s="454"/>
      <c r="J29" s="421">
        <v>104</v>
      </c>
      <c r="K29" s="416"/>
      <c r="L29" s="417"/>
      <c r="M29" s="415">
        <v>235</v>
      </c>
      <c r="N29" s="416"/>
      <c r="O29" s="442"/>
      <c r="P29" s="421">
        <v>135</v>
      </c>
      <c r="Q29" s="416"/>
      <c r="R29" s="417"/>
      <c r="S29" s="415"/>
      <c r="T29" s="416"/>
      <c r="U29" s="442"/>
      <c r="V29" s="421"/>
      <c r="W29" s="416"/>
      <c r="X29" s="417"/>
      <c r="Y29" s="415"/>
      <c r="Z29" s="416"/>
      <c r="AA29" s="417"/>
      <c r="AC29" s="508" t="s">
        <v>119</v>
      </c>
      <c r="AD29" s="509"/>
      <c r="AE29" s="507">
        <v>5</v>
      </c>
      <c r="AF29" s="499"/>
      <c r="AG29" s="499">
        <v>1</v>
      </c>
      <c r="AH29" s="500"/>
      <c r="AI29" s="505">
        <v>4</v>
      </c>
      <c r="AJ29" s="499"/>
      <c r="AK29" s="499">
        <v>1</v>
      </c>
      <c r="AL29" s="506"/>
      <c r="AM29" s="510">
        <v>3</v>
      </c>
      <c r="AN29" s="511"/>
      <c r="AO29" s="503">
        <v>0</v>
      </c>
      <c r="AP29" s="504"/>
      <c r="AQ29" s="505"/>
      <c r="AR29" s="499"/>
      <c r="AS29" s="499"/>
      <c r="AT29" s="506"/>
      <c r="AU29" s="507"/>
      <c r="AV29" s="499"/>
      <c r="AW29" s="499"/>
      <c r="AX29" s="500"/>
      <c r="AY29" s="505"/>
      <c r="AZ29" s="499"/>
      <c r="BA29" s="499"/>
      <c r="BB29" s="500"/>
      <c r="BH29" s="187">
        <v>27</v>
      </c>
      <c r="BI29" s="244"/>
      <c r="BJ29" s="244"/>
      <c r="BK29" s="244"/>
      <c r="BL29" s="244"/>
      <c r="BM29" s="244"/>
      <c r="BN29" s="245"/>
      <c r="BO29" s="215"/>
      <c r="BP29" s="209"/>
      <c r="BQ29" s="209"/>
      <c r="BR29" s="209"/>
      <c r="BS29" s="209"/>
      <c r="BT29" s="210"/>
      <c r="BU29" s="246"/>
      <c r="BV29" s="244"/>
      <c r="BW29" s="244"/>
      <c r="BX29" s="247"/>
      <c r="BZ29" s="285" t="b">
        <v>0</v>
      </c>
      <c r="CA29" s="192" t="s">
        <v>83</v>
      </c>
      <c r="CB29" s="178"/>
      <c r="CC29" s="178"/>
      <c r="CD29" s="178"/>
      <c r="CE29" s="178"/>
      <c r="CF29" s="178"/>
      <c r="CG29" s="178"/>
      <c r="CH29" s="178"/>
      <c r="CI29" s="178"/>
      <c r="CJ29" s="178"/>
      <c r="CK29" s="178"/>
    </row>
    <row r="30" spans="2:89" ht="22.5" customHeight="1" thickTop="1" thickBot="1">
      <c r="B30" s="446"/>
      <c r="C30" s="447"/>
      <c r="D30" s="447"/>
      <c r="E30" s="448"/>
      <c r="F30" s="439" t="s">
        <v>785</v>
      </c>
      <c r="G30" s="440"/>
      <c r="H30" s="440"/>
      <c r="I30" s="441"/>
      <c r="J30" s="410">
        <v>160</v>
      </c>
      <c r="K30" s="411"/>
      <c r="L30" s="412"/>
      <c r="M30" s="413">
        <v>290</v>
      </c>
      <c r="N30" s="411"/>
      <c r="O30" s="414"/>
      <c r="P30" s="410">
        <v>307</v>
      </c>
      <c r="Q30" s="411"/>
      <c r="R30" s="412"/>
      <c r="S30" s="413"/>
      <c r="T30" s="411"/>
      <c r="U30" s="414"/>
      <c r="V30" s="410"/>
      <c r="W30" s="411"/>
      <c r="X30" s="412"/>
      <c r="Y30" s="413"/>
      <c r="Z30" s="411"/>
      <c r="AA30" s="412"/>
      <c r="AC30" s="501" t="s">
        <v>108</v>
      </c>
      <c r="AD30" s="502"/>
      <c r="AE30" s="497">
        <f>IF(SUM(AE27:AE29)=0,"",SUM(AE27:AE29))</f>
        <v>19</v>
      </c>
      <c r="AF30" s="495"/>
      <c r="AG30" s="495">
        <f>IF(SUM(AG27:AG29)=0,"",SUM(AG27:AG29))</f>
        <v>1</v>
      </c>
      <c r="AH30" s="498"/>
      <c r="AI30" s="497">
        <f>IF(SUM(AI27:AI29)=0,"",SUM(AI27:AI29))</f>
        <v>22</v>
      </c>
      <c r="AJ30" s="495"/>
      <c r="AK30" s="495">
        <f>IF(SUM(AK27:AK29)=0,"",SUM(AK27:AK29))</f>
        <v>3</v>
      </c>
      <c r="AL30" s="498"/>
      <c r="AM30" s="490">
        <f>IF(SUM(AM27:AM29)=0,"",SUM(AM27:AM29))</f>
        <v>26</v>
      </c>
      <c r="AN30" s="491"/>
      <c r="AO30" s="492">
        <f>IF(SUM(AO27:AO29)=0,"",SUM(AO27:AO29))</f>
        <v>2</v>
      </c>
      <c r="AP30" s="493"/>
      <c r="AQ30" s="494" t="str">
        <f>IF(SUM(AQ27:AQ29)=0,"",SUM(AQ27:AQ29))</f>
        <v/>
      </c>
      <c r="AR30" s="495"/>
      <c r="AS30" s="495" t="str">
        <f>IF(SUM(AS27:AS29)=0,"",SUM(AS27:AS29))</f>
        <v/>
      </c>
      <c r="AT30" s="496"/>
      <c r="AU30" s="497" t="str">
        <f>IF(SUM(AU27:AU29)=0,"",SUM(AU27:AU29))</f>
        <v/>
      </c>
      <c r="AV30" s="495"/>
      <c r="AW30" s="495" t="str">
        <f>IF(SUM(AW27:AW29)=0,"",SUM(AW27:AW29))</f>
        <v/>
      </c>
      <c r="AX30" s="498"/>
      <c r="AY30" s="494" t="str">
        <f>IF(SUM(AY27:AY29)=0,"",SUM(AY27:AY29))</f>
        <v/>
      </c>
      <c r="AZ30" s="495"/>
      <c r="BA30" s="495" t="str">
        <f>IF(SUM(BA27:BA29)=0,"",SUM(BA27:BA29))</f>
        <v/>
      </c>
      <c r="BB30" s="498"/>
      <c r="BH30" s="187">
        <v>28</v>
      </c>
      <c r="BI30" s="244"/>
      <c r="BJ30" s="244"/>
      <c r="BK30" s="244"/>
      <c r="BL30" s="244"/>
      <c r="BM30" s="244"/>
      <c r="BN30" s="245"/>
      <c r="BO30" s="215"/>
      <c r="BP30" s="209"/>
      <c r="BQ30" s="209"/>
      <c r="BR30" s="209"/>
      <c r="BS30" s="209"/>
      <c r="BT30" s="210"/>
      <c r="BU30" s="246"/>
      <c r="BV30" s="244"/>
      <c r="BW30" s="244"/>
      <c r="BX30" s="247"/>
      <c r="BZ30" s="285" t="b">
        <v>0</v>
      </c>
      <c r="CA30" s="192" t="s">
        <v>84</v>
      </c>
      <c r="CB30" s="195"/>
      <c r="CC30" s="196"/>
      <c r="CD30" s="196"/>
      <c r="CE30" s="196"/>
      <c r="CF30" s="196"/>
      <c r="CG30" s="196"/>
      <c r="CH30" s="196"/>
      <c r="CI30" s="196"/>
      <c r="CJ30" s="196"/>
      <c r="CK30" s="178"/>
    </row>
    <row r="31" spans="2:89" ht="22.5" customHeight="1" thickBot="1">
      <c r="B31" s="446"/>
      <c r="C31" s="447"/>
      <c r="D31" s="447"/>
      <c r="E31" s="448"/>
      <c r="F31" s="443" t="s">
        <v>786</v>
      </c>
      <c r="G31" s="444"/>
      <c r="H31" s="444"/>
      <c r="I31" s="445"/>
      <c r="J31" s="421">
        <v>12</v>
      </c>
      <c r="K31" s="416"/>
      <c r="L31" s="417"/>
      <c r="M31" s="415"/>
      <c r="N31" s="416"/>
      <c r="O31" s="442"/>
      <c r="P31" s="421"/>
      <c r="Q31" s="416"/>
      <c r="R31" s="417"/>
      <c r="S31" s="415"/>
      <c r="T31" s="416"/>
      <c r="U31" s="442"/>
      <c r="V31" s="421"/>
      <c r="W31" s="416"/>
      <c r="X31" s="417"/>
      <c r="Y31" s="415"/>
      <c r="Z31" s="416"/>
      <c r="AA31" s="417"/>
      <c r="AC31" s="550" t="s">
        <v>122</v>
      </c>
      <c r="AD31" s="551"/>
      <c r="AE31" s="536">
        <f>IFERROR(AG30/AE30,"")</f>
        <v>5.2631578947368418E-2</v>
      </c>
      <c r="AF31" s="537"/>
      <c r="AG31" s="537"/>
      <c r="AH31" s="538"/>
      <c r="AI31" s="539">
        <f>IFERROR(AK30/AI30,"")</f>
        <v>0.13636363636363635</v>
      </c>
      <c r="AJ31" s="537"/>
      <c r="AK31" s="537"/>
      <c r="AL31" s="540"/>
      <c r="AM31" s="541">
        <f t="shared" ref="AM31" si="0">IFERROR(AO30/AM30,"")</f>
        <v>7.6923076923076927E-2</v>
      </c>
      <c r="AN31" s="542"/>
      <c r="AO31" s="542"/>
      <c r="AP31" s="543"/>
      <c r="AQ31" s="539" t="str">
        <f>IFERROR(AS30/AQ30,"")</f>
        <v/>
      </c>
      <c r="AR31" s="537"/>
      <c r="AS31" s="537"/>
      <c r="AT31" s="540"/>
      <c r="AU31" s="536" t="str">
        <f t="shared" ref="AU31" si="1">IFERROR(AW30/AU30,"")</f>
        <v/>
      </c>
      <c r="AV31" s="537"/>
      <c r="AW31" s="537"/>
      <c r="AX31" s="538"/>
      <c r="AY31" s="539" t="str">
        <f t="shared" ref="AY31" si="2">IFERROR(BA30/AY30,"")</f>
        <v/>
      </c>
      <c r="AZ31" s="537"/>
      <c r="BA31" s="537"/>
      <c r="BB31" s="538"/>
      <c r="BH31" s="187">
        <v>29</v>
      </c>
      <c r="BI31" s="244"/>
      <c r="BJ31" s="244"/>
      <c r="BK31" s="244"/>
      <c r="BL31" s="244"/>
      <c r="BM31" s="244"/>
      <c r="BN31" s="245"/>
      <c r="BO31" s="215"/>
      <c r="BP31" s="209"/>
      <c r="BQ31" s="209"/>
      <c r="BR31" s="209"/>
      <c r="BS31" s="209"/>
      <c r="BT31" s="210"/>
      <c r="BU31" s="246"/>
      <c r="BV31" s="244"/>
      <c r="BW31" s="244"/>
      <c r="BX31" s="247"/>
      <c r="BZ31" s="285" t="b">
        <v>0</v>
      </c>
      <c r="CA31" s="192" t="s">
        <v>85</v>
      </c>
      <c r="CB31" s="195"/>
      <c r="CC31" s="196"/>
      <c r="CD31" s="196"/>
      <c r="CE31" s="196"/>
      <c r="CF31" s="196"/>
      <c r="CG31" s="196"/>
      <c r="CH31" s="196"/>
      <c r="CI31" s="196"/>
      <c r="CJ31" s="196"/>
      <c r="CK31" s="178"/>
    </row>
    <row r="32" spans="2:89" ht="22.5" customHeight="1" thickTop="1">
      <c r="B32" s="449"/>
      <c r="C32" s="450"/>
      <c r="D32" s="450"/>
      <c r="E32" s="451"/>
      <c r="F32" s="418" t="s">
        <v>235</v>
      </c>
      <c r="G32" s="419"/>
      <c r="H32" s="419"/>
      <c r="I32" s="420"/>
      <c r="J32" s="462" t="str">
        <f>IFERROR((J30+J31)/J27,"")</f>
        <v/>
      </c>
      <c r="K32" s="463"/>
      <c r="L32" s="464"/>
      <c r="M32" s="462" t="str">
        <f>IFERROR((M30+M31)/M27,"")</f>
        <v/>
      </c>
      <c r="N32" s="463"/>
      <c r="O32" s="464"/>
      <c r="P32" s="462" t="str">
        <f>IFERROR((P30+P31)/P27,"")</f>
        <v/>
      </c>
      <c r="Q32" s="463"/>
      <c r="R32" s="464"/>
      <c r="S32" s="462" t="str">
        <f>IFERROR((S30+S31)/S27,"")</f>
        <v/>
      </c>
      <c r="T32" s="463"/>
      <c r="U32" s="464"/>
      <c r="V32" s="462" t="str">
        <f>IFERROR((V30+V31)/V27,"")</f>
        <v/>
      </c>
      <c r="W32" s="463"/>
      <c r="X32" s="464"/>
      <c r="Y32" s="462" t="str">
        <f>IFERROR((Y30+Y31)/Y27,"")</f>
        <v/>
      </c>
      <c r="Z32" s="463"/>
      <c r="AA32" s="464"/>
      <c r="AC32" s="486" t="s">
        <v>124</v>
      </c>
      <c r="AD32" s="487"/>
      <c r="AE32" s="580">
        <v>1</v>
      </c>
      <c r="AF32" s="581"/>
      <c r="AG32" s="581"/>
      <c r="AH32" s="582"/>
      <c r="AI32" s="583">
        <v>0</v>
      </c>
      <c r="AJ32" s="581"/>
      <c r="AK32" s="581"/>
      <c r="AL32" s="584"/>
      <c r="AM32" s="585">
        <v>1</v>
      </c>
      <c r="AN32" s="586"/>
      <c r="AO32" s="586"/>
      <c r="AP32" s="587"/>
      <c r="AQ32" s="583"/>
      <c r="AR32" s="581"/>
      <c r="AS32" s="581"/>
      <c r="AT32" s="584"/>
      <c r="AU32" s="580"/>
      <c r="AV32" s="581"/>
      <c r="AW32" s="581"/>
      <c r="AX32" s="582"/>
      <c r="AY32" s="583"/>
      <c r="AZ32" s="581"/>
      <c r="BA32" s="581"/>
      <c r="BB32" s="582"/>
      <c r="BH32" s="188">
        <v>30</v>
      </c>
      <c r="BI32" s="240"/>
      <c r="BJ32" s="240"/>
      <c r="BK32" s="240"/>
      <c r="BL32" s="240"/>
      <c r="BM32" s="240"/>
      <c r="BN32" s="241"/>
      <c r="BO32" s="216"/>
      <c r="BP32" s="213"/>
      <c r="BQ32" s="213"/>
      <c r="BR32" s="213"/>
      <c r="BS32" s="213"/>
      <c r="BT32" s="214"/>
      <c r="BU32" s="242"/>
      <c r="BV32" s="240"/>
      <c r="BW32" s="240"/>
      <c r="BX32" s="243"/>
      <c r="BZ32" s="285" t="b">
        <v>0</v>
      </c>
      <c r="CA32" s="178" t="s">
        <v>65</v>
      </c>
      <c r="CB32" s="195"/>
      <c r="CC32" s="196"/>
      <c r="CD32" s="196"/>
      <c r="CE32" s="196"/>
      <c r="CF32" s="196"/>
      <c r="CG32" s="196"/>
      <c r="CH32" s="196"/>
      <c r="CI32" s="196"/>
      <c r="CJ32" s="196"/>
      <c r="CK32" s="178"/>
    </row>
    <row r="33" spans="2:89" ht="22.5" customHeight="1">
      <c r="B33" s="178"/>
      <c r="C33" s="178"/>
      <c r="D33" s="178"/>
      <c r="E33" s="178"/>
      <c r="F33" s="178"/>
      <c r="G33" s="588"/>
      <c r="H33" s="588"/>
      <c r="I33" s="588"/>
      <c r="J33" s="588"/>
      <c r="K33" s="588"/>
      <c r="L33" s="588"/>
      <c r="M33" s="588"/>
      <c r="N33" s="588"/>
      <c r="O33" s="588"/>
      <c r="P33" s="588"/>
      <c r="Q33" s="588"/>
      <c r="R33" s="588"/>
      <c r="S33" s="588"/>
      <c r="T33" s="588"/>
      <c r="U33" s="588"/>
      <c r="V33" s="588"/>
      <c r="W33" s="588"/>
      <c r="X33" s="588"/>
      <c r="AC33" s="575" t="s">
        <v>123</v>
      </c>
      <c r="AD33" s="576"/>
      <c r="AE33" s="552">
        <f>IFERROR(AE32/AG30,"")</f>
        <v>1</v>
      </c>
      <c r="AF33" s="553"/>
      <c r="AG33" s="553"/>
      <c r="AH33" s="554"/>
      <c r="AI33" s="552">
        <f>IFERROR(AI32/AK30,"")</f>
        <v>0</v>
      </c>
      <c r="AJ33" s="553"/>
      <c r="AK33" s="553"/>
      <c r="AL33" s="554"/>
      <c r="AM33" s="577">
        <f>IFERROR(AM32/AO30,"")</f>
        <v>0.5</v>
      </c>
      <c r="AN33" s="578"/>
      <c r="AO33" s="578"/>
      <c r="AP33" s="579"/>
      <c r="AQ33" s="552" t="str">
        <f>IFERROR(AQ32/AS30,"")</f>
        <v/>
      </c>
      <c r="AR33" s="553"/>
      <c r="AS33" s="553"/>
      <c r="AT33" s="554"/>
      <c r="AU33" s="552" t="str">
        <f>IFERROR(AU32/AW30,"")</f>
        <v/>
      </c>
      <c r="AV33" s="553"/>
      <c r="AW33" s="553"/>
      <c r="AX33" s="554"/>
      <c r="AY33" s="552" t="str">
        <f>IFERROR(AY32/BA30,"")</f>
        <v/>
      </c>
      <c r="AZ33" s="553"/>
      <c r="BA33" s="553"/>
      <c r="BB33" s="554"/>
      <c r="BL33" s="589" t="s">
        <v>125</v>
      </c>
      <c r="BM33" s="590"/>
      <c r="BN33" s="591"/>
      <c r="BO33" s="555" t="str">
        <f>IF(COUNTA(BH3:BH32)=0,"",
IF(COUNTIF(BN3:BN32,"完")/COUNTA(BH3:BH32)&gt;=0.8,"A",
IF(COUNTIF(BN3:BN32,"完")/COUNTA(BH3:BH32)&gt;=0.5,"B",
IF(COUNTIF(BN3:BN32,"完")/COUNTA(BH3:BH32)&gt;=0.3,"C",
IF(COUNTIF(BN3:BN32,"完")/COUNTA(BH3:BH32)&gt;=0.1,"D","E")))))</f>
        <v>E</v>
      </c>
      <c r="BP33" s="556"/>
      <c r="BQ33" s="556"/>
      <c r="BR33" s="557"/>
      <c r="BS33" s="561">
        <f>IF(COUNTA(BH3:BH32)=0,"",COUNTIF(BN3:BN32,"完")/COUNTA(BH3:BH32))</f>
        <v>0</v>
      </c>
      <c r="BT33" s="562"/>
      <c r="BU33" s="563"/>
      <c r="BY33" s="178"/>
      <c r="BZ33" s="285" t="b">
        <v>0</v>
      </c>
      <c r="CA33" s="178" t="s">
        <v>96</v>
      </c>
      <c r="CB33" s="178"/>
      <c r="CC33" s="178"/>
      <c r="CD33" s="196"/>
      <c r="CE33" s="196"/>
      <c r="CF33" s="196"/>
      <c r="CG33" s="196"/>
      <c r="CH33" s="178"/>
    </row>
    <row r="34" spans="2:89" ht="22.5" customHeight="1">
      <c r="BL34" s="592"/>
      <c r="BM34" s="593"/>
      <c r="BN34" s="594"/>
      <c r="BO34" s="558"/>
      <c r="BP34" s="559"/>
      <c r="BQ34" s="559"/>
      <c r="BR34" s="560"/>
      <c r="BS34" s="564"/>
      <c r="BT34" s="565"/>
      <c r="BU34" s="566"/>
      <c r="BY34" s="178"/>
      <c r="BZ34" s="178"/>
      <c r="CA34" s="178"/>
      <c r="CB34" s="178"/>
      <c r="CC34" s="178"/>
      <c r="CD34" s="178"/>
      <c r="CE34" s="178"/>
      <c r="CF34" s="178"/>
      <c r="CG34" s="196"/>
      <c r="CH34" s="196"/>
      <c r="CI34" s="178"/>
    </row>
    <row r="35" spans="2:89" ht="22.5" customHeight="1">
      <c r="B35" s="567" t="s">
        <v>38</v>
      </c>
      <c r="C35" s="568"/>
      <c r="D35" s="568"/>
      <c r="E35" s="568"/>
      <c r="F35" s="568"/>
      <c r="G35" s="568"/>
      <c r="H35" s="568"/>
      <c r="I35" s="568"/>
      <c r="J35" s="568"/>
      <c r="K35" s="568"/>
      <c r="L35" s="568"/>
      <c r="M35" s="568"/>
      <c r="N35" s="568"/>
      <c r="O35" s="568"/>
      <c r="P35" s="568"/>
      <c r="Q35" s="568"/>
      <c r="R35" s="568"/>
      <c r="S35" s="568"/>
      <c r="T35" s="568"/>
      <c r="U35" s="569"/>
      <c r="V35" s="570">
        <f>IF(COUNT(J37:J66)=0,"",AVERAGE(J37:J66))</f>
        <v>4.1052631578947372</v>
      </c>
      <c r="W35" s="571"/>
      <c r="X35" s="572"/>
      <c r="Y35" s="573" t="s">
        <v>39</v>
      </c>
      <c r="Z35" s="568"/>
      <c r="AA35" s="568"/>
      <c r="AB35" s="568"/>
      <c r="AC35" s="568"/>
      <c r="AD35" s="568"/>
      <c r="AE35" s="568"/>
      <c r="AF35" s="568"/>
      <c r="AG35" s="569"/>
      <c r="AH35" s="574"/>
      <c r="AI35" s="436"/>
      <c r="AJ35" s="438"/>
      <c r="AL35" s="160" t="s">
        <v>59</v>
      </c>
      <c r="BZ35" s="181" t="s">
        <v>950</v>
      </c>
      <c r="CA35" s="179"/>
      <c r="CB35" s="179"/>
      <c r="CC35" s="179"/>
      <c r="CD35" s="179"/>
      <c r="CE35" s="179"/>
      <c r="CF35" s="179"/>
      <c r="CG35" s="179"/>
      <c r="CH35" s="179"/>
      <c r="CI35" s="186"/>
      <c r="CJ35" s="186"/>
      <c r="CK35" s="179"/>
    </row>
    <row r="36" spans="2:89" ht="22.5" customHeight="1">
      <c r="B36" s="458" t="s">
        <v>41</v>
      </c>
      <c r="C36" s="459"/>
      <c r="D36" s="459"/>
      <c r="E36" s="459"/>
      <c r="F36" s="459"/>
      <c r="G36" s="459"/>
      <c r="H36" s="459"/>
      <c r="I36" s="459"/>
      <c r="J36" s="459" t="s">
        <v>42</v>
      </c>
      <c r="K36" s="459"/>
      <c r="L36" s="459" t="s">
        <v>43</v>
      </c>
      <c r="M36" s="459"/>
      <c r="N36" s="459"/>
      <c r="O36" s="459"/>
      <c r="P36" s="459"/>
      <c r="Q36" s="459"/>
      <c r="R36" s="459"/>
      <c r="S36" s="459" t="s">
        <v>44</v>
      </c>
      <c r="T36" s="459"/>
      <c r="U36" s="459"/>
      <c r="V36" s="459"/>
      <c r="W36" s="459"/>
      <c r="X36" s="460"/>
      <c r="Y36" s="598" t="s">
        <v>45</v>
      </c>
      <c r="Z36" s="599"/>
      <c r="AA36" s="599"/>
      <c r="AB36" s="599"/>
      <c r="AC36" s="599"/>
      <c r="AD36" s="459" t="s">
        <v>260</v>
      </c>
      <c r="AE36" s="459"/>
      <c r="AF36" s="459" t="s">
        <v>46</v>
      </c>
      <c r="AG36" s="459"/>
      <c r="AH36" s="459"/>
      <c r="AI36" s="459"/>
      <c r="AJ36" s="460"/>
      <c r="AL36" s="182" t="s">
        <v>247</v>
      </c>
      <c r="AM36" s="182"/>
      <c r="AN36" s="182"/>
      <c r="AO36" s="182"/>
      <c r="AP36" s="182"/>
      <c r="AQ36" s="182"/>
      <c r="AR36" s="183"/>
      <c r="AS36" s="183"/>
      <c r="AT36" s="183"/>
      <c r="AU36" s="183"/>
      <c r="AV36" s="183"/>
      <c r="AW36" s="183"/>
      <c r="AX36" s="183"/>
      <c r="AY36" s="179"/>
      <c r="AZ36" s="179"/>
      <c r="BA36" s="179"/>
      <c r="BB36" s="179"/>
      <c r="BC36" s="179"/>
      <c r="BD36" s="179"/>
      <c r="BE36" s="179"/>
      <c r="BF36" s="179"/>
      <c r="BG36" s="179"/>
      <c r="BH36" s="179"/>
      <c r="BI36" s="179"/>
      <c r="BK36" s="406" t="s">
        <v>244</v>
      </c>
      <c r="BL36" s="406"/>
      <c r="BM36" s="406"/>
      <c r="BN36" s="406"/>
      <c r="BO36" s="406"/>
      <c r="BP36" s="406"/>
      <c r="BQ36" s="406" t="s">
        <v>64</v>
      </c>
      <c r="BR36" s="406"/>
      <c r="BS36" s="406"/>
      <c r="BT36" s="406"/>
      <c r="BU36" s="406"/>
      <c r="BZ36" s="285" t="b">
        <v>0</v>
      </c>
      <c r="CA36" s="192" t="s">
        <v>102</v>
      </c>
      <c r="CB36" s="178"/>
      <c r="CC36" s="178"/>
      <c r="CD36" s="178"/>
      <c r="CE36" s="178"/>
      <c r="CF36" s="178"/>
      <c r="CG36" s="196"/>
      <c r="CH36" s="196"/>
      <c r="CI36" s="196"/>
      <c r="CJ36" s="196"/>
      <c r="CK36" s="178"/>
    </row>
    <row r="37" spans="2:89" ht="22.5" customHeight="1">
      <c r="B37" s="324">
        <v>101</v>
      </c>
      <c r="C37" s="325"/>
      <c r="D37" s="531" t="s">
        <v>304</v>
      </c>
      <c r="E37" s="531" t="s">
        <v>285</v>
      </c>
      <c r="F37" s="531" t="s">
        <v>285</v>
      </c>
      <c r="G37" s="531" t="s">
        <v>285</v>
      </c>
      <c r="H37" s="531" t="s">
        <v>285</v>
      </c>
      <c r="I37" s="531" t="s">
        <v>285</v>
      </c>
      <c r="J37" s="469">
        <v>3</v>
      </c>
      <c r="K37" s="469">
        <v>3</v>
      </c>
      <c r="L37" s="595"/>
      <c r="M37" s="595"/>
      <c r="N37" s="595"/>
      <c r="O37" s="595"/>
      <c r="P37" s="595"/>
      <c r="Q37" s="595"/>
      <c r="R37" s="595"/>
      <c r="S37" s="208"/>
      <c r="T37" s="595"/>
      <c r="U37" s="595"/>
      <c r="V37" s="595"/>
      <c r="W37" s="595"/>
      <c r="X37" s="596"/>
      <c r="Y37" s="597"/>
      <c r="Z37" s="531"/>
      <c r="AA37" s="531"/>
      <c r="AB37" s="531"/>
      <c r="AC37" s="531"/>
      <c r="AD37" s="531"/>
      <c r="AE37" s="531"/>
      <c r="AF37" s="531"/>
      <c r="AG37" s="531"/>
      <c r="AH37" s="531"/>
      <c r="AI37" s="531"/>
      <c r="AJ37" s="532"/>
      <c r="AL37" s="600" t="s">
        <v>27</v>
      </c>
      <c r="AM37" s="600"/>
      <c r="AN37" s="600" t="s">
        <v>58</v>
      </c>
      <c r="AO37" s="600"/>
      <c r="AP37" s="600" t="s">
        <v>14</v>
      </c>
      <c r="AQ37" s="600"/>
      <c r="AR37" s="600" t="s">
        <v>22</v>
      </c>
      <c r="AS37" s="600"/>
      <c r="AT37" s="600" t="s">
        <v>1</v>
      </c>
      <c r="AU37" s="600"/>
      <c r="AV37" s="600" t="s">
        <v>18</v>
      </c>
      <c r="AW37" s="600"/>
      <c r="AX37" s="600" t="s">
        <v>28</v>
      </c>
      <c r="AY37" s="600"/>
      <c r="AZ37" s="600" t="s">
        <v>24</v>
      </c>
      <c r="BA37" s="600"/>
      <c r="BB37" s="600" t="s">
        <v>16</v>
      </c>
      <c r="BC37" s="600"/>
      <c r="BD37" s="600" t="s">
        <v>67</v>
      </c>
      <c r="BE37" s="600"/>
      <c r="BF37" s="600" t="s">
        <v>20</v>
      </c>
      <c r="BG37" s="600"/>
      <c r="BH37" s="600" t="s">
        <v>68</v>
      </c>
      <c r="BI37" s="600"/>
      <c r="BK37" s="601"/>
      <c r="BL37" s="601"/>
      <c r="BM37" s="601"/>
      <c r="BN37" s="601"/>
      <c r="BO37" s="601"/>
      <c r="BP37" s="601"/>
      <c r="BQ37" s="602" t="b">
        <v>0</v>
      </c>
      <c r="BR37" s="603"/>
      <c r="BS37" s="603"/>
      <c r="BT37" s="603"/>
      <c r="BU37" s="604"/>
      <c r="BV37" s="170"/>
      <c r="BZ37" s="285" t="b">
        <v>0</v>
      </c>
      <c r="CA37" s="192" t="s">
        <v>86</v>
      </c>
      <c r="CB37" s="178"/>
      <c r="CC37" s="178"/>
      <c r="CD37" s="178"/>
      <c r="CE37" s="178"/>
      <c r="CF37" s="178"/>
      <c r="CG37" s="196"/>
      <c r="CH37" s="196"/>
      <c r="CI37" s="196"/>
      <c r="CJ37" s="196"/>
      <c r="CK37" s="178"/>
    </row>
    <row r="38" spans="2:89" ht="22.5" customHeight="1">
      <c r="B38" s="486">
        <v>102</v>
      </c>
      <c r="C38" s="606"/>
      <c r="D38" s="317" t="s">
        <v>303</v>
      </c>
      <c r="E38" s="317" t="s">
        <v>286</v>
      </c>
      <c r="F38" s="317" t="s">
        <v>286</v>
      </c>
      <c r="G38" s="317" t="s">
        <v>286</v>
      </c>
      <c r="H38" s="317" t="s">
        <v>286</v>
      </c>
      <c r="I38" s="317" t="s">
        <v>286</v>
      </c>
      <c r="J38" s="426">
        <v>4</v>
      </c>
      <c r="K38" s="426">
        <v>5</v>
      </c>
      <c r="L38" s="607"/>
      <c r="M38" s="607"/>
      <c r="N38" s="607"/>
      <c r="O38" s="607"/>
      <c r="P38" s="607"/>
      <c r="Q38" s="607"/>
      <c r="R38" s="607"/>
      <c r="S38" s="209"/>
      <c r="T38" s="607"/>
      <c r="U38" s="607"/>
      <c r="V38" s="607"/>
      <c r="W38" s="607"/>
      <c r="X38" s="608"/>
      <c r="Y38" s="319"/>
      <c r="Z38" s="317"/>
      <c r="AA38" s="317"/>
      <c r="AB38" s="317"/>
      <c r="AC38" s="317"/>
      <c r="AD38" s="317"/>
      <c r="AE38" s="317"/>
      <c r="AF38" s="317"/>
      <c r="AG38" s="317"/>
      <c r="AH38" s="317"/>
      <c r="AI38" s="317"/>
      <c r="AJ38" s="320"/>
      <c r="AL38" s="330">
        <v>0</v>
      </c>
      <c r="AM38" s="330"/>
      <c r="AN38" s="330">
        <v>0</v>
      </c>
      <c r="AO38" s="330"/>
      <c r="AP38" s="330">
        <v>0</v>
      </c>
      <c r="AQ38" s="330"/>
      <c r="AR38" s="330">
        <v>0</v>
      </c>
      <c r="AS38" s="330"/>
      <c r="AT38" s="330"/>
      <c r="AU38" s="330"/>
      <c r="AV38" s="330"/>
      <c r="AW38" s="330"/>
      <c r="AX38" s="330"/>
      <c r="AY38" s="330"/>
      <c r="AZ38" s="330"/>
      <c r="BA38" s="330"/>
      <c r="BB38" s="330"/>
      <c r="BC38" s="330"/>
      <c r="BD38" s="330"/>
      <c r="BE38" s="330"/>
      <c r="BF38" s="330"/>
      <c r="BG38" s="330"/>
      <c r="BH38" s="330">
        <v>13</v>
      </c>
      <c r="BI38" s="330"/>
      <c r="BK38" s="605"/>
      <c r="BL38" s="605"/>
      <c r="BM38" s="605"/>
      <c r="BN38" s="605"/>
      <c r="BO38" s="605"/>
      <c r="BP38" s="605"/>
      <c r="BQ38" s="609" t="b">
        <v>0</v>
      </c>
      <c r="BR38" s="610"/>
      <c r="BS38" s="610"/>
      <c r="BT38" s="610"/>
      <c r="BU38" s="611"/>
      <c r="BV38" s="170"/>
      <c r="BZ38" s="285" t="b">
        <v>0</v>
      </c>
      <c r="CA38" s="192" t="s">
        <v>87</v>
      </c>
      <c r="CB38" s="178"/>
      <c r="CC38" s="178"/>
      <c r="CD38" s="178"/>
      <c r="CE38" s="178"/>
      <c r="CF38" s="178"/>
      <c r="CG38" s="196"/>
      <c r="CH38" s="196"/>
      <c r="CI38" s="196"/>
      <c r="CJ38" s="196"/>
      <c r="CK38" s="178"/>
    </row>
    <row r="39" spans="2:89" ht="22.5" customHeight="1">
      <c r="B39" s="486">
        <v>103</v>
      </c>
      <c r="C39" s="606"/>
      <c r="D39" s="317" t="s">
        <v>422</v>
      </c>
      <c r="E39" s="317" t="s">
        <v>287</v>
      </c>
      <c r="F39" s="317" t="s">
        <v>287</v>
      </c>
      <c r="G39" s="317" t="s">
        <v>287</v>
      </c>
      <c r="H39" s="317" t="s">
        <v>287</v>
      </c>
      <c r="I39" s="317" t="s">
        <v>287</v>
      </c>
      <c r="J39" s="426">
        <v>5</v>
      </c>
      <c r="K39" s="426">
        <v>5</v>
      </c>
      <c r="L39" s="607"/>
      <c r="M39" s="607"/>
      <c r="N39" s="607"/>
      <c r="O39" s="607"/>
      <c r="P39" s="607"/>
      <c r="Q39" s="607"/>
      <c r="R39" s="607"/>
      <c r="S39" s="209"/>
      <c r="T39" s="607"/>
      <c r="U39" s="607"/>
      <c r="V39" s="607"/>
      <c r="W39" s="607"/>
      <c r="X39" s="608"/>
      <c r="Y39" s="319" t="s">
        <v>580</v>
      </c>
      <c r="Z39" s="317" t="s">
        <v>272</v>
      </c>
      <c r="AA39" s="317" t="s">
        <v>272</v>
      </c>
      <c r="AB39" s="317" t="s">
        <v>272</v>
      </c>
      <c r="AC39" s="317" t="s">
        <v>272</v>
      </c>
      <c r="AD39" s="317"/>
      <c r="AE39" s="317"/>
      <c r="AF39" s="317"/>
      <c r="AG39" s="317"/>
      <c r="AH39" s="317"/>
      <c r="AI39" s="317"/>
      <c r="AJ39" s="320"/>
      <c r="BK39" s="605"/>
      <c r="BL39" s="605"/>
      <c r="BM39" s="605"/>
      <c r="BN39" s="605"/>
      <c r="BO39" s="605"/>
      <c r="BP39" s="605"/>
      <c r="BQ39" s="609" t="b">
        <v>0</v>
      </c>
      <c r="BR39" s="610"/>
      <c r="BS39" s="610"/>
      <c r="BT39" s="610"/>
      <c r="BU39" s="611"/>
      <c r="BZ39" s="285" t="b">
        <v>0</v>
      </c>
      <c r="CA39" s="192" t="s">
        <v>88</v>
      </c>
      <c r="CB39" s="178"/>
      <c r="CC39" s="178"/>
      <c r="CD39" s="178"/>
      <c r="CE39" s="178"/>
      <c r="CF39" s="178"/>
      <c r="CG39" s="196"/>
      <c r="CH39" s="196"/>
      <c r="CI39" s="196"/>
      <c r="CJ39" s="196"/>
      <c r="CK39" s="178"/>
    </row>
    <row r="40" spans="2:89" ht="22.5" customHeight="1">
      <c r="B40" s="486">
        <v>104</v>
      </c>
      <c r="C40" s="606"/>
      <c r="D40" s="317" t="s">
        <v>423</v>
      </c>
      <c r="E40" s="317" t="s">
        <v>288</v>
      </c>
      <c r="F40" s="317" t="s">
        <v>288</v>
      </c>
      <c r="G40" s="317" t="s">
        <v>288</v>
      </c>
      <c r="H40" s="317" t="s">
        <v>288</v>
      </c>
      <c r="I40" s="317" t="s">
        <v>288</v>
      </c>
      <c r="J40" s="426">
        <v>4</v>
      </c>
      <c r="K40" s="426">
        <v>4</v>
      </c>
      <c r="L40" s="607"/>
      <c r="M40" s="607"/>
      <c r="N40" s="607"/>
      <c r="O40" s="607"/>
      <c r="P40" s="607"/>
      <c r="Q40" s="607"/>
      <c r="R40" s="607"/>
      <c r="S40" s="209"/>
      <c r="T40" s="607"/>
      <c r="U40" s="607"/>
      <c r="V40" s="607"/>
      <c r="W40" s="607"/>
      <c r="X40" s="608"/>
      <c r="Y40" s="319"/>
      <c r="Z40" s="317"/>
      <c r="AA40" s="317"/>
      <c r="AB40" s="317"/>
      <c r="AC40" s="317"/>
      <c r="AD40" s="317"/>
      <c r="AE40" s="317"/>
      <c r="AF40" s="317"/>
      <c r="AG40" s="317"/>
      <c r="AH40" s="317"/>
      <c r="AI40" s="317"/>
      <c r="AJ40" s="320"/>
      <c r="AL40" s="182" t="s">
        <v>248</v>
      </c>
      <c r="AM40" s="182"/>
      <c r="AN40" s="182"/>
      <c r="AO40" s="182"/>
      <c r="AP40" s="182"/>
      <c r="AQ40" s="182"/>
      <c r="AR40" s="183"/>
      <c r="AS40" s="183"/>
      <c r="AT40" s="183"/>
      <c r="AU40" s="183"/>
      <c r="AV40" s="183"/>
      <c r="AW40" s="183"/>
      <c r="AX40" s="183"/>
      <c r="AY40" s="179"/>
      <c r="AZ40" s="179"/>
      <c r="BA40" s="179"/>
      <c r="BB40" s="179"/>
      <c r="BC40" s="179"/>
      <c r="BD40" s="179"/>
      <c r="BE40" s="179"/>
      <c r="BF40" s="179"/>
      <c r="BG40" s="179"/>
      <c r="BH40" s="179"/>
      <c r="BI40" s="179"/>
      <c r="BK40" s="605"/>
      <c r="BL40" s="605"/>
      <c r="BM40" s="605"/>
      <c r="BN40" s="605"/>
      <c r="BO40" s="605"/>
      <c r="BP40" s="605"/>
      <c r="BQ40" s="609" t="b">
        <v>0</v>
      </c>
      <c r="BR40" s="610"/>
      <c r="BS40" s="610"/>
      <c r="BT40" s="610"/>
      <c r="BU40" s="611"/>
      <c r="BZ40" s="285" t="b">
        <v>0</v>
      </c>
      <c r="CA40" s="192" t="s">
        <v>89</v>
      </c>
      <c r="CB40" s="178"/>
      <c r="CC40" s="178"/>
      <c r="CD40" s="178"/>
      <c r="CE40" s="178"/>
      <c r="CF40" s="178"/>
      <c r="CG40" s="196"/>
      <c r="CH40" s="196"/>
      <c r="CI40" s="196"/>
      <c r="CJ40" s="196"/>
      <c r="CK40" s="178"/>
    </row>
    <row r="41" spans="2:89" ht="22.5" customHeight="1">
      <c r="B41" s="486">
        <v>105</v>
      </c>
      <c r="C41" s="606"/>
      <c r="D41" s="317" t="s">
        <v>424</v>
      </c>
      <c r="E41" s="317" t="s">
        <v>289</v>
      </c>
      <c r="F41" s="317" t="s">
        <v>289</v>
      </c>
      <c r="G41" s="317" t="s">
        <v>289</v>
      </c>
      <c r="H41" s="317" t="s">
        <v>289</v>
      </c>
      <c r="I41" s="317" t="s">
        <v>289</v>
      </c>
      <c r="J41" s="426">
        <v>5</v>
      </c>
      <c r="K41" s="426">
        <v>5</v>
      </c>
      <c r="L41" s="607"/>
      <c r="M41" s="607"/>
      <c r="N41" s="607"/>
      <c r="O41" s="607"/>
      <c r="P41" s="607"/>
      <c r="Q41" s="607"/>
      <c r="R41" s="607"/>
      <c r="S41" s="209"/>
      <c r="T41" s="607"/>
      <c r="U41" s="607"/>
      <c r="V41" s="607"/>
      <c r="W41" s="607"/>
      <c r="X41" s="608"/>
      <c r="Y41" s="319"/>
      <c r="Z41" s="317"/>
      <c r="AA41" s="317"/>
      <c r="AB41" s="317"/>
      <c r="AC41" s="317"/>
      <c r="AD41" s="317"/>
      <c r="AE41" s="317"/>
      <c r="AF41" s="317"/>
      <c r="AG41" s="317"/>
      <c r="AH41" s="317"/>
      <c r="AI41" s="317"/>
      <c r="AJ41" s="320"/>
      <c r="AL41" s="600" t="s">
        <v>27</v>
      </c>
      <c r="AM41" s="600"/>
      <c r="AN41" s="600" t="s">
        <v>58</v>
      </c>
      <c r="AO41" s="600"/>
      <c r="AP41" s="600" t="s">
        <v>14</v>
      </c>
      <c r="AQ41" s="600"/>
      <c r="AR41" s="600" t="s">
        <v>22</v>
      </c>
      <c r="AS41" s="600"/>
      <c r="AT41" s="600" t="s">
        <v>1</v>
      </c>
      <c r="AU41" s="600"/>
      <c r="AV41" s="600" t="s">
        <v>18</v>
      </c>
      <c r="AW41" s="600"/>
      <c r="AX41" s="600" t="s">
        <v>28</v>
      </c>
      <c r="AY41" s="600"/>
      <c r="AZ41" s="600" t="s">
        <v>24</v>
      </c>
      <c r="BA41" s="600"/>
      <c r="BB41" s="600" t="s">
        <v>16</v>
      </c>
      <c r="BC41" s="600"/>
      <c r="BD41" s="600" t="s">
        <v>67</v>
      </c>
      <c r="BE41" s="600"/>
      <c r="BF41" s="600" t="s">
        <v>20</v>
      </c>
      <c r="BG41" s="600"/>
      <c r="BH41" s="600" t="s">
        <v>68</v>
      </c>
      <c r="BI41" s="600"/>
      <c r="BK41" s="605"/>
      <c r="BL41" s="605"/>
      <c r="BM41" s="605"/>
      <c r="BN41" s="605"/>
      <c r="BO41" s="605"/>
      <c r="BP41" s="605"/>
      <c r="BQ41" s="609" t="b">
        <v>0</v>
      </c>
      <c r="BR41" s="610"/>
      <c r="BS41" s="610"/>
      <c r="BT41" s="610"/>
      <c r="BU41" s="611"/>
      <c r="BZ41" s="285" t="b">
        <v>0</v>
      </c>
      <c r="CA41" s="192" t="s">
        <v>103</v>
      </c>
      <c r="CB41" s="178"/>
      <c r="CC41" s="178"/>
      <c r="CD41" s="178"/>
      <c r="CE41" s="178"/>
      <c r="CF41" s="178"/>
      <c r="CG41" s="196"/>
      <c r="CH41" s="196"/>
      <c r="CI41" s="196"/>
      <c r="CJ41" s="196"/>
      <c r="CK41" s="178"/>
    </row>
    <row r="42" spans="2:89" ht="22.5" customHeight="1">
      <c r="B42" s="486">
        <v>106</v>
      </c>
      <c r="C42" s="606"/>
      <c r="D42" s="317" t="s">
        <v>425</v>
      </c>
      <c r="E42" s="317" t="s">
        <v>290</v>
      </c>
      <c r="F42" s="317" t="s">
        <v>290</v>
      </c>
      <c r="G42" s="317" t="s">
        <v>290</v>
      </c>
      <c r="H42" s="317" t="s">
        <v>290</v>
      </c>
      <c r="I42" s="317" t="s">
        <v>290</v>
      </c>
      <c r="J42" s="426">
        <v>4</v>
      </c>
      <c r="K42" s="426">
        <v>4</v>
      </c>
      <c r="L42" s="607" t="s">
        <v>947</v>
      </c>
      <c r="M42" s="607"/>
      <c r="N42" s="607"/>
      <c r="O42" s="607"/>
      <c r="P42" s="607"/>
      <c r="Q42" s="607"/>
      <c r="R42" s="607"/>
      <c r="S42" s="209"/>
      <c r="T42" s="607"/>
      <c r="U42" s="607"/>
      <c r="V42" s="607"/>
      <c r="W42" s="607"/>
      <c r="X42" s="608"/>
      <c r="Y42" s="319"/>
      <c r="Z42" s="317"/>
      <c r="AA42" s="317"/>
      <c r="AB42" s="317"/>
      <c r="AC42" s="317"/>
      <c r="AD42" s="317"/>
      <c r="AE42" s="317"/>
      <c r="AF42" s="317"/>
      <c r="AG42" s="317"/>
      <c r="AH42" s="317"/>
      <c r="AI42" s="317"/>
      <c r="AJ42" s="320"/>
      <c r="AL42" s="330">
        <v>0</v>
      </c>
      <c r="AM42" s="330"/>
      <c r="AN42" s="330">
        <v>2</v>
      </c>
      <c r="AO42" s="330"/>
      <c r="AP42" s="330">
        <v>1</v>
      </c>
      <c r="AQ42" s="330"/>
      <c r="AR42" s="330"/>
      <c r="AS42" s="330"/>
      <c r="AT42" s="330"/>
      <c r="AU42" s="330"/>
      <c r="AV42" s="330"/>
      <c r="AW42" s="330"/>
      <c r="AX42" s="330"/>
      <c r="AY42" s="330"/>
      <c r="AZ42" s="330"/>
      <c r="BA42" s="330"/>
      <c r="BB42" s="330"/>
      <c r="BC42" s="330"/>
      <c r="BD42" s="330"/>
      <c r="BE42" s="330"/>
      <c r="BF42" s="330"/>
      <c r="BG42" s="330"/>
      <c r="BH42" s="330"/>
      <c r="BI42" s="330"/>
      <c r="BK42" s="612"/>
      <c r="BL42" s="612"/>
      <c r="BM42" s="612"/>
      <c r="BN42" s="612"/>
      <c r="BO42" s="612"/>
      <c r="BP42" s="612"/>
      <c r="BQ42" s="613" t="b">
        <v>0</v>
      </c>
      <c r="BR42" s="614"/>
      <c r="BS42" s="614"/>
      <c r="BT42" s="614"/>
      <c r="BU42" s="615"/>
      <c r="BZ42" s="285" t="b">
        <v>0</v>
      </c>
      <c r="CA42" s="192" t="s">
        <v>82</v>
      </c>
      <c r="CB42" s="178"/>
      <c r="CC42" s="178"/>
      <c r="CD42" s="178"/>
      <c r="CE42" s="178"/>
      <c r="CF42" s="178"/>
      <c r="CG42" s="196"/>
      <c r="CH42" s="196"/>
      <c r="CI42" s="196"/>
      <c r="CJ42" s="196"/>
      <c r="CK42" s="178"/>
    </row>
    <row r="43" spans="2:89" ht="22.5" customHeight="1">
      <c r="B43" s="486">
        <v>107</v>
      </c>
      <c r="C43" s="606"/>
      <c r="D43" s="317" t="s">
        <v>426</v>
      </c>
      <c r="E43" s="317" t="s">
        <v>291</v>
      </c>
      <c r="F43" s="317" t="s">
        <v>291</v>
      </c>
      <c r="G43" s="317" t="s">
        <v>291</v>
      </c>
      <c r="H43" s="317" t="s">
        <v>291</v>
      </c>
      <c r="I43" s="317" t="s">
        <v>291</v>
      </c>
      <c r="J43" s="426">
        <v>5</v>
      </c>
      <c r="K43" s="426">
        <v>5</v>
      </c>
      <c r="L43" s="607"/>
      <c r="M43" s="607"/>
      <c r="N43" s="607"/>
      <c r="O43" s="607"/>
      <c r="P43" s="607"/>
      <c r="Q43" s="607"/>
      <c r="R43" s="607"/>
      <c r="S43" s="209"/>
      <c r="T43" s="607"/>
      <c r="U43" s="607"/>
      <c r="V43" s="607"/>
      <c r="W43" s="607"/>
      <c r="X43" s="608"/>
      <c r="Y43" s="319"/>
      <c r="Z43" s="317"/>
      <c r="AA43" s="317"/>
      <c r="AB43" s="317"/>
      <c r="AC43" s="317"/>
      <c r="AD43" s="317"/>
      <c r="AE43" s="317"/>
      <c r="AF43" s="317"/>
      <c r="AG43" s="317"/>
      <c r="AH43" s="317"/>
      <c r="AI43" s="317"/>
      <c r="AJ43" s="320"/>
      <c r="AL43" s="171"/>
      <c r="AM43" s="171"/>
      <c r="AN43" s="171"/>
      <c r="AO43" s="171"/>
      <c r="AP43" s="171"/>
      <c r="AQ43" s="171"/>
      <c r="AR43" s="171"/>
      <c r="AS43" s="171"/>
      <c r="AT43" s="171"/>
      <c r="AU43" s="171"/>
      <c r="AV43" s="171"/>
      <c r="AW43" s="171"/>
      <c r="AX43" s="171"/>
      <c r="AY43" s="171"/>
      <c r="AZ43" s="171"/>
      <c r="BA43" s="171"/>
      <c r="BB43" s="171"/>
      <c r="BC43" s="171"/>
      <c r="BD43" s="171"/>
      <c r="BE43" s="171"/>
      <c r="BF43" s="171"/>
      <c r="BG43" s="171"/>
      <c r="BH43" s="171"/>
      <c r="BI43" s="171"/>
      <c r="BV43" s="164"/>
    </row>
    <row r="44" spans="2:89" ht="22.5" customHeight="1">
      <c r="B44" s="486">
        <v>108</v>
      </c>
      <c r="C44" s="606"/>
      <c r="D44" s="317" t="s">
        <v>427</v>
      </c>
      <c r="E44" s="317" t="s">
        <v>292</v>
      </c>
      <c r="F44" s="317" t="s">
        <v>292</v>
      </c>
      <c r="G44" s="317" t="s">
        <v>292</v>
      </c>
      <c r="H44" s="317" t="s">
        <v>292</v>
      </c>
      <c r="I44" s="317" t="s">
        <v>292</v>
      </c>
      <c r="J44" s="426">
        <v>4</v>
      </c>
      <c r="K44" s="426">
        <v>4</v>
      </c>
      <c r="L44" s="607"/>
      <c r="M44" s="607"/>
      <c r="N44" s="607"/>
      <c r="O44" s="607"/>
      <c r="P44" s="607"/>
      <c r="Q44" s="607"/>
      <c r="R44" s="607"/>
      <c r="S44" s="209"/>
      <c r="T44" s="607"/>
      <c r="U44" s="607"/>
      <c r="V44" s="607"/>
      <c r="W44" s="607"/>
      <c r="X44" s="608"/>
      <c r="Y44" s="319"/>
      <c r="Z44" s="317"/>
      <c r="AA44" s="317"/>
      <c r="AB44" s="317"/>
      <c r="AC44" s="317"/>
      <c r="AD44" s="317"/>
      <c r="AE44" s="317"/>
      <c r="AF44" s="317"/>
      <c r="AG44" s="317"/>
      <c r="AH44" s="317"/>
      <c r="AI44" s="317"/>
      <c r="AJ44" s="320"/>
      <c r="AL44" s="179" t="s">
        <v>246</v>
      </c>
      <c r="AM44" s="179"/>
      <c r="AN44" s="179"/>
      <c r="AO44" s="179"/>
      <c r="AP44" s="179"/>
      <c r="AQ44" s="179"/>
      <c r="AR44" s="179"/>
      <c r="AS44" s="179"/>
      <c r="AT44" s="179"/>
      <c r="AU44" s="179"/>
      <c r="AV44" s="179"/>
      <c r="AW44" s="179"/>
      <c r="AX44" s="179"/>
      <c r="AY44" s="179"/>
      <c r="AZ44" s="179"/>
      <c r="BA44" s="179"/>
      <c r="BB44" s="179"/>
      <c r="BC44" s="179"/>
      <c r="BD44" s="179"/>
      <c r="BE44" s="179"/>
      <c r="BF44" s="179"/>
      <c r="BG44" s="179"/>
      <c r="BH44" s="179"/>
      <c r="BI44" s="179"/>
      <c r="BJ44" s="163"/>
      <c r="BK44" s="163"/>
      <c r="BL44" s="163"/>
      <c r="BM44" s="163"/>
      <c r="BN44" s="163"/>
      <c r="BO44" s="163"/>
      <c r="BP44" s="163"/>
      <c r="BQ44" s="163"/>
      <c r="BR44" s="163"/>
      <c r="BS44" s="163"/>
      <c r="BT44" s="163"/>
      <c r="BU44" s="163"/>
      <c r="BV44" s="164"/>
      <c r="BW44" s="179" t="s">
        <v>75</v>
      </c>
      <c r="BX44" s="179"/>
      <c r="BY44" s="179"/>
      <c r="BZ44" s="179"/>
      <c r="CA44" s="179"/>
      <c r="CB44" s="179"/>
      <c r="CC44" s="179"/>
      <c r="CD44" s="179"/>
      <c r="CE44" s="179"/>
      <c r="CF44" s="179"/>
      <c r="CG44" s="179"/>
      <c r="CH44" s="179"/>
    </row>
    <row r="45" spans="2:89" ht="22.5" customHeight="1">
      <c r="B45" s="486">
        <v>109</v>
      </c>
      <c r="C45" s="606"/>
      <c r="D45" s="317" t="s">
        <v>428</v>
      </c>
      <c r="E45" s="317" t="s">
        <v>293</v>
      </c>
      <c r="F45" s="317" t="s">
        <v>293</v>
      </c>
      <c r="G45" s="317" t="s">
        <v>293</v>
      </c>
      <c r="H45" s="317" t="s">
        <v>293</v>
      </c>
      <c r="I45" s="317" t="s">
        <v>293</v>
      </c>
      <c r="J45" s="426">
        <v>5</v>
      </c>
      <c r="K45" s="426">
        <v>5</v>
      </c>
      <c r="L45" s="607"/>
      <c r="M45" s="607"/>
      <c r="N45" s="607"/>
      <c r="O45" s="607"/>
      <c r="P45" s="607"/>
      <c r="Q45" s="607"/>
      <c r="R45" s="607"/>
      <c r="S45" s="209"/>
      <c r="T45" s="607"/>
      <c r="U45" s="607"/>
      <c r="V45" s="607"/>
      <c r="W45" s="607"/>
      <c r="X45" s="608"/>
      <c r="Y45" s="616"/>
      <c r="Z45" s="617"/>
      <c r="AA45" s="617"/>
      <c r="AB45" s="617"/>
      <c r="AC45" s="617"/>
      <c r="AD45" s="317"/>
      <c r="AE45" s="317"/>
      <c r="AF45" s="317"/>
      <c r="AG45" s="317"/>
      <c r="AH45" s="317"/>
      <c r="AI45" s="317"/>
      <c r="AJ45" s="320"/>
      <c r="AL45" s="618" t="s">
        <v>27</v>
      </c>
      <c r="AM45" s="618"/>
      <c r="AN45" s="618" t="s">
        <v>58</v>
      </c>
      <c r="AO45" s="618"/>
      <c r="AP45" s="618" t="s">
        <v>14</v>
      </c>
      <c r="AQ45" s="618"/>
      <c r="AR45" s="618" t="s">
        <v>22</v>
      </c>
      <c r="AS45" s="618"/>
      <c r="AT45" s="618" t="s">
        <v>1</v>
      </c>
      <c r="AU45" s="618"/>
      <c r="AV45" s="618" t="s">
        <v>18</v>
      </c>
      <c r="AW45" s="618"/>
      <c r="AX45" s="618" t="s">
        <v>28</v>
      </c>
      <c r="AY45" s="618"/>
      <c r="AZ45" s="618" t="s">
        <v>24</v>
      </c>
      <c r="BA45" s="618"/>
      <c r="BB45" s="618" t="s">
        <v>16</v>
      </c>
      <c r="BC45" s="618"/>
      <c r="BD45" s="618" t="s">
        <v>67</v>
      </c>
      <c r="BE45" s="618"/>
      <c r="BF45" s="618" t="s">
        <v>20</v>
      </c>
      <c r="BG45" s="618"/>
      <c r="BH45" s="618" t="s">
        <v>68</v>
      </c>
      <c r="BI45" s="618"/>
      <c r="BK45" s="630" t="s">
        <v>108</v>
      </c>
      <c r="BL45" s="631"/>
      <c r="BM45" s="634">
        <f>SUM(AL46:BI46)</f>
        <v>5</v>
      </c>
      <c r="BN45" s="635"/>
      <c r="BO45" s="636"/>
      <c r="BP45" s="640" t="s">
        <v>107</v>
      </c>
      <c r="BQ45" s="641"/>
      <c r="BR45" s="631"/>
      <c r="BS45" s="642" t="str">
        <f>IF(OR(BP46="",ISBLANK(BP46)),"",
IF(BP46&gt;=5,"A",
IF(BP46&gt;=4,"B",
IF(BP46&gt;=3,"C",
IF(BP46&gt;=1,"D","E")))))</f>
        <v>D</v>
      </c>
      <c r="BT45" s="556"/>
      <c r="BU45" s="557"/>
      <c r="BV45" s="164"/>
      <c r="BW45" s="619"/>
      <c r="BX45" s="620"/>
      <c r="BY45" s="620"/>
      <c r="BZ45" s="620"/>
      <c r="CA45" s="620"/>
      <c r="CB45" s="620"/>
      <c r="CC45" s="620"/>
      <c r="CD45" s="620"/>
      <c r="CE45" s="620"/>
      <c r="CF45" s="620"/>
      <c r="CG45" s="620"/>
      <c r="CH45" s="621"/>
    </row>
    <row r="46" spans="2:89" ht="22.5" customHeight="1" thickBot="1">
      <c r="B46" s="622">
        <v>110</v>
      </c>
      <c r="C46" s="623"/>
      <c r="D46" s="624" t="s">
        <v>429</v>
      </c>
      <c r="E46" s="624" t="s">
        <v>294</v>
      </c>
      <c r="F46" s="624" t="s">
        <v>294</v>
      </c>
      <c r="G46" s="624" t="s">
        <v>294</v>
      </c>
      <c r="H46" s="624" t="s">
        <v>294</v>
      </c>
      <c r="I46" s="624" t="s">
        <v>294</v>
      </c>
      <c r="J46" s="625">
        <v>4</v>
      </c>
      <c r="K46" s="625">
        <v>4</v>
      </c>
      <c r="L46" s="626"/>
      <c r="M46" s="626"/>
      <c r="N46" s="626"/>
      <c r="O46" s="626"/>
      <c r="P46" s="626"/>
      <c r="Q46" s="626"/>
      <c r="R46" s="626"/>
      <c r="S46" s="211"/>
      <c r="T46" s="626"/>
      <c r="U46" s="626"/>
      <c r="V46" s="626"/>
      <c r="W46" s="626"/>
      <c r="X46" s="627"/>
      <c r="Y46" s="628"/>
      <c r="Z46" s="624"/>
      <c r="AA46" s="624"/>
      <c r="AB46" s="624"/>
      <c r="AC46" s="624"/>
      <c r="AD46" s="624"/>
      <c r="AE46" s="624"/>
      <c r="AF46" s="624"/>
      <c r="AG46" s="624"/>
      <c r="AH46" s="624"/>
      <c r="AI46" s="624"/>
      <c r="AJ46" s="629"/>
      <c r="AL46" s="330">
        <v>2</v>
      </c>
      <c r="AM46" s="330"/>
      <c r="AN46" s="330">
        <v>1</v>
      </c>
      <c r="AO46" s="330"/>
      <c r="AP46" s="330">
        <v>2</v>
      </c>
      <c r="AQ46" s="330"/>
      <c r="AR46" s="330"/>
      <c r="AS46" s="330"/>
      <c r="AT46" s="330"/>
      <c r="AU46" s="330"/>
      <c r="AV46" s="330"/>
      <c r="AW46" s="330"/>
      <c r="AX46" s="330"/>
      <c r="AY46" s="330"/>
      <c r="AZ46" s="330"/>
      <c r="BA46" s="330"/>
      <c r="BB46" s="330"/>
      <c r="BC46" s="330"/>
      <c r="BD46" s="330"/>
      <c r="BE46" s="330"/>
      <c r="BF46" s="330"/>
      <c r="BG46" s="330"/>
      <c r="BH46" s="330"/>
      <c r="BI46" s="330"/>
      <c r="BK46" s="632"/>
      <c r="BL46" s="633"/>
      <c r="BM46" s="637"/>
      <c r="BN46" s="638"/>
      <c r="BO46" s="639"/>
      <c r="BP46" s="652">
        <f>IF(COUNT(AL46:BI46)=0,"",ROUND(AVERAGE(AL46:BI46),1))</f>
        <v>1.7</v>
      </c>
      <c r="BQ46" s="653"/>
      <c r="BR46" s="654"/>
      <c r="BS46" s="643"/>
      <c r="BT46" s="559"/>
      <c r="BU46" s="560"/>
      <c r="BV46" s="164"/>
      <c r="BW46" s="644"/>
      <c r="BX46" s="607"/>
      <c r="BY46" s="607"/>
      <c r="BZ46" s="607"/>
      <c r="CA46" s="607"/>
      <c r="CB46" s="607"/>
      <c r="CC46" s="607"/>
      <c r="CD46" s="607"/>
      <c r="CE46" s="607"/>
      <c r="CF46" s="607"/>
      <c r="CG46" s="607"/>
      <c r="CH46" s="608"/>
    </row>
    <row r="47" spans="2:89" ht="22.5" customHeight="1">
      <c r="B47" s="550">
        <v>201</v>
      </c>
      <c r="C47" s="645"/>
      <c r="D47" s="646" t="s">
        <v>754</v>
      </c>
      <c r="E47" s="646"/>
      <c r="F47" s="646"/>
      <c r="G47" s="646"/>
      <c r="H47" s="646"/>
      <c r="I47" s="646"/>
      <c r="J47" s="647">
        <v>4</v>
      </c>
      <c r="K47" s="647">
        <v>5</v>
      </c>
      <c r="L47" s="648"/>
      <c r="M47" s="648"/>
      <c r="N47" s="648"/>
      <c r="O47" s="648"/>
      <c r="P47" s="648"/>
      <c r="Q47" s="648"/>
      <c r="R47" s="648"/>
      <c r="S47" s="212"/>
      <c r="T47" s="648"/>
      <c r="U47" s="648"/>
      <c r="V47" s="648"/>
      <c r="W47" s="648"/>
      <c r="X47" s="649"/>
      <c r="Y47" s="650"/>
      <c r="Z47" s="646"/>
      <c r="AA47" s="646"/>
      <c r="AB47" s="646"/>
      <c r="AC47" s="646"/>
      <c r="AD47" s="646"/>
      <c r="AE47" s="646"/>
      <c r="AF47" s="646"/>
      <c r="AG47" s="646"/>
      <c r="AH47" s="646"/>
      <c r="AI47" s="646"/>
      <c r="AJ47" s="651"/>
      <c r="BV47" s="164"/>
      <c r="BW47" s="644"/>
      <c r="BX47" s="607"/>
      <c r="BY47" s="607"/>
      <c r="BZ47" s="607"/>
      <c r="CA47" s="607"/>
      <c r="CB47" s="607"/>
      <c r="CC47" s="607"/>
      <c r="CD47" s="607"/>
      <c r="CE47" s="607"/>
      <c r="CF47" s="607"/>
      <c r="CG47" s="607"/>
      <c r="CH47" s="608"/>
    </row>
    <row r="48" spans="2:89" ht="22.5" customHeight="1">
      <c r="B48" s="486">
        <v>202</v>
      </c>
      <c r="C48" s="606"/>
      <c r="D48" s="317" t="s">
        <v>430</v>
      </c>
      <c r="E48" s="317" t="s">
        <v>295</v>
      </c>
      <c r="F48" s="317" t="s">
        <v>295</v>
      </c>
      <c r="G48" s="317" t="s">
        <v>295</v>
      </c>
      <c r="H48" s="317" t="s">
        <v>295</v>
      </c>
      <c r="I48" s="317" t="s">
        <v>295</v>
      </c>
      <c r="J48" s="426">
        <v>5</v>
      </c>
      <c r="K48" s="426">
        <v>5</v>
      </c>
      <c r="L48" s="607"/>
      <c r="M48" s="607"/>
      <c r="N48" s="607"/>
      <c r="O48" s="607"/>
      <c r="P48" s="607"/>
      <c r="Q48" s="607"/>
      <c r="R48" s="607"/>
      <c r="S48" s="209"/>
      <c r="T48" s="607"/>
      <c r="U48" s="607"/>
      <c r="V48" s="607"/>
      <c r="W48" s="607"/>
      <c r="X48" s="608"/>
      <c r="Y48" s="319"/>
      <c r="Z48" s="317"/>
      <c r="AA48" s="317"/>
      <c r="AB48" s="317"/>
      <c r="AC48" s="317"/>
      <c r="AD48" s="317"/>
      <c r="AE48" s="317"/>
      <c r="AF48" s="317"/>
      <c r="AG48" s="317"/>
      <c r="AH48" s="317"/>
      <c r="AI48" s="317"/>
      <c r="AJ48" s="320"/>
      <c r="AL48" s="182" t="s">
        <v>241</v>
      </c>
      <c r="AM48" s="182"/>
      <c r="AN48" s="182"/>
      <c r="AO48" s="182"/>
      <c r="AP48" s="182"/>
      <c r="AQ48" s="182"/>
      <c r="AR48" s="183"/>
      <c r="AS48" s="183"/>
      <c r="AT48" s="183"/>
      <c r="AU48" s="183"/>
      <c r="AV48" s="183"/>
      <c r="AW48" s="183"/>
      <c r="AX48" s="184"/>
      <c r="AY48" s="184"/>
      <c r="AZ48" s="184"/>
      <c r="BA48" s="184"/>
      <c r="BB48" s="185"/>
      <c r="BC48" s="185"/>
      <c r="BD48" s="185"/>
      <c r="BE48" s="185"/>
      <c r="BF48" s="186"/>
      <c r="BG48" s="186"/>
      <c r="BH48" s="186"/>
      <c r="BI48" s="186"/>
      <c r="BJ48" s="163"/>
      <c r="BK48" s="163"/>
      <c r="BL48" s="163"/>
      <c r="BM48" s="163"/>
      <c r="BN48" s="163"/>
      <c r="BO48" s="163"/>
      <c r="BP48" s="163"/>
      <c r="BQ48" s="163"/>
      <c r="BR48" s="163"/>
      <c r="BS48" s="163"/>
      <c r="BT48" s="163"/>
      <c r="BU48" s="163"/>
      <c r="BV48" s="164"/>
      <c r="BW48" s="644"/>
      <c r="BX48" s="607"/>
      <c r="BY48" s="607"/>
      <c r="BZ48" s="607"/>
      <c r="CA48" s="607"/>
      <c r="CB48" s="607"/>
      <c r="CC48" s="607"/>
      <c r="CD48" s="607"/>
      <c r="CE48" s="607"/>
      <c r="CF48" s="607"/>
      <c r="CG48" s="607"/>
      <c r="CH48" s="608"/>
    </row>
    <row r="49" spans="2:86" ht="22.5" customHeight="1">
      <c r="B49" s="486">
        <v>203</v>
      </c>
      <c r="C49" s="606"/>
      <c r="D49" s="317" t="s">
        <v>431</v>
      </c>
      <c r="E49" s="317" t="s">
        <v>296</v>
      </c>
      <c r="F49" s="317" t="s">
        <v>296</v>
      </c>
      <c r="G49" s="317" t="s">
        <v>296</v>
      </c>
      <c r="H49" s="317" t="s">
        <v>296</v>
      </c>
      <c r="I49" s="317" t="s">
        <v>296</v>
      </c>
      <c r="J49" s="426">
        <v>3</v>
      </c>
      <c r="K49" s="426">
        <v>3</v>
      </c>
      <c r="L49" s="607"/>
      <c r="M49" s="607"/>
      <c r="N49" s="607"/>
      <c r="O49" s="607"/>
      <c r="P49" s="607"/>
      <c r="Q49" s="607"/>
      <c r="R49" s="607"/>
      <c r="S49" s="209"/>
      <c r="T49" s="607"/>
      <c r="U49" s="607"/>
      <c r="V49" s="607"/>
      <c r="W49" s="607"/>
      <c r="X49" s="608"/>
      <c r="Y49" s="319"/>
      <c r="Z49" s="317"/>
      <c r="AA49" s="317"/>
      <c r="AB49" s="317"/>
      <c r="AC49" s="317"/>
      <c r="AD49" s="317"/>
      <c r="AE49" s="317"/>
      <c r="AF49" s="317"/>
      <c r="AG49" s="317"/>
      <c r="AH49" s="317"/>
      <c r="AI49" s="317"/>
      <c r="AJ49" s="320"/>
      <c r="AL49" s="600" t="s">
        <v>27</v>
      </c>
      <c r="AM49" s="600"/>
      <c r="AN49" s="600" t="s">
        <v>58</v>
      </c>
      <c r="AO49" s="600"/>
      <c r="AP49" s="600" t="s">
        <v>14</v>
      </c>
      <c r="AQ49" s="600"/>
      <c r="AR49" s="600" t="s">
        <v>22</v>
      </c>
      <c r="AS49" s="600"/>
      <c r="AT49" s="600" t="s">
        <v>1</v>
      </c>
      <c r="AU49" s="600"/>
      <c r="AV49" s="600" t="s">
        <v>18</v>
      </c>
      <c r="AW49" s="600"/>
      <c r="AX49" s="600" t="s">
        <v>28</v>
      </c>
      <c r="AY49" s="600"/>
      <c r="AZ49" s="600" t="s">
        <v>24</v>
      </c>
      <c r="BA49" s="600"/>
      <c r="BB49" s="600" t="s">
        <v>16</v>
      </c>
      <c r="BC49" s="600"/>
      <c r="BD49" s="600" t="s">
        <v>67</v>
      </c>
      <c r="BE49" s="600"/>
      <c r="BF49" s="600" t="s">
        <v>20</v>
      </c>
      <c r="BG49" s="600"/>
      <c r="BH49" s="600" t="s">
        <v>68</v>
      </c>
      <c r="BI49" s="600"/>
      <c r="BK49" s="658" t="s">
        <v>108</v>
      </c>
      <c r="BL49" s="326"/>
      <c r="BM49" s="659">
        <f>SUM(AL50:BI50)</f>
        <v>12</v>
      </c>
      <c r="BN49" s="660"/>
      <c r="BO49" s="661"/>
      <c r="BP49" s="327" t="s">
        <v>107</v>
      </c>
      <c r="BQ49" s="328"/>
      <c r="BR49" s="326"/>
      <c r="BS49" s="665"/>
      <c r="BT49" s="666"/>
      <c r="BU49" s="667"/>
      <c r="BV49" s="164"/>
      <c r="BW49" s="655"/>
      <c r="BX49" s="656"/>
      <c r="BY49" s="656"/>
      <c r="BZ49" s="656"/>
      <c r="CA49" s="656"/>
      <c r="CB49" s="656"/>
      <c r="CC49" s="656"/>
      <c r="CD49" s="656"/>
      <c r="CE49" s="656"/>
      <c r="CF49" s="656"/>
      <c r="CG49" s="656"/>
      <c r="CH49" s="657"/>
    </row>
    <row r="50" spans="2:86" ht="22.5" customHeight="1">
      <c r="B50" s="486">
        <v>204</v>
      </c>
      <c r="C50" s="606"/>
      <c r="D50" s="317" t="s">
        <v>432</v>
      </c>
      <c r="E50" s="317" t="s">
        <v>297</v>
      </c>
      <c r="F50" s="317" t="s">
        <v>297</v>
      </c>
      <c r="G50" s="317" t="s">
        <v>297</v>
      </c>
      <c r="H50" s="317" t="s">
        <v>297</v>
      </c>
      <c r="I50" s="317" t="s">
        <v>297</v>
      </c>
      <c r="J50" s="426">
        <v>4</v>
      </c>
      <c r="K50" s="426">
        <v>4</v>
      </c>
      <c r="L50" s="607"/>
      <c r="M50" s="607"/>
      <c r="N50" s="607"/>
      <c r="O50" s="607"/>
      <c r="P50" s="607"/>
      <c r="Q50" s="607"/>
      <c r="R50" s="607"/>
      <c r="S50" s="209"/>
      <c r="T50" s="607"/>
      <c r="U50" s="607"/>
      <c r="V50" s="607"/>
      <c r="W50" s="607"/>
      <c r="X50" s="608"/>
      <c r="Y50" s="319"/>
      <c r="Z50" s="317"/>
      <c r="AA50" s="317"/>
      <c r="AB50" s="317"/>
      <c r="AC50" s="317"/>
      <c r="AD50" s="317"/>
      <c r="AE50" s="317"/>
      <c r="AF50" s="317"/>
      <c r="AG50" s="317"/>
      <c r="AH50" s="317"/>
      <c r="AI50" s="317"/>
      <c r="AJ50" s="320"/>
      <c r="AL50" s="330">
        <v>4</v>
      </c>
      <c r="AM50" s="330"/>
      <c r="AN50" s="330">
        <v>3</v>
      </c>
      <c r="AO50" s="330"/>
      <c r="AP50" s="330">
        <v>3</v>
      </c>
      <c r="AQ50" s="330"/>
      <c r="AR50" s="330">
        <v>2</v>
      </c>
      <c r="AS50" s="330"/>
      <c r="AT50" s="330"/>
      <c r="AU50" s="330"/>
      <c r="AV50" s="330"/>
      <c r="AW50" s="330"/>
      <c r="AX50" s="330"/>
      <c r="AY50" s="330"/>
      <c r="AZ50" s="330"/>
      <c r="BA50" s="330"/>
      <c r="BB50" s="330"/>
      <c r="BC50" s="330"/>
      <c r="BD50" s="330"/>
      <c r="BE50" s="330"/>
      <c r="BF50" s="330"/>
      <c r="BG50" s="330"/>
      <c r="BH50" s="330"/>
      <c r="BI50" s="330"/>
      <c r="BK50" s="575"/>
      <c r="BL50" s="576"/>
      <c r="BM50" s="662"/>
      <c r="BN50" s="663"/>
      <c r="BO50" s="664"/>
      <c r="BP50" s="652">
        <f>IF(COUNT(AL50:BI50)=0,"",ROUND(AVERAGE(AL50:BI50),1))</f>
        <v>3</v>
      </c>
      <c r="BQ50" s="653"/>
      <c r="BR50" s="654"/>
      <c r="BS50" s="668"/>
      <c r="BT50" s="669"/>
      <c r="BU50" s="670"/>
      <c r="BV50" s="164"/>
    </row>
    <row r="51" spans="2:86" ht="22.5" customHeight="1">
      <c r="B51" s="486">
        <v>205</v>
      </c>
      <c r="C51" s="606"/>
      <c r="D51" s="317" t="s">
        <v>433</v>
      </c>
      <c r="E51" s="317" t="s">
        <v>298</v>
      </c>
      <c r="F51" s="317" t="s">
        <v>298</v>
      </c>
      <c r="G51" s="317" t="s">
        <v>298</v>
      </c>
      <c r="H51" s="317" t="s">
        <v>298</v>
      </c>
      <c r="I51" s="317" t="s">
        <v>298</v>
      </c>
      <c r="J51" s="426">
        <v>5</v>
      </c>
      <c r="K51" s="426">
        <v>5</v>
      </c>
      <c r="L51" s="607" t="s">
        <v>946</v>
      </c>
      <c r="M51" s="607"/>
      <c r="N51" s="607"/>
      <c r="O51" s="607"/>
      <c r="P51" s="607"/>
      <c r="Q51" s="607"/>
      <c r="R51" s="607"/>
      <c r="S51" s="209"/>
      <c r="T51" s="607"/>
      <c r="U51" s="607"/>
      <c r="V51" s="607"/>
      <c r="W51" s="607"/>
      <c r="X51" s="608"/>
      <c r="Y51" s="319"/>
      <c r="Z51" s="317"/>
      <c r="AA51" s="317"/>
      <c r="AB51" s="317"/>
      <c r="AC51" s="317"/>
      <c r="AD51" s="317"/>
      <c r="AE51" s="317"/>
      <c r="AF51" s="317"/>
      <c r="AG51" s="317"/>
      <c r="AH51" s="317"/>
      <c r="AI51" s="317"/>
      <c r="AJ51" s="320"/>
      <c r="AQ51" s="169"/>
      <c r="AR51" s="168"/>
      <c r="AS51" s="168"/>
      <c r="AT51" s="168"/>
      <c r="AU51" s="168"/>
      <c r="AV51" s="168"/>
      <c r="AW51" s="169"/>
      <c r="AX51" s="172"/>
      <c r="AY51" s="172"/>
      <c r="AZ51" s="172"/>
      <c r="BA51" s="172"/>
      <c r="BB51" s="168"/>
      <c r="BC51" s="168"/>
      <c r="BD51" s="168"/>
      <c r="BE51" s="168"/>
      <c r="BF51" s="169"/>
      <c r="BG51" s="169"/>
      <c r="BH51" s="169"/>
      <c r="BI51" s="169"/>
      <c r="BW51" s="179" t="s">
        <v>259</v>
      </c>
      <c r="BX51" s="179"/>
      <c r="BY51" s="179"/>
      <c r="BZ51" s="179"/>
      <c r="CA51" s="179"/>
      <c r="CB51" s="179"/>
      <c r="CC51" s="179"/>
      <c r="CD51" s="179"/>
      <c r="CE51" s="179"/>
      <c r="CF51" s="179"/>
      <c r="CG51" s="179"/>
      <c r="CH51" s="179"/>
    </row>
    <row r="52" spans="2:86" ht="22.5" customHeight="1">
      <c r="B52" s="486">
        <v>206</v>
      </c>
      <c r="C52" s="606"/>
      <c r="D52" s="317" t="s">
        <v>434</v>
      </c>
      <c r="E52" s="317" t="s">
        <v>299</v>
      </c>
      <c r="F52" s="317" t="s">
        <v>299</v>
      </c>
      <c r="G52" s="317" t="s">
        <v>299</v>
      </c>
      <c r="H52" s="317" t="s">
        <v>299</v>
      </c>
      <c r="I52" s="317" t="s">
        <v>299</v>
      </c>
      <c r="J52" s="426">
        <v>3</v>
      </c>
      <c r="K52" s="426">
        <v>3</v>
      </c>
      <c r="L52" s="607"/>
      <c r="M52" s="607"/>
      <c r="N52" s="607"/>
      <c r="O52" s="607"/>
      <c r="P52" s="607"/>
      <c r="Q52" s="607"/>
      <c r="R52" s="607"/>
      <c r="S52" s="209"/>
      <c r="T52" s="607"/>
      <c r="U52" s="607"/>
      <c r="V52" s="607"/>
      <c r="W52" s="607"/>
      <c r="X52" s="608"/>
      <c r="Y52" s="319"/>
      <c r="Z52" s="317"/>
      <c r="AA52" s="317"/>
      <c r="AB52" s="317"/>
      <c r="AC52" s="317"/>
      <c r="AD52" s="317"/>
      <c r="AE52" s="317"/>
      <c r="AF52" s="317"/>
      <c r="AG52" s="317"/>
      <c r="AH52" s="317"/>
      <c r="AI52" s="317"/>
      <c r="AJ52" s="320"/>
      <c r="AL52" s="182" t="s">
        <v>242</v>
      </c>
      <c r="AM52" s="182"/>
      <c r="AN52" s="182"/>
      <c r="AO52" s="182"/>
      <c r="AP52" s="182"/>
      <c r="AQ52" s="182"/>
      <c r="AR52" s="183"/>
      <c r="AS52" s="183"/>
      <c r="AT52" s="183"/>
      <c r="AU52" s="183"/>
      <c r="AV52" s="183"/>
      <c r="AW52" s="183"/>
      <c r="AX52" s="184"/>
      <c r="AY52" s="184"/>
      <c r="AZ52" s="184"/>
      <c r="BA52" s="184"/>
      <c r="BB52" s="185"/>
      <c r="BC52" s="185"/>
      <c r="BD52" s="185"/>
      <c r="BE52" s="185"/>
      <c r="BF52" s="186"/>
      <c r="BG52" s="186"/>
      <c r="BH52" s="186"/>
      <c r="BI52" s="186"/>
      <c r="BJ52" s="163"/>
      <c r="BK52" s="163"/>
      <c r="BL52" s="163"/>
      <c r="BM52" s="163"/>
      <c r="BN52" s="163"/>
      <c r="BO52" s="163"/>
      <c r="BP52" s="163"/>
      <c r="BQ52" s="163"/>
      <c r="BR52" s="163"/>
      <c r="BS52" s="163"/>
      <c r="BT52" s="163"/>
      <c r="BU52" s="163"/>
      <c r="BW52" s="678"/>
      <c r="BX52" s="679"/>
      <c r="BY52" s="679"/>
      <c r="BZ52" s="679"/>
      <c r="CA52" s="679"/>
      <c r="CB52" s="679"/>
      <c r="CC52" s="679"/>
      <c r="CD52" s="679"/>
      <c r="CE52" s="679"/>
      <c r="CF52" s="679"/>
      <c r="CG52" s="679"/>
      <c r="CH52" s="680"/>
    </row>
    <row r="53" spans="2:86" ht="22.5" customHeight="1">
      <c r="B53" s="486">
        <v>207</v>
      </c>
      <c r="C53" s="606"/>
      <c r="D53" s="317" t="s">
        <v>435</v>
      </c>
      <c r="E53" s="317" t="s">
        <v>300</v>
      </c>
      <c r="F53" s="317" t="s">
        <v>300</v>
      </c>
      <c r="G53" s="317" t="s">
        <v>300</v>
      </c>
      <c r="H53" s="317" t="s">
        <v>300</v>
      </c>
      <c r="I53" s="317" t="s">
        <v>300</v>
      </c>
      <c r="J53" s="426">
        <v>3</v>
      </c>
      <c r="K53" s="426">
        <v>3</v>
      </c>
      <c r="L53" s="607"/>
      <c r="M53" s="607"/>
      <c r="N53" s="607"/>
      <c r="O53" s="607"/>
      <c r="P53" s="607"/>
      <c r="Q53" s="607"/>
      <c r="R53" s="607"/>
      <c r="S53" s="209"/>
      <c r="T53" s="607"/>
      <c r="U53" s="607"/>
      <c r="V53" s="607"/>
      <c r="W53" s="607"/>
      <c r="X53" s="608"/>
      <c r="Y53" s="319"/>
      <c r="Z53" s="317"/>
      <c r="AA53" s="317"/>
      <c r="AB53" s="317"/>
      <c r="AC53" s="317"/>
      <c r="AD53" s="317"/>
      <c r="AE53" s="317"/>
      <c r="AF53" s="317"/>
      <c r="AG53" s="317"/>
      <c r="AH53" s="317"/>
      <c r="AI53" s="317"/>
      <c r="AJ53" s="320"/>
      <c r="AL53" s="671" t="s">
        <v>27</v>
      </c>
      <c r="AM53" s="671"/>
      <c r="AN53" s="671" t="s">
        <v>58</v>
      </c>
      <c r="AO53" s="671"/>
      <c r="AP53" s="671" t="s">
        <v>14</v>
      </c>
      <c r="AQ53" s="671"/>
      <c r="AR53" s="671" t="s">
        <v>22</v>
      </c>
      <c r="AS53" s="671"/>
      <c r="AT53" s="671" t="s">
        <v>1</v>
      </c>
      <c r="AU53" s="671"/>
      <c r="AV53" s="671" t="s">
        <v>18</v>
      </c>
      <c r="AW53" s="671"/>
      <c r="AX53" s="671" t="s">
        <v>28</v>
      </c>
      <c r="AY53" s="671"/>
      <c r="AZ53" s="671" t="s">
        <v>24</v>
      </c>
      <c r="BA53" s="671"/>
      <c r="BB53" s="671" t="s">
        <v>16</v>
      </c>
      <c r="BC53" s="671"/>
      <c r="BD53" s="671" t="s">
        <v>67</v>
      </c>
      <c r="BE53" s="671"/>
      <c r="BF53" s="671" t="s">
        <v>20</v>
      </c>
      <c r="BG53" s="671"/>
      <c r="BH53" s="671" t="s">
        <v>68</v>
      </c>
      <c r="BI53" s="671"/>
      <c r="BK53" s="672" t="s">
        <v>108</v>
      </c>
      <c r="BL53" s="673"/>
      <c r="BM53" s="659">
        <f>SUM(AL54:BI54)</f>
        <v>3</v>
      </c>
      <c r="BN53" s="660"/>
      <c r="BO53" s="661"/>
      <c r="BP53" s="676" t="s">
        <v>107</v>
      </c>
      <c r="BQ53" s="677"/>
      <c r="BR53" s="673"/>
      <c r="BS53" s="665"/>
      <c r="BT53" s="666"/>
      <c r="BU53" s="667"/>
      <c r="BW53" s="681"/>
      <c r="BX53" s="682"/>
      <c r="BY53" s="682"/>
      <c r="BZ53" s="682"/>
      <c r="CA53" s="682"/>
      <c r="CB53" s="682"/>
      <c r="CC53" s="682"/>
      <c r="CD53" s="682"/>
      <c r="CE53" s="682"/>
      <c r="CF53" s="682"/>
      <c r="CG53" s="682"/>
      <c r="CH53" s="683"/>
    </row>
    <row r="54" spans="2:86" ht="22.5" customHeight="1">
      <c r="B54" s="486">
        <v>208</v>
      </c>
      <c r="C54" s="606"/>
      <c r="D54" s="317" t="s">
        <v>436</v>
      </c>
      <c r="E54" s="317" t="s">
        <v>301</v>
      </c>
      <c r="F54" s="317" t="s">
        <v>301</v>
      </c>
      <c r="G54" s="317" t="s">
        <v>301</v>
      </c>
      <c r="H54" s="317" t="s">
        <v>301</v>
      </c>
      <c r="I54" s="317" t="s">
        <v>301</v>
      </c>
      <c r="J54" s="426">
        <v>4</v>
      </c>
      <c r="K54" s="426">
        <v>4</v>
      </c>
      <c r="L54" s="607"/>
      <c r="M54" s="607"/>
      <c r="N54" s="607"/>
      <c r="O54" s="607"/>
      <c r="P54" s="607"/>
      <c r="Q54" s="607"/>
      <c r="R54" s="607"/>
      <c r="S54" s="209"/>
      <c r="T54" s="607"/>
      <c r="U54" s="607"/>
      <c r="V54" s="607"/>
      <c r="W54" s="607"/>
      <c r="X54" s="608"/>
      <c r="Y54" s="319"/>
      <c r="Z54" s="317"/>
      <c r="AA54" s="317"/>
      <c r="AB54" s="317"/>
      <c r="AC54" s="317"/>
      <c r="AD54" s="317"/>
      <c r="AE54" s="317"/>
      <c r="AF54" s="317"/>
      <c r="AG54" s="317"/>
      <c r="AH54" s="317"/>
      <c r="AI54" s="317"/>
      <c r="AJ54" s="320"/>
      <c r="AL54" s="330">
        <v>1</v>
      </c>
      <c r="AM54" s="330"/>
      <c r="AN54" s="330">
        <v>1</v>
      </c>
      <c r="AO54" s="330"/>
      <c r="AP54" s="330">
        <v>0</v>
      </c>
      <c r="AQ54" s="330"/>
      <c r="AR54" s="330">
        <v>1</v>
      </c>
      <c r="AS54" s="330"/>
      <c r="AT54" s="330"/>
      <c r="AU54" s="330"/>
      <c r="AV54" s="330"/>
      <c r="AW54" s="330"/>
      <c r="AX54" s="330"/>
      <c r="AY54" s="330"/>
      <c r="AZ54" s="330"/>
      <c r="BA54" s="330"/>
      <c r="BB54" s="330"/>
      <c r="BC54" s="330"/>
      <c r="BD54" s="330"/>
      <c r="BE54" s="330"/>
      <c r="BF54" s="330"/>
      <c r="BG54" s="330"/>
      <c r="BH54" s="330"/>
      <c r="BI54" s="330"/>
      <c r="BK54" s="674"/>
      <c r="BL54" s="675"/>
      <c r="BM54" s="662"/>
      <c r="BN54" s="663"/>
      <c r="BO54" s="664"/>
      <c r="BP54" s="652">
        <f>IF(COUNT(AL54:BI54)=0,"",ROUND(AVERAGE(AL54:BI54),1))</f>
        <v>0.8</v>
      </c>
      <c r="BQ54" s="653"/>
      <c r="BR54" s="654"/>
      <c r="BS54" s="668"/>
      <c r="BT54" s="669"/>
      <c r="BU54" s="670"/>
      <c r="BW54" s="681"/>
      <c r="BX54" s="682"/>
      <c r="BY54" s="682"/>
      <c r="BZ54" s="682"/>
      <c r="CA54" s="682"/>
      <c r="CB54" s="682"/>
      <c r="CC54" s="682"/>
      <c r="CD54" s="682"/>
      <c r="CE54" s="682"/>
      <c r="CF54" s="682"/>
      <c r="CG54" s="682"/>
      <c r="CH54" s="683"/>
    </row>
    <row r="55" spans="2:86" ht="22.5" customHeight="1">
      <c r="B55" s="486">
        <v>209</v>
      </c>
      <c r="C55" s="606"/>
      <c r="D55" s="317"/>
      <c r="E55" s="317"/>
      <c r="F55" s="317"/>
      <c r="G55" s="317"/>
      <c r="H55" s="317"/>
      <c r="I55" s="317"/>
      <c r="J55" s="426"/>
      <c r="K55" s="426"/>
      <c r="L55" s="607"/>
      <c r="M55" s="607"/>
      <c r="N55" s="607"/>
      <c r="O55" s="607"/>
      <c r="P55" s="607"/>
      <c r="Q55" s="607"/>
      <c r="R55" s="607"/>
      <c r="S55" s="209"/>
      <c r="T55" s="607"/>
      <c r="U55" s="607"/>
      <c r="V55" s="607"/>
      <c r="W55" s="607"/>
      <c r="X55" s="608"/>
      <c r="Y55" s="319"/>
      <c r="Z55" s="317"/>
      <c r="AA55" s="317"/>
      <c r="AB55" s="317"/>
      <c r="AC55" s="317"/>
      <c r="AD55" s="317"/>
      <c r="AE55" s="317"/>
      <c r="AF55" s="317"/>
      <c r="AG55" s="317"/>
      <c r="AH55" s="317"/>
      <c r="AI55" s="317"/>
      <c r="AJ55" s="320"/>
      <c r="AL55" s="173"/>
      <c r="AM55" s="174"/>
      <c r="AN55" s="174"/>
      <c r="AO55" s="174"/>
      <c r="AQ55" s="169"/>
      <c r="AR55" s="168"/>
      <c r="AS55" s="168"/>
      <c r="AT55" s="168"/>
      <c r="AU55" s="168"/>
      <c r="AV55" s="168"/>
      <c r="AW55" s="169"/>
      <c r="AX55" s="172"/>
      <c r="AY55" s="172"/>
      <c r="AZ55" s="172"/>
      <c r="BA55" s="172"/>
      <c r="BB55" s="168"/>
      <c r="BC55" s="168"/>
      <c r="BD55" s="168"/>
      <c r="BE55" s="168"/>
      <c r="BF55" s="169"/>
      <c r="BG55" s="169"/>
      <c r="BH55" s="169"/>
      <c r="BI55" s="169"/>
      <c r="BW55" s="681"/>
      <c r="BX55" s="682"/>
      <c r="BY55" s="682"/>
      <c r="BZ55" s="682"/>
      <c r="CA55" s="682"/>
      <c r="CB55" s="682"/>
      <c r="CC55" s="682"/>
      <c r="CD55" s="682"/>
      <c r="CE55" s="682"/>
      <c r="CF55" s="682"/>
      <c r="CG55" s="682"/>
      <c r="CH55" s="683"/>
    </row>
    <row r="56" spans="2:86" ht="22.5" customHeight="1" thickBot="1">
      <c r="B56" s="622">
        <v>210</v>
      </c>
      <c r="C56" s="623"/>
      <c r="D56" s="624" t="s">
        <v>437</v>
      </c>
      <c r="E56" s="624" t="s">
        <v>302</v>
      </c>
      <c r="F56" s="624" t="s">
        <v>302</v>
      </c>
      <c r="G56" s="624" t="s">
        <v>302</v>
      </c>
      <c r="H56" s="624" t="s">
        <v>302</v>
      </c>
      <c r="I56" s="624" t="s">
        <v>302</v>
      </c>
      <c r="J56" s="625">
        <v>4</v>
      </c>
      <c r="K56" s="625">
        <v>4</v>
      </c>
      <c r="L56" s="626"/>
      <c r="M56" s="626"/>
      <c r="N56" s="626"/>
      <c r="O56" s="626"/>
      <c r="P56" s="626"/>
      <c r="Q56" s="626"/>
      <c r="R56" s="626"/>
      <c r="S56" s="211"/>
      <c r="T56" s="626"/>
      <c r="U56" s="626"/>
      <c r="V56" s="626"/>
      <c r="W56" s="626"/>
      <c r="X56" s="627"/>
      <c r="Y56" s="628"/>
      <c r="Z56" s="624"/>
      <c r="AA56" s="624"/>
      <c r="AB56" s="624"/>
      <c r="AC56" s="624"/>
      <c r="AD56" s="624"/>
      <c r="AE56" s="624"/>
      <c r="AF56" s="624"/>
      <c r="AG56" s="624"/>
      <c r="AH56" s="624"/>
      <c r="AI56" s="624"/>
      <c r="AJ56" s="629"/>
      <c r="AL56" s="182" t="s">
        <v>243</v>
      </c>
      <c r="AM56" s="182"/>
      <c r="AN56" s="182"/>
      <c r="AO56" s="182"/>
      <c r="AP56" s="182"/>
      <c r="AQ56" s="182"/>
      <c r="AR56" s="183"/>
      <c r="AS56" s="183"/>
      <c r="AT56" s="183"/>
      <c r="AU56" s="183"/>
      <c r="AV56" s="183"/>
      <c r="AW56" s="183"/>
      <c r="AX56" s="179"/>
      <c r="AY56" s="184"/>
      <c r="AZ56" s="184"/>
      <c r="BA56" s="184"/>
      <c r="BB56" s="185"/>
      <c r="BC56" s="185"/>
      <c r="BD56" s="185"/>
      <c r="BE56" s="185"/>
      <c r="BF56" s="186"/>
      <c r="BG56" s="186"/>
      <c r="BH56" s="186"/>
      <c r="BI56" s="186"/>
      <c r="BJ56" s="163"/>
      <c r="BK56" s="163"/>
      <c r="BL56" s="163"/>
      <c r="BM56" s="163"/>
      <c r="BN56" s="163"/>
      <c r="BO56" s="163"/>
      <c r="BP56" s="163"/>
      <c r="BQ56" s="163"/>
      <c r="BR56" s="163"/>
      <c r="BS56" s="163"/>
      <c r="BT56" s="163"/>
      <c r="BU56" s="163"/>
      <c r="BW56" s="681"/>
      <c r="BX56" s="682"/>
      <c r="BY56" s="682"/>
      <c r="BZ56" s="682"/>
      <c r="CA56" s="682"/>
      <c r="CB56" s="682"/>
      <c r="CC56" s="682"/>
      <c r="CD56" s="682"/>
      <c r="CE56" s="682"/>
      <c r="CF56" s="682"/>
      <c r="CG56" s="682"/>
      <c r="CH56" s="683"/>
    </row>
    <row r="57" spans="2:86" ht="22.5" customHeight="1">
      <c r="B57" s="550">
        <v>301</v>
      </c>
      <c r="C57" s="645"/>
      <c r="D57" s="646"/>
      <c r="E57" s="646"/>
      <c r="F57" s="646"/>
      <c r="G57" s="646"/>
      <c r="H57" s="646"/>
      <c r="I57" s="646"/>
      <c r="J57" s="647"/>
      <c r="K57" s="647"/>
      <c r="L57" s="648"/>
      <c r="M57" s="648"/>
      <c r="N57" s="648"/>
      <c r="O57" s="648"/>
      <c r="P57" s="648"/>
      <c r="Q57" s="648"/>
      <c r="R57" s="648"/>
      <c r="S57" s="212"/>
      <c r="T57" s="648"/>
      <c r="U57" s="648"/>
      <c r="V57" s="648"/>
      <c r="W57" s="648"/>
      <c r="X57" s="649"/>
      <c r="Y57" s="650"/>
      <c r="Z57" s="646"/>
      <c r="AA57" s="646"/>
      <c r="AB57" s="646"/>
      <c r="AC57" s="646"/>
      <c r="AD57" s="646"/>
      <c r="AE57" s="646"/>
      <c r="AF57" s="646"/>
      <c r="AG57" s="646"/>
      <c r="AH57" s="646"/>
      <c r="AI57" s="646"/>
      <c r="AJ57" s="651"/>
      <c r="AL57" s="600" t="s">
        <v>27</v>
      </c>
      <c r="AM57" s="600"/>
      <c r="AN57" s="600" t="s">
        <v>58</v>
      </c>
      <c r="AO57" s="600"/>
      <c r="AP57" s="600" t="s">
        <v>14</v>
      </c>
      <c r="AQ57" s="600"/>
      <c r="AR57" s="600" t="s">
        <v>22</v>
      </c>
      <c r="AS57" s="600"/>
      <c r="AT57" s="600" t="s">
        <v>1</v>
      </c>
      <c r="AU57" s="600"/>
      <c r="AV57" s="600" t="s">
        <v>18</v>
      </c>
      <c r="AW57" s="600"/>
      <c r="AX57" s="600" t="s">
        <v>28</v>
      </c>
      <c r="AY57" s="600"/>
      <c r="AZ57" s="600" t="s">
        <v>24</v>
      </c>
      <c r="BA57" s="600"/>
      <c r="BB57" s="600" t="s">
        <v>16</v>
      </c>
      <c r="BC57" s="600"/>
      <c r="BD57" s="600" t="s">
        <v>67</v>
      </c>
      <c r="BE57" s="600"/>
      <c r="BF57" s="600" t="s">
        <v>20</v>
      </c>
      <c r="BG57" s="600"/>
      <c r="BH57" s="600" t="s">
        <v>68</v>
      </c>
      <c r="BI57" s="600"/>
      <c r="BK57" s="658" t="s">
        <v>108</v>
      </c>
      <c r="BL57" s="326"/>
      <c r="BM57" s="659">
        <f>SUM(AL58:BI58)</f>
        <v>1</v>
      </c>
      <c r="BN57" s="660"/>
      <c r="BO57" s="661"/>
      <c r="BP57" s="327" t="s">
        <v>107</v>
      </c>
      <c r="BQ57" s="328"/>
      <c r="BR57" s="326"/>
      <c r="BS57" s="665"/>
      <c r="BT57" s="666"/>
      <c r="BU57" s="667"/>
      <c r="BW57" s="684"/>
      <c r="BX57" s="685"/>
      <c r="BY57" s="685"/>
      <c r="BZ57" s="685"/>
      <c r="CA57" s="685"/>
      <c r="CB57" s="685"/>
      <c r="CC57" s="685"/>
      <c r="CD57" s="685"/>
      <c r="CE57" s="685"/>
      <c r="CF57" s="685"/>
      <c r="CG57" s="685"/>
      <c r="CH57" s="686"/>
    </row>
    <row r="58" spans="2:86" ht="22.5" customHeight="1">
      <c r="B58" s="486">
        <v>302</v>
      </c>
      <c r="C58" s="606"/>
      <c r="D58" s="317"/>
      <c r="E58" s="317"/>
      <c r="F58" s="317"/>
      <c r="G58" s="317"/>
      <c r="H58" s="317"/>
      <c r="I58" s="317"/>
      <c r="J58" s="426"/>
      <c r="K58" s="426"/>
      <c r="L58" s="607"/>
      <c r="M58" s="607"/>
      <c r="N58" s="607"/>
      <c r="O58" s="607"/>
      <c r="P58" s="607"/>
      <c r="Q58" s="607"/>
      <c r="R58" s="607"/>
      <c r="S58" s="209"/>
      <c r="T58" s="607"/>
      <c r="U58" s="607"/>
      <c r="V58" s="607"/>
      <c r="W58" s="607"/>
      <c r="X58" s="608"/>
      <c r="Y58" s="319"/>
      <c r="Z58" s="317"/>
      <c r="AA58" s="317"/>
      <c r="AB58" s="317"/>
      <c r="AC58" s="317"/>
      <c r="AD58" s="317"/>
      <c r="AE58" s="317"/>
      <c r="AF58" s="317"/>
      <c r="AG58" s="317"/>
      <c r="AH58" s="317"/>
      <c r="AI58" s="317"/>
      <c r="AJ58" s="320"/>
      <c r="AL58" s="330">
        <v>0</v>
      </c>
      <c r="AM58" s="330"/>
      <c r="AN58" s="330">
        <v>0</v>
      </c>
      <c r="AO58" s="330"/>
      <c r="AP58" s="330">
        <v>0</v>
      </c>
      <c r="AQ58" s="330"/>
      <c r="AR58" s="330">
        <v>1</v>
      </c>
      <c r="AS58" s="330"/>
      <c r="AT58" s="330"/>
      <c r="AU58" s="330"/>
      <c r="AV58" s="330"/>
      <c r="AW58" s="330"/>
      <c r="AX58" s="330"/>
      <c r="AY58" s="330"/>
      <c r="AZ58" s="330"/>
      <c r="BA58" s="330"/>
      <c r="BB58" s="330"/>
      <c r="BC58" s="330"/>
      <c r="BD58" s="330"/>
      <c r="BE58" s="330"/>
      <c r="BF58" s="330"/>
      <c r="BG58" s="330"/>
      <c r="BH58" s="330"/>
      <c r="BI58" s="330"/>
      <c r="BK58" s="575"/>
      <c r="BL58" s="576"/>
      <c r="BM58" s="662"/>
      <c r="BN58" s="663"/>
      <c r="BO58" s="664"/>
      <c r="BP58" s="652">
        <f>IF(COUNT(AL58:BI58)=0,"",ROUND(AVERAGE(AL58:BI58),1))</f>
        <v>0.3</v>
      </c>
      <c r="BQ58" s="653"/>
      <c r="BR58" s="654"/>
      <c r="BS58" s="668"/>
      <c r="BT58" s="669"/>
      <c r="BU58" s="670"/>
    </row>
    <row r="59" spans="2:86" ht="22.5" customHeight="1">
      <c r="B59" s="486">
        <v>303</v>
      </c>
      <c r="C59" s="606"/>
      <c r="D59" s="317"/>
      <c r="E59" s="317"/>
      <c r="F59" s="317"/>
      <c r="G59" s="317"/>
      <c r="H59" s="317"/>
      <c r="I59" s="317"/>
      <c r="J59" s="426"/>
      <c r="K59" s="426"/>
      <c r="L59" s="607"/>
      <c r="M59" s="607"/>
      <c r="N59" s="607"/>
      <c r="O59" s="607"/>
      <c r="P59" s="607"/>
      <c r="Q59" s="607"/>
      <c r="R59" s="607"/>
      <c r="S59" s="209"/>
      <c r="T59" s="607"/>
      <c r="U59" s="607"/>
      <c r="V59" s="607"/>
      <c r="W59" s="607"/>
      <c r="X59" s="608"/>
      <c r="Y59" s="319"/>
      <c r="Z59" s="317"/>
      <c r="AA59" s="317"/>
      <c r="AB59" s="317"/>
      <c r="AC59" s="317"/>
      <c r="AD59" s="317"/>
      <c r="AE59" s="317"/>
      <c r="AF59" s="317"/>
      <c r="AG59" s="317"/>
      <c r="AH59" s="317"/>
      <c r="AI59" s="317"/>
      <c r="AJ59" s="320"/>
      <c r="AY59" s="172"/>
      <c r="AZ59" s="172"/>
      <c r="BA59" s="172"/>
      <c r="BB59" s="168"/>
      <c r="BC59" s="168"/>
      <c r="BD59" s="168"/>
      <c r="BE59" s="168"/>
      <c r="BF59" s="169"/>
      <c r="BG59" s="169"/>
      <c r="BH59" s="169"/>
      <c r="BI59" s="169"/>
      <c r="BW59" s="179" t="s">
        <v>259</v>
      </c>
      <c r="BX59" s="179"/>
      <c r="BY59" s="179"/>
      <c r="BZ59" s="179"/>
      <c r="CA59" s="179"/>
      <c r="CB59" s="179"/>
      <c r="CC59" s="179"/>
      <c r="CD59" s="179"/>
      <c r="CE59" s="179"/>
      <c r="CF59" s="179"/>
      <c r="CG59" s="179"/>
      <c r="CH59" s="179"/>
    </row>
    <row r="60" spans="2:86" ht="22.5" customHeight="1">
      <c r="B60" s="486">
        <v>304</v>
      </c>
      <c r="C60" s="606"/>
      <c r="D60" s="317"/>
      <c r="E60" s="317"/>
      <c r="F60" s="317"/>
      <c r="G60" s="317"/>
      <c r="H60" s="317"/>
      <c r="I60" s="317"/>
      <c r="J60" s="426"/>
      <c r="K60" s="426"/>
      <c r="L60" s="607"/>
      <c r="M60" s="607"/>
      <c r="N60" s="607"/>
      <c r="O60" s="607"/>
      <c r="P60" s="607"/>
      <c r="Q60" s="607"/>
      <c r="R60" s="607"/>
      <c r="S60" s="209"/>
      <c r="T60" s="607"/>
      <c r="U60" s="607"/>
      <c r="V60" s="607"/>
      <c r="W60" s="607"/>
      <c r="X60" s="608"/>
      <c r="Y60" s="319"/>
      <c r="Z60" s="317"/>
      <c r="AA60" s="317"/>
      <c r="AB60" s="317"/>
      <c r="AC60" s="317"/>
      <c r="AD60" s="317"/>
      <c r="AE60" s="317"/>
      <c r="AF60" s="317"/>
      <c r="AG60" s="317"/>
      <c r="AH60" s="317"/>
      <c r="AI60" s="317"/>
      <c r="AJ60" s="320"/>
      <c r="AL60" s="182" t="s">
        <v>231</v>
      </c>
      <c r="AM60" s="182"/>
      <c r="AN60" s="182"/>
      <c r="AO60" s="182"/>
      <c r="AP60" s="182"/>
      <c r="AQ60" s="182"/>
      <c r="AR60" s="183"/>
      <c r="AS60" s="183"/>
      <c r="AT60" s="183"/>
      <c r="AU60" s="183"/>
      <c r="AV60" s="183"/>
      <c r="AW60" s="183"/>
      <c r="AX60" s="184"/>
      <c r="AY60" s="184"/>
      <c r="AZ60" s="184"/>
      <c r="BA60" s="184"/>
      <c r="BB60" s="185"/>
      <c r="BC60" s="185"/>
      <c r="BD60" s="185"/>
      <c r="BE60" s="185"/>
      <c r="BF60" s="186"/>
      <c r="BG60" s="186"/>
      <c r="BH60" s="186"/>
      <c r="BI60" s="186"/>
      <c r="BJ60" s="163"/>
      <c r="BK60" s="163"/>
      <c r="BL60" s="163"/>
      <c r="BM60" s="163"/>
      <c r="BN60" s="163"/>
      <c r="BO60" s="163"/>
      <c r="BP60" s="163"/>
      <c r="BQ60" s="163"/>
      <c r="BR60" s="163"/>
      <c r="BS60" s="163"/>
      <c r="BT60" s="163"/>
      <c r="BU60" s="163"/>
      <c r="BW60" s="687"/>
      <c r="BX60" s="688"/>
      <c r="BY60" s="688"/>
      <c r="BZ60" s="688"/>
      <c r="CA60" s="688"/>
      <c r="CB60" s="688"/>
      <c r="CC60" s="688"/>
      <c r="CD60" s="688"/>
      <c r="CE60" s="688"/>
      <c r="CF60" s="688"/>
      <c r="CG60" s="688"/>
      <c r="CH60" s="689"/>
    </row>
    <row r="61" spans="2:86" ht="22.5" customHeight="1">
      <c r="B61" s="486">
        <v>305</v>
      </c>
      <c r="C61" s="606"/>
      <c r="D61" s="317"/>
      <c r="E61" s="317"/>
      <c r="F61" s="317"/>
      <c r="G61" s="317"/>
      <c r="H61" s="317"/>
      <c r="I61" s="317"/>
      <c r="J61" s="426"/>
      <c r="K61" s="426"/>
      <c r="L61" s="607"/>
      <c r="M61" s="607"/>
      <c r="N61" s="607"/>
      <c r="O61" s="607"/>
      <c r="P61" s="607"/>
      <c r="Q61" s="607"/>
      <c r="R61" s="607"/>
      <c r="S61" s="209"/>
      <c r="T61" s="607"/>
      <c r="U61" s="607"/>
      <c r="V61" s="607"/>
      <c r="W61" s="607"/>
      <c r="X61" s="608"/>
      <c r="Y61" s="319"/>
      <c r="Z61" s="317"/>
      <c r="AA61" s="317"/>
      <c r="AB61" s="317"/>
      <c r="AC61" s="317"/>
      <c r="AD61" s="317"/>
      <c r="AE61" s="317"/>
      <c r="AF61" s="317"/>
      <c r="AG61" s="317"/>
      <c r="AH61" s="317"/>
      <c r="AI61" s="317"/>
      <c r="AJ61" s="320"/>
      <c r="AL61" s="600" t="s">
        <v>27</v>
      </c>
      <c r="AM61" s="600"/>
      <c r="AN61" s="600" t="s">
        <v>58</v>
      </c>
      <c r="AO61" s="600"/>
      <c r="AP61" s="600" t="s">
        <v>14</v>
      </c>
      <c r="AQ61" s="600"/>
      <c r="AR61" s="600" t="s">
        <v>22</v>
      </c>
      <c r="AS61" s="600"/>
      <c r="AT61" s="600" t="s">
        <v>1</v>
      </c>
      <c r="AU61" s="600"/>
      <c r="AV61" s="600" t="s">
        <v>18</v>
      </c>
      <c r="AW61" s="600"/>
      <c r="AX61" s="600" t="s">
        <v>28</v>
      </c>
      <c r="AY61" s="600"/>
      <c r="AZ61" s="600" t="s">
        <v>24</v>
      </c>
      <c r="BA61" s="600"/>
      <c r="BB61" s="600" t="s">
        <v>16</v>
      </c>
      <c r="BC61" s="600"/>
      <c r="BD61" s="600" t="s">
        <v>67</v>
      </c>
      <c r="BE61" s="600"/>
      <c r="BF61" s="600" t="s">
        <v>20</v>
      </c>
      <c r="BG61" s="600"/>
      <c r="BH61" s="600" t="s">
        <v>68</v>
      </c>
      <c r="BI61" s="600"/>
      <c r="BK61" s="658" t="s">
        <v>108</v>
      </c>
      <c r="BL61" s="326"/>
      <c r="BM61" s="699">
        <f>SUM(AL62:BI62)</f>
        <v>0</v>
      </c>
      <c r="BN61" s="700"/>
      <c r="BO61" s="701"/>
      <c r="BP61" s="327" t="s">
        <v>107</v>
      </c>
      <c r="BQ61" s="328"/>
      <c r="BR61" s="326"/>
      <c r="BS61" s="665"/>
      <c r="BT61" s="666"/>
      <c r="BU61" s="667"/>
      <c r="BW61" s="690"/>
      <c r="BX61" s="691"/>
      <c r="BY61" s="691"/>
      <c r="BZ61" s="691"/>
      <c r="CA61" s="691"/>
      <c r="CB61" s="691"/>
      <c r="CC61" s="691"/>
      <c r="CD61" s="691"/>
      <c r="CE61" s="691"/>
      <c r="CF61" s="691"/>
      <c r="CG61" s="691"/>
      <c r="CH61" s="692"/>
    </row>
    <row r="62" spans="2:86" ht="22.5" customHeight="1">
      <c r="B62" s="486">
        <v>306</v>
      </c>
      <c r="C62" s="606"/>
      <c r="D62" s="317"/>
      <c r="E62" s="317"/>
      <c r="F62" s="317"/>
      <c r="G62" s="317"/>
      <c r="H62" s="317"/>
      <c r="I62" s="317"/>
      <c r="J62" s="426"/>
      <c r="K62" s="426"/>
      <c r="L62" s="607"/>
      <c r="M62" s="607"/>
      <c r="N62" s="607"/>
      <c r="O62" s="607"/>
      <c r="P62" s="607"/>
      <c r="Q62" s="607"/>
      <c r="R62" s="607"/>
      <c r="S62" s="209"/>
      <c r="T62" s="607"/>
      <c r="U62" s="607"/>
      <c r="V62" s="607"/>
      <c r="W62" s="607"/>
      <c r="X62" s="608"/>
      <c r="Y62" s="319"/>
      <c r="Z62" s="317"/>
      <c r="AA62" s="317"/>
      <c r="AB62" s="317"/>
      <c r="AC62" s="317"/>
      <c r="AD62" s="317"/>
      <c r="AE62" s="317"/>
      <c r="AF62" s="317"/>
      <c r="AG62" s="317"/>
      <c r="AH62" s="317"/>
      <c r="AI62" s="317"/>
      <c r="AJ62" s="320"/>
      <c r="AL62" s="330"/>
      <c r="AM62" s="330"/>
      <c r="AN62" s="330"/>
      <c r="AO62" s="330"/>
      <c r="AP62" s="330"/>
      <c r="AQ62" s="330"/>
      <c r="AR62" s="330"/>
      <c r="AS62" s="330"/>
      <c r="AT62" s="330"/>
      <c r="AU62" s="330"/>
      <c r="AV62" s="330"/>
      <c r="AW62" s="330"/>
      <c r="AX62" s="330"/>
      <c r="AY62" s="330"/>
      <c r="AZ62" s="330"/>
      <c r="BA62" s="330"/>
      <c r="BB62" s="330"/>
      <c r="BC62" s="330"/>
      <c r="BD62" s="330"/>
      <c r="BE62" s="330"/>
      <c r="BF62" s="330"/>
      <c r="BG62" s="330"/>
      <c r="BH62" s="330"/>
      <c r="BI62" s="330"/>
      <c r="BK62" s="575"/>
      <c r="BL62" s="576"/>
      <c r="BM62" s="702"/>
      <c r="BN62" s="703"/>
      <c r="BO62" s="704"/>
      <c r="BP62" s="696" t="str">
        <f>IF(COUNT(AL62:BI62)=0,"",ROUND(AVERAGE(AL62:BI62),1))</f>
        <v/>
      </c>
      <c r="BQ62" s="697"/>
      <c r="BR62" s="698"/>
      <c r="BS62" s="668"/>
      <c r="BT62" s="669"/>
      <c r="BU62" s="670"/>
      <c r="BW62" s="690"/>
      <c r="BX62" s="691"/>
      <c r="BY62" s="691"/>
      <c r="BZ62" s="691"/>
      <c r="CA62" s="691"/>
      <c r="CB62" s="691"/>
      <c r="CC62" s="691"/>
      <c r="CD62" s="691"/>
      <c r="CE62" s="691"/>
      <c r="CF62" s="691"/>
      <c r="CG62" s="691"/>
      <c r="CH62" s="692"/>
    </row>
    <row r="63" spans="2:86" ht="22.5" customHeight="1">
      <c r="B63" s="486">
        <v>307</v>
      </c>
      <c r="C63" s="606"/>
      <c r="D63" s="317"/>
      <c r="E63" s="317"/>
      <c r="F63" s="317"/>
      <c r="G63" s="317"/>
      <c r="H63" s="317"/>
      <c r="I63" s="317"/>
      <c r="J63" s="426"/>
      <c r="K63" s="426"/>
      <c r="L63" s="607"/>
      <c r="M63" s="607"/>
      <c r="N63" s="607"/>
      <c r="O63" s="607"/>
      <c r="P63" s="607"/>
      <c r="Q63" s="607"/>
      <c r="R63" s="607"/>
      <c r="S63" s="209"/>
      <c r="T63" s="607"/>
      <c r="U63" s="607"/>
      <c r="V63" s="607"/>
      <c r="W63" s="607"/>
      <c r="X63" s="608"/>
      <c r="Y63" s="319"/>
      <c r="Z63" s="317"/>
      <c r="AA63" s="317"/>
      <c r="AB63" s="317"/>
      <c r="AC63" s="317"/>
      <c r="AD63" s="317"/>
      <c r="AE63" s="317"/>
      <c r="AF63" s="317"/>
      <c r="AG63" s="317"/>
      <c r="AH63" s="317"/>
      <c r="AI63" s="317"/>
      <c r="AJ63" s="320"/>
      <c r="AY63" s="172"/>
      <c r="AZ63" s="172"/>
      <c r="BA63" s="172"/>
      <c r="BB63" s="168"/>
      <c r="BC63" s="168"/>
      <c r="BD63" s="168"/>
      <c r="BE63" s="168"/>
      <c r="BF63" s="169"/>
      <c r="BG63" s="169"/>
      <c r="BH63" s="169"/>
      <c r="BI63" s="169"/>
      <c r="BW63" s="690"/>
      <c r="BX63" s="691"/>
      <c r="BY63" s="691"/>
      <c r="BZ63" s="691"/>
      <c r="CA63" s="691"/>
      <c r="CB63" s="691"/>
      <c r="CC63" s="691"/>
      <c r="CD63" s="691"/>
      <c r="CE63" s="691"/>
      <c r="CF63" s="691"/>
      <c r="CG63" s="691"/>
      <c r="CH63" s="692"/>
    </row>
    <row r="64" spans="2:86" ht="22.5" customHeight="1">
      <c r="B64" s="486">
        <v>308</v>
      </c>
      <c r="C64" s="606"/>
      <c r="D64" s="317"/>
      <c r="E64" s="317"/>
      <c r="F64" s="317"/>
      <c r="G64" s="317"/>
      <c r="H64" s="317"/>
      <c r="I64" s="317"/>
      <c r="J64" s="426"/>
      <c r="K64" s="426"/>
      <c r="L64" s="607"/>
      <c r="M64" s="607"/>
      <c r="N64" s="607"/>
      <c r="O64" s="607"/>
      <c r="P64" s="607"/>
      <c r="Q64" s="607"/>
      <c r="R64" s="607"/>
      <c r="S64" s="209"/>
      <c r="T64" s="607"/>
      <c r="U64" s="607"/>
      <c r="V64" s="607"/>
      <c r="W64" s="607"/>
      <c r="X64" s="608"/>
      <c r="Y64" s="319"/>
      <c r="Z64" s="317"/>
      <c r="AA64" s="317"/>
      <c r="AB64" s="317"/>
      <c r="AC64" s="317"/>
      <c r="AD64" s="317"/>
      <c r="AE64" s="317"/>
      <c r="AF64" s="317"/>
      <c r="AG64" s="317"/>
      <c r="AH64" s="317"/>
      <c r="AI64" s="317"/>
      <c r="AJ64" s="320"/>
      <c r="AL64" s="182" t="s">
        <v>230</v>
      </c>
      <c r="AM64" s="182"/>
      <c r="AN64" s="182"/>
      <c r="AO64" s="182"/>
      <c r="AP64" s="182"/>
      <c r="AQ64" s="182"/>
      <c r="AR64" s="183"/>
      <c r="AS64" s="183"/>
      <c r="AT64" s="183"/>
      <c r="AU64" s="183"/>
      <c r="AV64" s="183"/>
      <c r="AW64" s="183"/>
      <c r="AX64" s="179"/>
      <c r="AY64" s="184"/>
      <c r="AZ64" s="184"/>
      <c r="BA64" s="184"/>
      <c r="BB64" s="185"/>
      <c r="BC64" s="185"/>
      <c r="BD64" s="185"/>
      <c r="BE64" s="185"/>
      <c r="BF64" s="186"/>
      <c r="BG64" s="186"/>
      <c r="BH64" s="186"/>
      <c r="BI64" s="186"/>
      <c r="BJ64" s="163"/>
      <c r="BK64" s="163"/>
      <c r="BL64" s="163"/>
      <c r="BM64" s="163"/>
      <c r="BN64" s="163"/>
      <c r="BO64" s="163"/>
      <c r="BP64" s="163"/>
      <c r="BQ64" s="163"/>
      <c r="BR64" s="163"/>
      <c r="BS64" s="163"/>
      <c r="BT64" s="163"/>
      <c r="BU64" s="163"/>
      <c r="BW64" s="690"/>
      <c r="BX64" s="691"/>
      <c r="BY64" s="691"/>
      <c r="BZ64" s="691"/>
      <c r="CA64" s="691"/>
      <c r="CB64" s="691"/>
      <c r="CC64" s="691"/>
      <c r="CD64" s="691"/>
      <c r="CE64" s="691"/>
      <c r="CF64" s="691"/>
      <c r="CG64" s="691"/>
      <c r="CH64" s="692"/>
    </row>
    <row r="65" spans="2:86" ht="22.5" customHeight="1">
      <c r="B65" s="486">
        <v>309</v>
      </c>
      <c r="C65" s="606"/>
      <c r="D65" s="317"/>
      <c r="E65" s="317"/>
      <c r="F65" s="317"/>
      <c r="G65" s="317"/>
      <c r="H65" s="317"/>
      <c r="I65" s="317"/>
      <c r="J65" s="426"/>
      <c r="K65" s="426"/>
      <c r="L65" s="607"/>
      <c r="M65" s="607"/>
      <c r="N65" s="607"/>
      <c r="O65" s="607"/>
      <c r="P65" s="607"/>
      <c r="Q65" s="607"/>
      <c r="R65" s="607"/>
      <c r="S65" s="209"/>
      <c r="T65" s="607"/>
      <c r="U65" s="607"/>
      <c r="V65" s="607"/>
      <c r="W65" s="607"/>
      <c r="X65" s="608"/>
      <c r="Y65" s="319"/>
      <c r="Z65" s="317"/>
      <c r="AA65" s="317"/>
      <c r="AB65" s="317"/>
      <c r="AC65" s="317"/>
      <c r="AD65" s="317"/>
      <c r="AE65" s="317"/>
      <c r="AF65" s="317"/>
      <c r="AG65" s="317"/>
      <c r="AH65" s="317"/>
      <c r="AI65" s="317"/>
      <c r="AJ65" s="320"/>
      <c r="AL65" s="600" t="s">
        <v>27</v>
      </c>
      <c r="AM65" s="600"/>
      <c r="AN65" s="600" t="s">
        <v>58</v>
      </c>
      <c r="AO65" s="600"/>
      <c r="AP65" s="600" t="s">
        <v>14</v>
      </c>
      <c r="AQ65" s="600"/>
      <c r="AR65" s="600" t="s">
        <v>22</v>
      </c>
      <c r="AS65" s="600"/>
      <c r="AT65" s="600" t="s">
        <v>1</v>
      </c>
      <c r="AU65" s="600"/>
      <c r="AV65" s="600" t="s">
        <v>18</v>
      </c>
      <c r="AW65" s="600"/>
      <c r="AX65" s="600" t="s">
        <v>28</v>
      </c>
      <c r="AY65" s="600"/>
      <c r="AZ65" s="600" t="s">
        <v>24</v>
      </c>
      <c r="BA65" s="600"/>
      <c r="BB65" s="600" t="s">
        <v>16</v>
      </c>
      <c r="BC65" s="600"/>
      <c r="BD65" s="600" t="s">
        <v>67</v>
      </c>
      <c r="BE65" s="600"/>
      <c r="BF65" s="600" t="s">
        <v>20</v>
      </c>
      <c r="BG65" s="600"/>
      <c r="BH65" s="600" t="s">
        <v>68</v>
      </c>
      <c r="BI65" s="600"/>
      <c r="BK65" s="658" t="s">
        <v>108</v>
      </c>
      <c r="BL65" s="326"/>
      <c r="BM65" s="699">
        <f>SUM(AL66:BI66)</f>
        <v>0</v>
      </c>
      <c r="BN65" s="700"/>
      <c r="BO65" s="701"/>
      <c r="BP65" s="327" t="s">
        <v>107</v>
      </c>
      <c r="BQ65" s="328"/>
      <c r="BR65" s="326"/>
      <c r="BS65" s="665"/>
      <c r="BT65" s="666"/>
      <c r="BU65" s="667"/>
      <c r="BW65" s="690"/>
      <c r="BX65" s="691"/>
      <c r="BY65" s="691"/>
      <c r="BZ65" s="691"/>
      <c r="CA65" s="691"/>
      <c r="CB65" s="691"/>
      <c r="CC65" s="691"/>
      <c r="CD65" s="691"/>
      <c r="CE65" s="691"/>
      <c r="CF65" s="691"/>
      <c r="CG65" s="691"/>
      <c r="CH65" s="692"/>
    </row>
    <row r="66" spans="2:86" ht="22.5" customHeight="1">
      <c r="B66" s="575">
        <v>310</v>
      </c>
      <c r="C66" s="705"/>
      <c r="D66" s="534"/>
      <c r="E66" s="534"/>
      <c r="F66" s="534"/>
      <c r="G66" s="534"/>
      <c r="H66" s="534"/>
      <c r="I66" s="534"/>
      <c r="J66" s="706"/>
      <c r="K66" s="706"/>
      <c r="L66" s="656"/>
      <c r="M66" s="656"/>
      <c r="N66" s="656"/>
      <c r="O66" s="656"/>
      <c r="P66" s="656"/>
      <c r="Q66" s="656"/>
      <c r="R66" s="656"/>
      <c r="S66" s="213"/>
      <c r="T66" s="656"/>
      <c r="U66" s="656"/>
      <c r="V66" s="656"/>
      <c r="W66" s="656"/>
      <c r="X66" s="657"/>
      <c r="Y66" s="707"/>
      <c r="Z66" s="534"/>
      <c r="AA66" s="534"/>
      <c r="AB66" s="534"/>
      <c r="AC66" s="534"/>
      <c r="AD66" s="534"/>
      <c r="AE66" s="534"/>
      <c r="AF66" s="534"/>
      <c r="AG66" s="534"/>
      <c r="AH66" s="534"/>
      <c r="AI66" s="534"/>
      <c r="AJ66" s="535"/>
      <c r="AL66" s="330"/>
      <c r="AM66" s="330"/>
      <c r="AN66" s="330"/>
      <c r="AO66" s="330"/>
      <c r="AP66" s="330"/>
      <c r="AQ66" s="330"/>
      <c r="AR66" s="330"/>
      <c r="AS66" s="330"/>
      <c r="AT66" s="330"/>
      <c r="AU66" s="330"/>
      <c r="AV66" s="330"/>
      <c r="AW66" s="330"/>
      <c r="AX66" s="330"/>
      <c r="AY66" s="330"/>
      <c r="AZ66" s="330"/>
      <c r="BA66" s="330"/>
      <c r="BB66" s="330"/>
      <c r="BC66" s="330"/>
      <c r="BD66" s="330"/>
      <c r="BE66" s="330"/>
      <c r="BF66" s="330"/>
      <c r="BG66" s="330"/>
      <c r="BH66" s="330"/>
      <c r="BI66" s="330"/>
      <c r="BK66" s="575"/>
      <c r="BL66" s="576"/>
      <c r="BM66" s="702"/>
      <c r="BN66" s="703"/>
      <c r="BO66" s="704"/>
      <c r="BP66" s="696" t="str">
        <f>IF(COUNT(AL66:BI66)=0,"",ROUND(AVERAGE(AL66:BI66),1))</f>
        <v/>
      </c>
      <c r="BQ66" s="697"/>
      <c r="BR66" s="698"/>
      <c r="BS66" s="668"/>
      <c r="BT66" s="669"/>
      <c r="BU66" s="670"/>
      <c r="BW66" s="693"/>
      <c r="BX66" s="694"/>
      <c r="BY66" s="694"/>
      <c r="BZ66" s="694"/>
      <c r="CA66" s="694"/>
      <c r="CB66" s="694"/>
      <c r="CC66" s="694"/>
      <c r="CD66" s="694"/>
      <c r="CE66" s="694"/>
      <c r="CF66" s="694"/>
      <c r="CG66" s="694"/>
      <c r="CH66" s="695"/>
    </row>
    <row r="68" spans="2:86" ht="22.5" customHeight="1">
      <c r="B68" s="179" t="s">
        <v>40</v>
      </c>
      <c r="C68" s="179"/>
      <c r="D68" s="179"/>
      <c r="E68" s="179"/>
      <c r="F68" s="179"/>
      <c r="G68" s="179"/>
      <c r="H68" s="179"/>
      <c r="I68" s="179"/>
      <c r="J68" s="179"/>
      <c r="K68" s="179"/>
      <c r="L68" s="179"/>
      <c r="M68" s="179"/>
      <c r="N68" s="179"/>
      <c r="O68" s="183"/>
      <c r="P68" s="179"/>
      <c r="Q68" s="179"/>
      <c r="R68" s="179"/>
      <c r="S68" s="179"/>
      <c r="T68" s="179"/>
      <c r="U68" s="179"/>
      <c r="V68" s="179"/>
      <c r="W68" s="179"/>
      <c r="X68" s="179"/>
      <c r="Y68" s="179"/>
      <c r="Z68" s="179"/>
      <c r="AA68" s="179"/>
    </row>
    <row r="69" spans="2:86" ht="22.5" customHeight="1">
      <c r="B69" s="342" t="s">
        <v>48</v>
      </c>
      <c r="C69" s="343"/>
      <c r="D69" s="344"/>
      <c r="E69" s="544" t="s">
        <v>49</v>
      </c>
      <c r="F69" s="545"/>
      <c r="G69" s="546"/>
      <c r="H69" s="547" t="s">
        <v>113</v>
      </c>
      <c r="I69" s="548"/>
      <c r="J69" s="548" t="s">
        <v>114</v>
      </c>
      <c r="K69" s="549"/>
      <c r="L69" s="544" t="s">
        <v>116</v>
      </c>
      <c r="M69" s="545"/>
      <c r="N69" s="545"/>
      <c r="O69" s="545"/>
      <c r="P69" s="545"/>
      <c r="Q69" s="545"/>
      <c r="R69" s="545"/>
      <c r="S69" s="545"/>
      <c r="T69" s="545"/>
      <c r="U69" s="545"/>
      <c r="V69" s="545"/>
      <c r="W69" s="545"/>
      <c r="X69" s="545"/>
      <c r="Y69" s="545"/>
      <c r="Z69" s="545"/>
      <c r="AA69" s="546"/>
    </row>
    <row r="70" spans="2:86" ht="22.5" customHeight="1">
      <c r="B70" s="512" t="s">
        <v>725</v>
      </c>
      <c r="C70" s="513"/>
      <c r="D70" s="514"/>
      <c r="E70" s="518">
        <v>46107</v>
      </c>
      <c r="F70" s="519"/>
      <c r="G70" s="520"/>
      <c r="H70" s="524" t="str" cm="1">
        <f t="array" ref="H70">IF(SUM(COUNTIF(BF3:BF32,{"月給","常時給"}))=0,"",
IF(SUMPRODUCT((BF3:BF32={"月給","常時給"})*(BR3:BR32="●"))/SUM(COUNTIF(BF3:BF32,{"月給","常時給"}))&gt;=35%,"〇","×"))</f>
        <v/>
      </c>
      <c r="I70" s="525"/>
      <c r="J70" s="525" t="str" cm="1">
        <f t="array" ref="J70">IFERROR(
  IF(
    SUMPRODUCT((BF3:BF32={"月給","常時給"})*(BR3:BR32="●"))/
    SUM(COUNTIF(BF3:BF32,{"月給","常時給"}))&gt;=25%,
    "〇",
    "×"
  ),
"")</f>
        <v/>
      </c>
      <c r="K70" s="528"/>
      <c r="L70" s="530" t="s">
        <v>998</v>
      </c>
      <c r="M70" s="531"/>
      <c r="N70" s="531"/>
      <c r="O70" s="531"/>
      <c r="P70" s="531"/>
      <c r="Q70" s="531"/>
      <c r="R70" s="531"/>
      <c r="S70" s="531"/>
      <c r="T70" s="531"/>
      <c r="U70" s="531"/>
      <c r="V70" s="531"/>
      <c r="W70" s="531"/>
      <c r="X70" s="531"/>
      <c r="Y70" s="531"/>
      <c r="Z70" s="531"/>
      <c r="AA70" s="532"/>
    </row>
    <row r="71" spans="2:86" ht="22.5" customHeight="1">
      <c r="B71" s="515"/>
      <c r="C71" s="516"/>
      <c r="D71" s="517"/>
      <c r="E71" s="521"/>
      <c r="F71" s="522"/>
      <c r="G71" s="523"/>
      <c r="H71" s="526"/>
      <c r="I71" s="527"/>
      <c r="J71" s="527"/>
      <c r="K71" s="529"/>
      <c r="L71" s="533"/>
      <c r="M71" s="534"/>
      <c r="N71" s="534"/>
      <c r="O71" s="534"/>
      <c r="P71" s="534"/>
      <c r="Q71" s="534"/>
      <c r="R71" s="534"/>
      <c r="S71" s="534"/>
      <c r="T71" s="534"/>
      <c r="U71" s="534"/>
      <c r="V71" s="534"/>
      <c r="W71" s="534"/>
      <c r="X71" s="534"/>
      <c r="Y71" s="534"/>
      <c r="Z71" s="534"/>
      <c r="AA71" s="535"/>
    </row>
    <row r="73" spans="2:86" ht="22.5" customHeight="1">
      <c r="B73" s="181" t="s">
        <v>31</v>
      </c>
      <c r="C73" s="179"/>
      <c r="D73" s="179"/>
      <c r="E73" s="179"/>
      <c r="F73" s="179"/>
      <c r="G73" s="179"/>
      <c r="H73" s="179"/>
      <c r="I73" s="179"/>
      <c r="J73" s="179"/>
      <c r="K73" s="179"/>
      <c r="L73" s="179"/>
      <c r="M73" s="179"/>
      <c r="N73" s="179"/>
      <c r="O73" s="179"/>
      <c r="P73" s="179"/>
      <c r="Q73" s="179"/>
      <c r="R73" s="179"/>
      <c r="S73" s="179"/>
      <c r="T73" s="179"/>
      <c r="U73" s="179"/>
      <c r="V73" s="179"/>
      <c r="W73" s="179"/>
      <c r="X73" s="179"/>
      <c r="Y73" s="179"/>
      <c r="Z73" s="179"/>
      <c r="AA73" s="179"/>
    </row>
    <row r="74" spans="2:86" ht="22.5" customHeight="1">
      <c r="B74" s="406" t="s">
        <v>0</v>
      </c>
      <c r="C74" s="406"/>
      <c r="D74" s="406"/>
      <c r="E74" s="406"/>
      <c r="F74" s="406"/>
      <c r="G74" s="406"/>
      <c r="H74" s="406"/>
      <c r="I74" s="406"/>
      <c r="J74" s="406"/>
      <c r="K74" s="406"/>
      <c r="L74" s="346" t="s">
        <v>30</v>
      </c>
      <c r="M74" s="343"/>
      <c r="N74" s="343"/>
      <c r="O74" s="343"/>
      <c r="P74" s="343"/>
      <c r="Q74" s="343"/>
      <c r="R74" s="343"/>
      <c r="S74" s="343"/>
      <c r="T74" s="343"/>
      <c r="U74" s="343"/>
      <c r="V74" s="343"/>
      <c r="W74" s="343"/>
      <c r="X74" s="343"/>
      <c r="Y74" s="343"/>
      <c r="Z74" s="343"/>
      <c r="AA74" s="345"/>
    </row>
    <row r="75" spans="2:86" ht="22.5" customHeight="1">
      <c r="B75" s="166" t="s">
        <v>228</v>
      </c>
      <c r="C75" s="429" t="s">
        <v>5</v>
      </c>
      <c r="D75" s="429"/>
      <c r="E75" s="429"/>
      <c r="F75" s="430" t="s">
        <v>8</v>
      </c>
      <c r="G75" s="430"/>
      <c r="H75" s="430"/>
      <c r="I75" s="430"/>
      <c r="J75" s="430"/>
      <c r="K75" s="430"/>
      <c r="L75" s="431" t="s">
        <v>12</v>
      </c>
      <c r="M75" s="432"/>
      <c r="N75" s="433" t="s">
        <v>11</v>
      </c>
      <c r="O75" s="434"/>
      <c r="P75" s="435"/>
      <c r="Q75" s="436"/>
      <c r="R75" s="436"/>
      <c r="S75" s="437"/>
      <c r="T75" s="431" t="s">
        <v>12</v>
      </c>
      <c r="U75" s="432"/>
      <c r="V75" s="433"/>
      <c r="W75" s="434"/>
      <c r="X75" s="435"/>
      <c r="Y75" s="436"/>
      <c r="Z75" s="436"/>
      <c r="AA75" s="438"/>
    </row>
    <row r="76" spans="2:86" ht="22.5" customHeight="1">
      <c r="B76" s="166" t="s">
        <v>228</v>
      </c>
      <c r="C76" s="429"/>
      <c r="D76" s="429"/>
      <c r="E76" s="429"/>
      <c r="F76" s="430" t="s">
        <v>7</v>
      </c>
      <c r="G76" s="430"/>
      <c r="H76" s="430"/>
      <c r="I76" s="430"/>
      <c r="J76" s="430"/>
      <c r="K76" s="430"/>
      <c r="L76" s="431" t="s">
        <v>12</v>
      </c>
      <c r="M76" s="432"/>
      <c r="N76" s="433" t="s">
        <v>11</v>
      </c>
      <c r="O76" s="434"/>
      <c r="P76" s="435"/>
      <c r="Q76" s="436"/>
      <c r="R76" s="436"/>
      <c r="S76" s="437"/>
      <c r="T76" s="431" t="s">
        <v>12</v>
      </c>
      <c r="U76" s="432"/>
      <c r="V76" s="433"/>
      <c r="W76" s="434"/>
      <c r="X76" s="435"/>
      <c r="Y76" s="436"/>
      <c r="Z76" s="436"/>
      <c r="AA76" s="438"/>
    </row>
    <row r="77" spans="2:86" ht="22.5" customHeight="1">
      <c r="B77" s="166" t="s">
        <v>228</v>
      </c>
      <c r="C77" s="429"/>
      <c r="D77" s="429"/>
      <c r="E77" s="429"/>
      <c r="F77" s="430" t="s">
        <v>9</v>
      </c>
      <c r="G77" s="430"/>
      <c r="H77" s="430"/>
      <c r="I77" s="430"/>
      <c r="J77" s="430"/>
      <c r="K77" s="430"/>
      <c r="L77" s="431" t="s">
        <v>12</v>
      </c>
      <c r="M77" s="432"/>
      <c r="N77" s="433" t="s">
        <v>15</v>
      </c>
      <c r="O77" s="434"/>
      <c r="P77" s="205"/>
      <c r="Q77" s="465" t="s">
        <v>17</v>
      </c>
      <c r="R77" s="465"/>
      <c r="S77" s="205"/>
      <c r="T77" s="431" t="s">
        <v>13</v>
      </c>
      <c r="U77" s="432"/>
      <c r="V77" s="433" t="s">
        <v>19</v>
      </c>
      <c r="W77" s="434"/>
      <c r="X77" s="206"/>
      <c r="Y77" s="465" t="s">
        <v>21</v>
      </c>
      <c r="Z77" s="465"/>
      <c r="AA77" s="207"/>
    </row>
    <row r="78" spans="2:86" ht="22.5" customHeight="1">
      <c r="B78" s="166" t="s">
        <v>228</v>
      </c>
      <c r="C78" s="429"/>
      <c r="D78" s="429"/>
      <c r="E78" s="429"/>
      <c r="F78" s="430" t="s">
        <v>6</v>
      </c>
      <c r="G78" s="430"/>
      <c r="H78" s="430"/>
      <c r="I78" s="430"/>
      <c r="J78" s="430"/>
      <c r="K78" s="430"/>
      <c r="L78" s="431" t="s">
        <v>12</v>
      </c>
      <c r="M78" s="432"/>
      <c r="N78" s="433" t="s">
        <v>23</v>
      </c>
      <c r="O78" s="434"/>
      <c r="P78" s="435"/>
      <c r="Q78" s="436"/>
      <c r="R78" s="436"/>
      <c r="S78" s="437"/>
      <c r="T78" s="431" t="s">
        <v>13</v>
      </c>
      <c r="U78" s="432"/>
      <c r="V78" s="433" t="s">
        <v>25</v>
      </c>
      <c r="W78" s="434"/>
      <c r="X78" s="435"/>
      <c r="Y78" s="436"/>
      <c r="Z78" s="436"/>
      <c r="AA78" s="438"/>
    </row>
    <row r="79" spans="2:86" ht="22.5" customHeight="1">
      <c r="B79" s="166" t="s">
        <v>228</v>
      </c>
      <c r="C79" s="429"/>
      <c r="D79" s="429"/>
      <c r="E79" s="429"/>
      <c r="F79" s="461"/>
      <c r="G79" s="461"/>
      <c r="H79" s="461"/>
      <c r="I79" s="461"/>
      <c r="J79" s="461"/>
      <c r="K79" s="461"/>
      <c r="L79" s="431" t="s">
        <v>12</v>
      </c>
      <c r="M79" s="432"/>
      <c r="N79" s="433"/>
      <c r="O79" s="434"/>
      <c r="P79" s="435"/>
      <c r="Q79" s="436"/>
      <c r="R79" s="436"/>
      <c r="S79" s="437"/>
      <c r="T79" s="431" t="s">
        <v>12</v>
      </c>
      <c r="U79" s="432"/>
      <c r="V79" s="433"/>
      <c r="W79" s="434"/>
      <c r="X79" s="435"/>
      <c r="Y79" s="436"/>
      <c r="Z79" s="436"/>
      <c r="AA79" s="438"/>
    </row>
    <row r="80" spans="2:86" ht="22.5" customHeight="1">
      <c r="B80" s="166" t="s">
        <v>228</v>
      </c>
      <c r="C80" s="466" t="s">
        <v>10</v>
      </c>
      <c r="D80" s="466"/>
      <c r="E80" s="466"/>
      <c r="F80" s="466"/>
      <c r="G80" s="466"/>
      <c r="H80" s="466"/>
      <c r="I80" s="466"/>
      <c r="J80" s="466"/>
      <c r="K80" s="466"/>
      <c r="L80" s="472" t="s">
        <v>26</v>
      </c>
      <c r="M80" s="472"/>
      <c r="N80" s="472"/>
      <c r="O80" s="472"/>
      <c r="P80" s="217" t="s">
        <v>724</v>
      </c>
      <c r="Q80" s="218" t="s">
        <v>724</v>
      </c>
      <c r="R80" s="218" t="s">
        <v>724</v>
      </c>
      <c r="S80" s="218" t="s">
        <v>724</v>
      </c>
      <c r="T80" s="218">
        <v>5</v>
      </c>
      <c r="U80" s="218">
        <v>6</v>
      </c>
      <c r="V80" s="218">
        <v>7</v>
      </c>
      <c r="W80" s="218">
        <v>8</v>
      </c>
      <c r="X80" s="218">
        <v>9</v>
      </c>
      <c r="Y80" s="218">
        <v>10</v>
      </c>
      <c r="Z80" s="218">
        <v>11</v>
      </c>
      <c r="AA80" s="219">
        <v>12</v>
      </c>
    </row>
    <row r="81" spans="2:63" ht="22.5" customHeight="1">
      <c r="B81" s="166" t="s">
        <v>228</v>
      </c>
      <c r="C81" s="466" t="s">
        <v>2</v>
      </c>
      <c r="D81" s="466"/>
      <c r="E81" s="466"/>
      <c r="F81" s="466"/>
      <c r="G81" s="466"/>
      <c r="H81" s="466"/>
      <c r="I81" s="466"/>
      <c r="J81" s="466"/>
      <c r="K81" s="466"/>
      <c r="L81" s="431" t="s">
        <v>13</v>
      </c>
      <c r="M81" s="432"/>
      <c r="N81" s="433" t="s">
        <v>27</v>
      </c>
      <c r="O81" s="434"/>
      <c r="P81" s="435" t="s">
        <v>267</v>
      </c>
      <c r="Q81" s="436"/>
      <c r="R81" s="436"/>
      <c r="S81" s="437"/>
      <c r="T81" s="431" t="s">
        <v>13</v>
      </c>
      <c r="U81" s="432"/>
      <c r="V81" s="433" t="s">
        <v>29</v>
      </c>
      <c r="W81" s="434"/>
      <c r="X81" s="435"/>
      <c r="Y81" s="436"/>
      <c r="Z81" s="436"/>
      <c r="AA81" s="438"/>
    </row>
    <row r="82" spans="2:63" ht="22.5" customHeight="1">
      <c r="B82" s="166" t="s">
        <v>228</v>
      </c>
      <c r="C82" s="466" t="s">
        <v>3</v>
      </c>
      <c r="D82" s="466"/>
      <c r="E82" s="466"/>
      <c r="F82" s="466"/>
      <c r="G82" s="466"/>
      <c r="H82" s="466"/>
      <c r="I82" s="466"/>
      <c r="J82" s="466"/>
      <c r="K82" s="466"/>
      <c r="L82" s="477" t="s">
        <v>252</v>
      </c>
      <c r="M82" s="477"/>
      <c r="N82" s="477"/>
      <c r="O82" s="477"/>
      <c r="P82" s="435"/>
      <c r="Q82" s="436"/>
      <c r="R82" s="436"/>
      <c r="S82" s="437"/>
      <c r="T82" s="455" t="s">
        <v>253</v>
      </c>
      <c r="U82" s="456"/>
      <c r="V82" s="456"/>
      <c r="W82" s="456"/>
      <c r="X82" s="456"/>
      <c r="Y82" s="456"/>
      <c r="Z82" s="456"/>
      <c r="AA82" s="457"/>
    </row>
    <row r="83" spans="2:63" ht="22.5" customHeight="1">
      <c r="B83" s="166" t="s">
        <v>228</v>
      </c>
      <c r="C83" s="466" t="s">
        <v>126</v>
      </c>
      <c r="D83" s="466"/>
      <c r="E83" s="466"/>
      <c r="F83" s="466"/>
      <c r="G83" s="466"/>
      <c r="H83" s="466"/>
      <c r="I83" s="466"/>
      <c r="J83" s="466"/>
      <c r="K83" s="466"/>
      <c r="L83" s="431" t="s">
        <v>36</v>
      </c>
      <c r="M83" s="432"/>
      <c r="N83" s="433" t="s">
        <v>245</v>
      </c>
      <c r="O83" s="434"/>
      <c r="P83" s="435"/>
      <c r="Q83" s="436"/>
      <c r="R83" s="436"/>
      <c r="S83" s="437"/>
      <c r="T83" s="431" t="s">
        <v>37</v>
      </c>
      <c r="U83" s="432"/>
      <c r="V83" s="433" t="s">
        <v>245</v>
      </c>
      <c r="W83" s="434"/>
      <c r="X83" s="435"/>
      <c r="Y83" s="436"/>
      <c r="Z83" s="436"/>
      <c r="AA83" s="438"/>
    </row>
    <row r="84" spans="2:63" ht="22.5" customHeight="1">
      <c r="B84" s="166" t="s">
        <v>228</v>
      </c>
      <c r="C84" s="466" t="s">
        <v>4</v>
      </c>
      <c r="D84" s="466"/>
      <c r="E84" s="466"/>
      <c r="F84" s="466"/>
      <c r="G84" s="466"/>
      <c r="H84" s="466"/>
      <c r="I84" s="466"/>
      <c r="J84" s="466"/>
      <c r="K84" s="466"/>
      <c r="L84" s="483"/>
      <c r="M84" s="484"/>
      <c r="N84" s="484"/>
      <c r="O84" s="484"/>
      <c r="P84" s="484"/>
      <c r="Q84" s="484"/>
      <c r="R84" s="484"/>
      <c r="S84" s="484"/>
      <c r="T84" s="484"/>
      <c r="U84" s="484"/>
      <c r="V84" s="484"/>
      <c r="W84" s="484"/>
      <c r="X84" s="484"/>
      <c r="Y84" s="484"/>
      <c r="Z84" s="484"/>
      <c r="AA84" s="485"/>
    </row>
    <row r="86" spans="2:63" ht="22.5" customHeight="1">
      <c r="B86" s="725" t="s">
        <v>792</v>
      </c>
      <c r="C86" s="725"/>
      <c r="D86" s="725"/>
      <c r="E86" s="725"/>
      <c r="F86" s="725" t="s">
        <v>793</v>
      </c>
      <c r="G86" s="725"/>
      <c r="H86" s="725"/>
      <c r="I86" s="725"/>
      <c r="J86" s="725" t="s">
        <v>794</v>
      </c>
      <c r="K86" s="725"/>
      <c r="L86" s="725"/>
      <c r="M86" s="725"/>
      <c r="N86" s="729" t="s">
        <v>806</v>
      </c>
      <c r="O86" s="730"/>
      <c r="P86" s="730"/>
      <c r="Q86" s="730"/>
      <c r="R86" s="730"/>
      <c r="S86" s="730"/>
      <c r="T86" s="730"/>
      <c r="U86" s="730"/>
      <c r="V86" s="730"/>
      <c r="W86" s="730"/>
      <c r="X86" s="730"/>
      <c r="Y86" s="730"/>
      <c r="Z86" s="730"/>
      <c r="AA86" s="730"/>
      <c r="AB86" s="730"/>
      <c r="AC86" s="730"/>
      <c r="AD86" s="730"/>
      <c r="AE86" s="730"/>
      <c r="AF86" s="730"/>
      <c r="AG86" s="730"/>
      <c r="AH86" s="730"/>
      <c r="AI86" s="730"/>
      <c r="AJ86" s="730"/>
      <c r="AK86" s="730"/>
      <c r="AL86" s="730"/>
      <c r="AM86" s="730"/>
      <c r="AN86" s="730"/>
      <c r="AO86" s="730"/>
      <c r="AP86" s="730"/>
      <c r="AQ86" s="730"/>
      <c r="AR86" s="730"/>
      <c r="AS86" s="730"/>
      <c r="AT86" s="731"/>
      <c r="AU86" s="725"/>
      <c r="AV86" s="725"/>
      <c r="AW86" s="725"/>
      <c r="AX86" s="725"/>
      <c r="AY86" s="725"/>
      <c r="AZ86" s="725"/>
      <c r="BA86" s="725"/>
      <c r="BB86" s="725"/>
      <c r="BC86" s="725"/>
      <c r="BD86" s="725"/>
      <c r="BE86" s="725"/>
      <c r="BF86" s="725"/>
      <c r="BG86" s="725"/>
      <c r="BH86" s="725"/>
      <c r="BI86" s="725"/>
      <c r="BJ86" s="725"/>
      <c r="BK86" s="725"/>
    </row>
    <row r="87" spans="2:63" ht="22.5" customHeight="1">
      <c r="B87" s="727" t="s">
        <v>795</v>
      </c>
      <c r="C87" s="727"/>
      <c r="D87" s="727"/>
      <c r="E87" s="727"/>
      <c r="F87" s="465" t="s">
        <v>796</v>
      </c>
      <c r="G87" s="465"/>
      <c r="H87" s="465"/>
      <c r="I87" s="465"/>
      <c r="J87" s="726" t="s">
        <v>810</v>
      </c>
      <c r="K87" s="726"/>
      <c r="L87" s="726"/>
      <c r="M87" s="726"/>
      <c r="N87" s="732" t="s">
        <v>811</v>
      </c>
      <c r="O87" s="733"/>
      <c r="P87" s="733"/>
      <c r="Q87" s="733"/>
      <c r="R87" s="733"/>
      <c r="S87" s="733"/>
      <c r="T87" s="733"/>
      <c r="U87" s="733"/>
      <c r="V87" s="733"/>
      <c r="W87" s="733"/>
      <c r="X87" s="733"/>
      <c r="Y87" s="733"/>
      <c r="Z87" s="733"/>
      <c r="AA87" s="733"/>
      <c r="AB87" s="733"/>
      <c r="AC87" s="733"/>
      <c r="AD87" s="733"/>
      <c r="AE87" s="733"/>
      <c r="AF87" s="733"/>
      <c r="AG87" s="733"/>
      <c r="AH87" s="733"/>
      <c r="AI87" s="733"/>
      <c r="AJ87" s="733"/>
      <c r="AK87" s="733"/>
      <c r="AL87" s="733"/>
      <c r="AM87" s="733"/>
      <c r="AN87" s="733"/>
      <c r="AO87" s="733"/>
      <c r="AP87" s="733"/>
      <c r="AQ87" s="733"/>
      <c r="AR87" s="733"/>
      <c r="AS87" s="733"/>
      <c r="AT87" s="734"/>
      <c r="AU87" s="726"/>
      <c r="AV87" s="726"/>
      <c r="AW87" s="726"/>
      <c r="AX87" s="726"/>
      <c r="AY87" s="726"/>
      <c r="AZ87" s="726"/>
      <c r="BA87" s="726"/>
      <c r="BB87" s="726"/>
      <c r="BC87" s="726"/>
      <c r="BD87" s="726"/>
      <c r="BE87" s="726"/>
      <c r="BF87" s="726"/>
      <c r="BG87" s="726"/>
      <c r="BH87" s="726"/>
      <c r="BI87" s="726"/>
      <c r="BJ87" s="726"/>
      <c r="BK87" s="726"/>
    </row>
    <row r="88" spans="2:63" ht="22.5" customHeight="1">
      <c r="B88" s="727" t="s">
        <v>804</v>
      </c>
      <c r="C88" s="727"/>
      <c r="D88" s="727"/>
      <c r="E88" s="727"/>
      <c r="F88" s="465"/>
      <c r="G88" s="465"/>
      <c r="H88" s="465"/>
      <c r="I88" s="465"/>
      <c r="J88" s="726"/>
      <c r="K88" s="726"/>
      <c r="L88" s="726"/>
      <c r="M88" s="726"/>
      <c r="N88" s="719"/>
      <c r="O88" s="720"/>
      <c r="P88" s="720"/>
      <c r="Q88" s="720"/>
      <c r="R88" s="720"/>
      <c r="S88" s="720"/>
      <c r="T88" s="720"/>
      <c r="U88" s="720"/>
      <c r="V88" s="720"/>
      <c r="W88" s="720"/>
      <c r="X88" s="720"/>
      <c r="Y88" s="720"/>
      <c r="Z88" s="720"/>
      <c r="AA88" s="720"/>
      <c r="AB88" s="720"/>
      <c r="AC88" s="720"/>
      <c r="AD88" s="720"/>
      <c r="AE88" s="720"/>
      <c r="AF88" s="720"/>
      <c r="AG88" s="720"/>
      <c r="AH88" s="720"/>
      <c r="AI88" s="720"/>
      <c r="AJ88" s="720"/>
      <c r="AK88" s="720"/>
      <c r="AL88" s="720"/>
      <c r="AM88" s="720"/>
      <c r="AN88" s="720"/>
      <c r="AO88" s="720"/>
      <c r="AP88" s="720"/>
      <c r="AQ88" s="720"/>
      <c r="AR88" s="720"/>
      <c r="AS88" s="720"/>
      <c r="AT88" s="721"/>
      <c r="AU88" s="726"/>
      <c r="AV88" s="726"/>
      <c r="AW88" s="726"/>
      <c r="AX88" s="726"/>
      <c r="AY88" s="726"/>
      <c r="AZ88" s="726"/>
      <c r="BA88" s="726"/>
      <c r="BB88" s="726"/>
      <c r="BC88" s="726"/>
      <c r="BD88" s="726"/>
      <c r="BE88" s="726"/>
      <c r="BF88" s="726"/>
      <c r="BG88" s="726"/>
      <c r="BH88" s="726"/>
      <c r="BI88" s="726"/>
      <c r="BJ88" s="726"/>
      <c r="BK88" s="726"/>
    </row>
    <row r="89" spans="2:63" ht="22.5" customHeight="1">
      <c r="B89" s="727" t="s">
        <v>807</v>
      </c>
      <c r="C89" s="727"/>
      <c r="D89" s="727"/>
      <c r="E89" s="727"/>
      <c r="F89" s="465" t="s">
        <v>797</v>
      </c>
      <c r="G89" s="465"/>
      <c r="H89" s="465"/>
      <c r="I89" s="465"/>
      <c r="J89" s="726" t="s">
        <v>809</v>
      </c>
      <c r="K89" s="726"/>
      <c r="L89" s="726"/>
      <c r="M89" s="726"/>
      <c r="N89" s="732" t="s">
        <v>812</v>
      </c>
      <c r="O89" s="733"/>
      <c r="P89" s="733"/>
      <c r="Q89" s="733"/>
      <c r="R89" s="733"/>
      <c r="S89" s="733"/>
      <c r="T89" s="733"/>
      <c r="U89" s="733"/>
      <c r="V89" s="733"/>
      <c r="W89" s="733"/>
      <c r="X89" s="733"/>
      <c r="Y89" s="733"/>
      <c r="Z89" s="733"/>
      <c r="AA89" s="733"/>
      <c r="AB89" s="733"/>
      <c r="AC89" s="733"/>
      <c r="AD89" s="733"/>
      <c r="AE89" s="733"/>
      <c r="AF89" s="733"/>
      <c r="AG89" s="733"/>
      <c r="AH89" s="733"/>
      <c r="AI89" s="733"/>
      <c r="AJ89" s="733"/>
      <c r="AK89" s="733"/>
      <c r="AL89" s="733"/>
      <c r="AM89" s="733"/>
      <c r="AN89" s="733"/>
      <c r="AO89" s="733"/>
      <c r="AP89" s="733"/>
      <c r="AQ89" s="733"/>
      <c r="AR89" s="733"/>
      <c r="AS89" s="733"/>
      <c r="AT89" s="734"/>
      <c r="AU89" s="726"/>
      <c r="AV89" s="726"/>
      <c r="AW89" s="726"/>
      <c r="AX89" s="726"/>
      <c r="AY89" s="726"/>
      <c r="AZ89" s="726"/>
      <c r="BA89" s="726"/>
      <c r="BB89" s="726"/>
      <c r="BC89" s="726"/>
      <c r="BD89" s="726"/>
      <c r="BE89" s="726"/>
      <c r="BF89" s="726"/>
      <c r="BG89" s="726"/>
      <c r="BH89" s="726"/>
      <c r="BI89" s="726"/>
      <c r="BJ89" s="726"/>
      <c r="BK89" s="726"/>
    </row>
    <row r="90" spans="2:63" ht="22.5" customHeight="1">
      <c r="B90" s="727" t="s">
        <v>808</v>
      </c>
      <c r="C90" s="727"/>
      <c r="D90" s="727"/>
      <c r="E90" s="727"/>
      <c r="F90" s="465" t="s">
        <v>803</v>
      </c>
      <c r="G90" s="465"/>
      <c r="H90" s="465"/>
      <c r="I90" s="465"/>
      <c r="J90" s="726" t="s">
        <v>809</v>
      </c>
      <c r="K90" s="726"/>
      <c r="L90" s="726"/>
      <c r="M90" s="726"/>
      <c r="N90" s="732" t="s">
        <v>812</v>
      </c>
      <c r="O90" s="733"/>
      <c r="P90" s="733"/>
      <c r="Q90" s="733"/>
      <c r="R90" s="733"/>
      <c r="S90" s="733"/>
      <c r="T90" s="733"/>
      <c r="U90" s="733"/>
      <c r="V90" s="733"/>
      <c r="W90" s="733"/>
      <c r="X90" s="733"/>
      <c r="Y90" s="733"/>
      <c r="Z90" s="733"/>
      <c r="AA90" s="733"/>
      <c r="AB90" s="733"/>
      <c r="AC90" s="733"/>
      <c r="AD90" s="733"/>
      <c r="AE90" s="733"/>
      <c r="AF90" s="733"/>
      <c r="AG90" s="733"/>
      <c r="AH90" s="733"/>
      <c r="AI90" s="733"/>
      <c r="AJ90" s="733"/>
      <c r="AK90" s="733"/>
      <c r="AL90" s="733"/>
      <c r="AM90" s="733"/>
      <c r="AN90" s="733"/>
      <c r="AO90" s="733"/>
      <c r="AP90" s="733"/>
      <c r="AQ90" s="733"/>
      <c r="AR90" s="733"/>
      <c r="AS90" s="733"/>
      <c r="AT90" s="734"/>
      <c r="AU90" s="726"/>
      <c r="AV90" s="726"/>
      <c r="AW90" s="726"/>
      <c r="AX90" s="726"/>
      <c r="AY90" s="726"/>
      <c r="AZ90" s="726"/>
      <c r="BA90" s="726"/>
      <c r="BB90" s="726"/>
      <c r="BC90" s="726"/>
      <c r="BD90" s="726"/>
      <c r="BE90" s="726"/>
      <c r="BF90" s="726"/>
      <c r="BG90" s="726"/>
      <c r="BH90" s="726"/>
      <c r="BI90" s="726"/>
      <c r="BJ90" s="726"/>
      <c r="BK90" s="726"/>
    </row>
    <row r="91" spans="2:63" ht="22.5" customHeight="1">
      <c r="B91" s="727" t="s">
        <v>799</v>
      </c>
      <c r="C91" s="727"/>
      <c r="D91" s="727"/>
      <c r="E91" s="727"/>
      <c r="F91" s="465" t="s">
        <v>800</v>
      </c>
      <c r="G91" s="465"/>
      <c r="H91" s="465"/>
      <c r="I91" s="465"/>
      <c r="J91" s="726"/>
      <c r="K91" s="726"/>
      <c r="L91" s="726"/>
      <c r="M91" s="726"/>
      <c r="N91" s="732" t="s">
        <v>813</v>
      </c>
      <c r="O91" s="733"/>
      <c r="P91" s="733"/>
      <c r="Q91" s="733"/>
      <c r="R91" s="733"/>
      <c r="S91" s="733"/>
      <c r="T91" s="733"/>
      <c r="U91" s="733"/>
      <c r="V91" s="733"/>
      <c r="W91" s="733"/>
      <c r="X91" s="733"/>
      <c r="Y91" s="733"/>
      <c r="Z91" s="733"/>
      <c r="AA91" s="733"/>
      <c r="AB91" s="733"/>
      <c r="AC91" s="733"/>
      <c r="AD91" s="733"/>
      <c r="AE91" s="733"/>
      <c r="AF91" s="733"/>
      <c r="AG91" s="733"/>
      <c r="AH91" s="733"/>
      <c r="AI91" s="733"/>
      <c r="AJ91" s="733"/>
      <c r="AK91" s="733"/>
      <c r="AL91" s="733"/>
      <c r="AM91" s="733"/>
      <c r="AN91" s="733"/>
      <c r="AO91" s="733"/>
      <c r="AP91" s="733"/>
      <c r="AQ91" s="733"/>
      <c r="AR91" s="733"/>
      <c r="AS91" s="733"/>
      <c r="AT91" s="734"/>
      <c r="AU91" s="726"/>
      <c r="AV91" s="726"/>
      <c r="AW91" s="726"/>
      <c r="AX91" s="726"/>
      <c r="AY91" s="726"/>
      <c r="AZ91" s="726"/>
      <c r="BA91" s="726"/>
      <c r="BB91" s="726"/>
      <c r="BC91" s="726"/>
      <c r="BD91" s="726"/>
      <c r="BE91" s="726"/>
      <c r="BF91" s="726"/>
      <c r="BG91" s="726"/>
      <c r="BH91" s="726"/>
      <c r="BI91" s="726"/>
      <c r="BJ91" s="726"/>
      <c r="BK91" s="726"/>
    </row>
    <row r="92" spans="2:63" ht="22.5" customHeight="1">
      <c r="B92" s="715" t="s">
        <v>791</v>
      </c>
      <c r="C92" s="716"/>
      <c r="D92" s="716"/>
      <c r="E92" s="717"/>
      <c r="F92" s="718" t="s">
        <v>798</v>
      </c>
      <c r="G92" s="433"/>
      <c r="H92" s="433"/>
      <c r="I92" s="434"/>
      <c r="J92" s="719"/>
      <c r="K92" s="720"/>
      <c r="L92" s="720"/>
      <c r="M92" s="721"/>
      <c r="N92" s="732" t="s">
        <v>814</v>
      </c>
      <c r="O92" s="733"/>
      <c r="P92" s="733"/>
      <c r="Q92" s="733"/>
      <c r="R92" s="733"/>
      <c r="S92" s="733"/>
      <c r="T92" s="733"/>
      <c r="U92" s="733"/>
      <c r="V92" s="733"/>
      <c r="W92" s="733"/>
      <c r="X92" s="733"/>
      <c r="Y92" s="733"/>
      <c r="Z92" s="733"/>
      <c r="AA92" s="733"/>
      <c r="AB92" s="733"/>
      <c r="AC92" s="733"/>
      <c r="AD92" s="733"/>
      <c r="AE92" s="733"/>
      <c r="AF92" s="733"/>
      <c r="AG92" s="733"/>
      <c r="AH92" s="733"/>
      <c r="AI92" s="733"/>
      <c r="AJ92" s="733"/>
      <c r="AK92" s="733"/>
      <c r="AL92" s="733"/>
      <c r="AM92" s="733"/>
      <c r="AN92" s="733"/>
      <c r="AO92" s="733"/>
      <c r="AP92" s="733"/>
      <c r="AQ92" s="733"/>
      <c r="AR92" s="733"/>
      <c r="AS92" s="733"/>
      <c r="AT92" s="734"/>
      <c r="AU92" s="726"/>
      <c r="AV92" s="726"/>
      <c r="AW92" s="726"/>
      <c r="AX92" s="726"/>
      <c r="AY92" s="726"/>
      <c r="AZ92" s="726"/>
      <c r="BA92" s="726"/>
      <c r="BB92" s="726"/>
      <c r="BC92" s="726"/>
      <c r="BD92" s="726"/>
      <c r="BE92" s="726"/>
      <c r="BF92" s="726"/>
      <c r="BG92" s="726"/>
      <c r="BH92" s="726"/>
      <c r="BI92" s="726"/>
      <c r="BJ92" s="726"/>
      <c r="BK92" s="726"/>
    </row>
    <row r="93" spans="2:63" ht="22.5" customHeight="1">
      <c r="B93" s="715" t="s">
        <v>801</v>
      </c>
      <c r="C93" s="716"/>
      <c r="D93" s="716"/>
      <c r="E93" s="717"/>
      <c r="F93" s="718" t="s">
        <v>805</v>
      </c>
      <c r="G93" s="433"/>
      <c r="H93" s="433"/>
      <c r="I93" s="434"/>
      <c r="J93" s="719"/>
      <c r="K93" s="720"/>
      <c r="L93" s="720"/>
      <c r="M93" s="721"/>
      <c r="N93" s="732" t="s">
        <v>815</v>
      </c>
      <c r="O93" s="733"/>
      <c r="P93" s="733"/>
      <c r="Q93" s="733"/>
      <c r="R93" s="733"/>
      <c r="S93" s="733"/>
      <c r="T93" s="733"/>
      <c r="U93" s="733"/>
      <c r="V93" s="733"/>
      <c r="W93" s="733"/>
      <c r="X93" s="733"/>
      <c r="Y93" s="733"/>
      <c r="Z93" s="733"/>
      <c r="AA93" s="733"/>
      <c r="AB93" s="733"/>
      <c r="AC93" s="733"/>
      <c r="AD93" s="733"/>
      <c r="AE93" s="733"/>
      <c r="AF93" s="733"/>
      <c r="AG93" s="733"/>
      <c r="AH93" s="733"/>
      <c r="AI93" s="733"/>
      <c r="AJ93" s="733"/>
      <c r="AK93" s="733"/>
      <c r="AL93" s="733"/>
      <c r="AM93" s="733"/>
      <c r="AN93" s="733"/>
      <c r="AO93" s="733"/>
      <c r="AP93" s="733"/>
      <c r="AQ93" s="733"/>
      <c r="AR93" s="733"/>
      <c r="AS93" s="733"/>
      <c r="AT93" s="734"/>
      <c r="AU93" s="726"/>
      <c r="AV93" s="726"/>
      <c r="AW93" s="726"/>
      <c r="AX93" s="726"/>
      <c r="AY93" s="726"/>
      <c r="AZ93" s="726"/>
      <c r="BA93" s="726"/>
      <c r="BB93" s="726"/>
      <c r="BC93" s="726"/>
      <c r="BD93" s="726"/>
      <c r="BE93" s="726"/>
      <c r="BF93" s="726"/>
      <c r="BG93" s="726"/>
      <c r="BH93" s="726"/>
      <c r="BI93" s="726"/>
      <c r="BJ93" s="726"/>
      <c r="BK93" s="726"/>
    </row>
    <row r="94" spans="2:63" ht="22.5" customHeight="1">
      <c r="B94" s="715" t="s">
        <v>802</v>
      </c>
      <c r="C94" s="716"/>
      <c r="D94" s="716"/>
      <c r="E94" s="717"/>
      <c r="F94" s="718" t="s">
        <v>805</v>
      </c>
      <c r="G94" s="433"/>
      <c r="H94" s="433"/>
      <c r="I94" s="434"/>
      <c r="J94" s="719"/>
      <c r="K94" s="720"/>
      <c r="L94" s="720"/>
      <c r="M94" s="721"/>
      <c r="N94" s="732" t="s">
        <v>816</v>
      </c>
      <c r="O94" s="733"/>
      <c r="P94" s="733"/>
      <c r="Q94" s="733"/>
      <c r="R94" s="733"/>
      <c r="S94" s="733"/>
      <c r="T94" s="733"/>
      <c r="U94" s="733"/>
      <c r="V94" s="733"/>
      <c r="W94" s="733"/>
      <c r="X94" s="733"/>
      <c r="Y94" s="733"/>
      <c r="Z94" s="733"/>
      <c r="AA94" s="733"/>
      <c r="AB94" s="733"/>
      <c r="AC94" s="733"/>
      <c r="AD94" s="733"/>
      <c r="AE94" s="733"/>
      <c r="AF94" s="733"/>
      <c r="AG94" s="733"/>
      <c r="AH94" s="733"/>
      <c r="AI94" s="733"/>
      <c r="AJ94" s="733"/>
      <c r="AK94" s="733"/>
      <c r="AL94" s="733"/>
      <c r="AM94" s="733"/>
      <c r="AN94" s="733"/>
      <c r="AO94" s="733"/>
      <c r="AP94" s="733"/>
      <c r="AQ94" s="733"/>
      <c r="AR94" s="733"/>
      <c r="AS94" s="733"/>
      <c r="AT94" s="734"/>
      <c r="AU94" s="726"/>
      <c r="AV94" s="726"/>
      <c r="AW94" s="726"/>
      <c r="AX94" s="726"/>
      <c r="AY94" s="726"/>
      <c r="AZ94" s="726"/>
      <c r="BA94" s="726"/>
      <c r="BB94" s="726"/>
      <c r="BC94" s="726"/>
      <c r="BD94" s="726"/>
      <c r="BE94" s="726"/>
      <c r="BF94" s="726"/>
      <c r="BG94" s="726"/>
      <c r="BH94" s="726"/>
      <c r="BI94" s="726"/>
      <c r="BJ94" s="726"/>
      <c r="BK94" s="726"/>
    </row>
  </sheetData>
  <mergeCells count="1102">
    <mergeCell ref="N86:AT86"/>
    <mergeCell ref="N87:AT87"/>
    <mergeCell ref="N88:AT88"/>
    <mergeCell ref="N89:AT89"/>
    <mergeCell ref="N90:AT90"/>
    <mergeCell ref="N91:AT91"/>
    <mergeCell ref="N92:AT92"/>
    <mergeCell ref="N93:AT93"/>
    <mergeCell ref="N94:AT94"/>
    <mergeCell ref="AU86:BK86"/>
    <mergeCell ref="AU87:BK87"/>
    <mergeCell ref="AU88:BK88"/>
    <mergeCell ref="AU89:BK89"/>
    <mergeCell ref="AU90:BK90"/>
    <mergeCell ref="AU91:BK91"/>
    <mergeCell ref="AU92:BK92"/>
    <mergeCell ref="AU93:BK93"/>
    <mergeCell ref="AU94:BK94"/>
    <mergeCell ref="V5:X5"/>
    <mergeCell ref="Y5:AA5"/>
    <mergeCell ref="V6:X6"/>
    <mergeCell ref="Y6:AA6"/>
    <mergeCell ref="V7:X7"/>
    <mergeCell ref="Y7:AA7"/>
    <mergeCell ref="V8:X8"/>
    <mergeCell ref="Y8:AA8"/>
    <mergeCell ref="V9:X9"/>
    <mergeCell ref="Y9:AA9"/>
    <mergeCell ref="S32:U32"/>
    <mergeCell ref="AL62:AM62"/>
    <mergeCell ref="AN62:AO62"/>
    <mergeCell ref="B87:E87"/>
    <mergeCell ref="B89:E89"/>
    <mergeCell ref="B91:E91"/>
    <mergeCell ref="B92:E92"/>
    <mergeCell ref="J29:L29"/>
    <mergeCell ref="M29:O29"/>
    <mergeCell ref="P29:R29"/>
    <mergeCell ref="S29:U29"/>
    <mergeCell ref="J30:L30"/>
    <mergeCell ref="M30:O30"/>
    <mergeCell ref="P30:R30"/>
    <mergeCell ref="S30:U30"/>
    <mergeCell ref="V17:X17"/>
    <mergeCell ref="V18:X18"/>
    <mergeCell ref="V19:X19"/>
    <mergeCell ref="V20:X20"/>
    <mergeCell ref="V21:X21"/>
    <mergeCell ref="V22:X22"/>
    <mergeCell ref="V23:X23"/>
    <mergeCell ref="B93:E93"/>
    <mergeCell ref="B86:E86"/>
    <mergeCell ref="F86:I86"/>
    <mergeCell ref="J86:M86"/>
    <mergeCell ref="F87:I87"/>
    <mergeCell ref="J87:M87"/>
    <mergeCell ref="F89:I89"/>
    <mergeCell ref="J89:M89"/>
    <mergeCell ref="F91:I91"/>
    <mergeCell ref="J91:M91"/>
    <mergeCell ref="F92:I92"/>
    <mergeCell ref="J92:M92"/>
    <mergeCell ref="B90:E90"/>
    <mergeCell ref="F90:I90"/>
    <mergeCell ref="J90:M90"/>
    <mergeCell ref="B88:E88"/>
    <mergeCell ref="F88:I88"/>
    <mergeCell ref="J88:M88"/>
    <mergeCell ref="F93:I93"/>
    <mergeCell ref="J93:M93"/>
    <mergeCell ref="B94:E94"/>
    <mergeCell ref="F94:I94"/>
    <mergeCell ref="J94:M94"/>
    <mergeCell ref="B26:I26"/>
    <mergeCell ref="Y26:AA26"/>
    <mergeCell ref="B27:E28"/>
    <mergeCell ref="F27:I27"/>
    <mergeCell ref="Y27:AA27"/>
    <mergeCell ref="F28:I28"/>
    <mergeCell ref="Y28:AA28"/>
    <mergeCell ref="B29:E32"/>
    <mergeCell ref="F29:I29"/>
    <mergeCell ref="Y29:AA29"/>
    <mergeCell ref="F30:I30"/>
    <mergeCell ref="Y30:AA30"/>
    <mergeCell ref="F31:I31"/>
    <mergeCell ref="Y31:AA31"/>
    <mergeCell ref="F32:I32"/>
    <mergeCell ref="Y32:AA32"/>
    <mergeCell ref="M33:O33"/>
    <mergeCell ref="P33:R33"/>
    <mergeCell ref="S33:U33"/>
    <mergeCell ref="V30:X30"/>
    <mergeCell ref="V31:X31"/>
    <mergeCell ref="V32:X32"/>
    <mergeCell ref="V33:X33"/>
    <mergeCell ref="J27:L27"/>
    <mergeCell ref="M27:O27"/>
    <mergeCell ref="P27:R27"/>
    <mergeCell ref="S27:U27"/>
    <mergeCell ref="J28:L28"/>
    <mergeCell ref="M28:O28"/>
    <mergeCell ref="V24:X24"/>
    <mergeCell ref="V25:X25"/>
    <mergeCell ref="V26:X26"/>
    <mergeCell ref="V27:X27"/>
    <mergeCell ref="V28:X28"/>
    <mergeCell ref="V29:X29"/>
    <mergeCell ref="P28:R28"/>
    <mergeCell ref="S28:U28"/>
    <mergeCell ref="B25:F25"/>
    <mergeCell ref="G25:I25"/>
    <mergeCell ref="J25:L25"/>
    <mergeCell ref="M25:O25"/>
    <mergeCell ref="P25:R25"/>
    <mergeCell ref="S25:U25"/>
    <mergeCell ref="J26:L26"/>
    <mergeCell ref="M26:O26"/>
    <mergeCell ref="P26:R26"/>
    <mergeCell ref="S26:U26"/>
    <mergeCell ref="B23:F23"/>
    <mergeCell ref="G23:I23"/>
    <mergeCell ref="J23:L23"/>
    <mergeCell ref="M23:O23"/>
    <mergeCell ref="P23:R23"/>
    <mergeCell ref="S23:U23"/>
    <mergeCell ref="B24:F24"/>
    <mergeCell ref="G24:I24"/>
    <mergeCell ref="J24:L24"/>
    <mergeCell ref="M24:O24"/>
    <mergeCell ref="P24:R24"/>
    <mergeCell ref="S24:U24"/>
    <mergeCell ref="B21:F21"/>
    <mergeCell ref="G21:I21"/>
    <mergeCell ref="J21:L21"/>
    <mergeCell ref="M21:O21"/>
    <mergeCell ref="P21:R21"/>
    <mergeCell ref="S21:U21"/>
    <mergeCell ref="B22:F22"/>
    <mergeCell ref="G22:I22"/>
    <mergeCell ref="J22:L22"/>
    <mergeCell ref="M22:O22"/>
    <mergeCell ref="P22:R22"/>
    <mergeCell ref="S22:U22"/>
    <mergeCell ref="B19:F19"/>
    <mergeCell ref="G19:I19"/>
    <mergeCell ref="J19:L19"/>
    <mergeCell ref="M19:O19"/>
    <mergeCell ref="P19:R19"/>
    <mergeCell ref="S19:U19"/>
    <mergeCell ref="B20:F20"/>
    <mergeCell ref="G20:I20"/>
    <mergeCell ref="J20:L20"/>
    <mergeCell ref="M20:O20"/>
    <mergeCell ref="P20:R20"/>
    <mergeCell ref="S20:U20"/>
    <mergeCell ref="B17:F17"/>
    <mergeCell ref="G17:I17"/>
    <mergeCell ref="J17:L17"/>
    <mergeCell ref="M17:O17"/>
    <mergeCell ref="P17:R17"/>
    <mergeCell ref="S17:U17"/>
    <mergeCell ref="B18:F18"/>
    <mergeCell ref="G18:I18"/>
    <mergeCell ref="J18:L18"/>
    <mergeCell ref="M18:O18"/>
    <mergeCell ref="P18:R18"/>
    <mergeCell ref="S18:U18"/>
    <mergeCell ref="BS65:BU66"/>
    <mergeCell ref="B66:C66"/>
    <mergeCell ref="D66:I66"/>
    <mergeCell ref="J66:K66"/>
    <mergeCell ref="L66:R66"/>
    <mergeCell ref="T66:X66"/>
    <mergeCell ref="Y66:AC66"/>
    <mergeCell ref="AX65:AY65"/>
    <mergeCell ref="AZ65:BA65"/>
    <mergeCell ref="BB65:BC65"/>
    <mergeCell ref="BD65:BE65"/>
    <mergeCell ref="BF65:BG65"/>
    <mergeCell ref="BH65:BI65"/>
    <mergeCell ref="AL65:AM65"/>
    <mergeCell ref="AN65:AO65"/>
    <mergeCell ref="AP65:AQ65"/>
    <mergeCell ref="AR65:AS65"/>
    <mergeCell ref="AT65:AU65"/>
    <mergeCell ref="AV65:AW65"/>
    <mergeCell ref="B65:C65"/>
    <mergeCell ref="D65:I65"/>
    <mergeCell ref="J65:K65"/>
    <mergeCell ref="L65:R65"/>
    <mergeCell ref="T65:X65"/>
    <mergeCell ref="Y65:AC65"/>
    <mergeCell ref="AD65:AE65"/>
    <mergeCell ref="AF65:AJ65"/>
    <mergeCell ref="B64:C64"/>
    <mergeCell ref="D64:I64"/>
    <mergeCell ref="J64:K64"/>
    <mergeCell ref="L64:R64"/>
    <mergeCell ref="T64:X64"/>
    <mergeCell ref="Y64:AC64"/>
    <mergeCell ref="AR66:AS66"/>
    <mergeCell ref="BK65:BL66"/>
    <mergeCell ref="BM65:BO66"/>
    <mergeCell ref="BF66:BG66"/>
    <mergeCell ref="BH66:BI66"/>
    <mergeCell ref="AT66:AU66"/>
    <mergeCell ref="AV66:AW66"/>
    <mergeCell ref="AX66:AY66"/>
    <mergeCell ref="AZ66:BA66"/>
    <mergeCell ref="BB66:BC66"/>
    <mergeCell ref="BD66:BE66"/>
    <mergeCell ref="AP62:AQ62"/>
    <mergeCell ref="AR62:AS62"/>
    <mergeCell ref="AT62:AU62"/>
    <mergeCell ref="BM61:BO62"/>
    <mergeCell ref="BP61:BR61"/>
    <mergeCell ref="Y62:AC62"/>
    <mergeCell ref="AD62:AE62"/>
    <mergeCell ref="AZ61:BA61"/>
    <mergeCell ref="BB61:BC61"/>
    <mergeCell ref="BD61:BE61"/>
    <mergeCell ref="BF61:BG61"/>
    <mergeCell ref="BH61:BI61"/>
    <mergeCell ref="BK61:BL62"/>
    <mergeCell ref="BH62:BI62"/>
    <mergeCell ref="AD66:AE66"/>
    <mergeCell ref="AF66:AJ66"/>
    <mergeCell ref="AL66:AM66"/>
    <mergeCell ref="AN66:AO66"/>
    <mergeCell ref="AP66:AQ66"/>
    <mergeCell ref="AD64:AE64"/>
    <mergeCell ref="AF64:AJ64"/>
    <mergeCell ref="BP65:BR65"/>
    <mergeCell ref="BP66:BR66"/>
    <mergeCell ref="BW60:CH66"/>
    <mergeCell ref="B61:C61"/>
    <mergeCell ref="D61:I61"/>
    <mergeCell ref="J61:K61"/>
    <mergeCell ref="L61:R61"/>
    <mergeCell ref="T61:X61"/>
    <mergeCell ref="Y61:AC61"/>
    <mergeCell ref="AD61:AE61"/>
    <mergeCell ref="AF61:AJ61"/>
    <mergeCell ref="AL61:AM61"/>
    <mergeCell ref="BS61:BU62"/>
    <mergeCell ref="B62:C62"/>
    <mergeCell ref="D62:I62"/>
    <mergeCell ref="J62:K62"/>
    <mergeCell ref="L62:R62"/>
    <mergeCell ref="T62:X62"/>
    <mergeCell ref="BP62:BR62"/>
    <mergeCell ref="B63:C63"/>
    <mergeCell ref="D63:I63"/>
    <mergeCell ref="J63:K63"/>
    <mergeCell ref="L63:R63"/>
    <mergeCell ref="T63:X63"/>
    <mergeCell ref="Y63:AC63"/>
    <mergeCell ref="AD63:AE63"/>
    <mergeCell ref="AF63:AJ63"/>
    <mergeCell ref="AV62:AW62"/>
    <mergeCell ref="AX62:AY62"/>
    <mergeCell ref="AZ62:BA62"/>
    <mergeCell ref="BB62:BC62"/>
    <mergeCell ref="BD62:BE62"/>
    <mergeCell ref="BF62:BG62"/>
    <mergeCell ref="AF62:AJ62"/>
    <mergeCell ref="B59:C59"/>
    <mergeCell ref="D59:I59"/>
    <mergeCell ref="J59:K59"/>
    <mergeCell ref="L59:R59"/>
    <mergeCell ref="T59:X59"/>
    <mergeCell ref="Y59:AC59"/>
    <mergeCell ref="AD59:AE59"/>
    <mergeCell ref="AT58:AU58"/>
    <mergeCell ref="AV58:AW58"/>
    <mergeCell ref="AF59:AJ59"/>
    <mergeCell ref="AN61:AO61"/>
    <mergeCell ref="AP61:AQ61"/>
    <mergeCell ref="AR61:AS61"/>
    <mergeCell ref="AT61:AU61"/>
    <mergeCell ref="AV61:AW61"/>
    <mergeCell ref="AX61:AY61"/>
    <mergeCell ref="B60:C60"/>
    <mergeCell ref="D60:I60"/>
    <mergeCell ref="J60:K60"/>
    <mergeCell ref="L60:R60"/>
    <mergeCell ref="T60:X60"/>
    <mergeCell ref="Y60:AC60"/>
    <mergeCell ref="AD60:AE60"/>
    <mergeCell ref="AF60:AJ60"/>
    <mergeCell ref="B55:C55"/>
    <mergeCell ref="D55:I55"/>
    <mergeCell ref="J55:K55"/>
    <mergeCell ref="BS57:BU58"/>
    <mergeCell ref="B58:C58"/>
    <mergeCell ref="D58:I58"/>
    <mergeCell ref="J58:K58"/>
    <mergeCell ref="L58:R58"/>
    <mergeCell ref="T58:X58"/>
    <mergeCell ref="Y58:AC58"/>
    <mergeCell ref="AX57:AY57"/>
    <mergeCell ref="AZ57:BA57"/>
    <mergeCell ref="BB57:BC57"/>
    <mergeCell ref="BD57:BE57"/>
    <mergeCell ref="BF57:BG57"/>
    <mergeCell ref="BH57:BI57"/>
    <mergeCell ref="AL57:AM57"/>
    <mergeCell ref="AN57:AO57"/>
    <mergeCell ref="AP57:AQ57"/>
    <mergeCell ref="AR57:AS57"/>
    <mergeCell ref="AT57:AU57"/>
    <mergeCell ref="AV57:AW57"/>
    <mergeCell ref="BF58:BG58"/>
    <mergeCell ref="BH58:BI58"/>
    <mergeCell ref="BP58:BR58"/>
    <mergeCell ref="AX58:AY58"/>
    <mergeCell ref="AZ58:BA58"/>
    <mergeCell ref="BB58:BC58"/>
    <mergeCell ref="BD58:BE58"/>
    <mergeCell ref="AD58:AE58"/>
    <mergeCell ref="AF58:AJ58"/>
    <mergeCell ref="AL58:AM58"/>
    <mergeCell ref="AD56:AE56"/>
    <mergeCell ref="AF56:AJ56"/>
    <mergeCell ref="B57:C57"/>
    <mergeCell ref="D57:I57"/>
    <mergeCell ref="J57:K57"/>
    <mergeCell ref="L57:R57"/>
    <mergeCell ref="T57:X57"/>
    <mergeCell ref="Y57:AC57"/>
    <mergeCell ref="AD57:AE57"/>
    <mergeCell ref="AF57:AJ57"/>
    <mergeCell ref="B56:C56"/>
    <mergeCell ref="D56:I56"/>
    <mergeCell ref="J56:K56"/>
    <mergeCell ref="L56:R56"/>
    <mergeCell ref="T56:X56"/>
    <mergeCell ref="Y56:AC56"/>
    <mergeCell ref="BP57:BR57"/>
    <mergeCell ref="BM57:BO58"/>
    <mergeCell ref="BK57:BL58"/>
    <mergeCell ref="AN58:AO58"/>
    <mergeCell ref="AP58:AQ58"/>
    <mergeCell ref="AR58:AS58"/>
    <mergeCell ref="L55:R55"/>
    <mergeCell ref="T55:X55"/>
    <mergeCell ref="Y55:AC55"/>
    <mergeCell ref="AD55:AE55"/>
    <mergeCell ref="AF55:AJ55"/>
    <mergeCell ref="AV54:AW54"/>
    <mergeCell ref="AX54:AY54"/>
    <mergeCell ref="AZ54:BA54"/>
    <mergeCell ref="BB54:BC54"/>
    <mergeCell ref="BD54:BE54"/>
    <mergeCell ref="BF54:BG54"/>
    <mergeCell ref="AF54:AJ54"/>
    <mergeCell ref="AL54:AM54"/>
    <mergeCell ref="BW52:CH57"/>
    <mergeCell ref="B53:C53"/>
    <mergeCell ref="D53:I53"/>
    <mergeCell ref="J53:K53"/>
    <mergeCell ref="L53:R53"/>
    <mergeCell ref="T53:X53"/>
    <mergeCell ref="Y53:AC53"/>
    <mergeCell ref="AD53:AE53"/>
    <mergeCell ref="AF53:AJ53"/>
    <mergeCell ref="AL53:AM53"/>
    <mergeCell ref="BS53:BU54"/>
    <mergeCell ref="B54:C54"/>
    <mergeCell ref="D54:I54"/>
    <mergeCell ref="J54:K54"/>
    <mergeCell ref="L54:R54"/>
    <mergeCell ref="T54:X54"/>
    <mergeCell ref="Y54:AC54"/>
    <mergeCell ref="AD54:AE54"/>
    <mergeCell ref="AZ53:BA53"/>
    <mergeCell ref="B50:C50"/>
    <mergeCell ref="D50:I50"/>
    <mergeCell ref="AF51:AJ51"/>
    <mergeCell ref="B52:C52"/>
    <mergeCell ref="D52:I52"/>
    <mergeCell ref="J52:K52"/>
    <mergeCell ref="L52:R52"/>
    <mergeCell ref="T52:X52"/>
    <mergeCell ref="Y52:AC52"/>
    <mergeCell ref="AD52:AE52"/>
    <mergeCell ref="AF52:AJ52"/>
    <mergeCell ref="Y50:AC50"/>
    <mergeCell ref="AN50:AO50"/>
    <mergeCell ref="AP50:AQ50"/>
    <mergeCell ref="AR50:AS50"/>
    <mergeCell ref="AN54:AO54"/>
    <mergeCell ref="AP54:AQ54"/>
    <mergeCell ref="AR54:AS54"/>
    <mergeCell ref="B51:C51"/>
    <mergeCell ref="D51:I51"/>
    <mergeCell ref="J51:K51"/>
    <mergeCell ref="L51:R51"/>
    <mergeCell ref="T51:X51"/>
    <mergeCell ref="Y51:AC51"/>
    <mergeCell ref="AD51:AE51"/>
    <mergeCell ref="AN53:AO53"/>
    <mergeCell ref="AP53:AQ53"/>
    <mergeCell ref="AR53:AS53"/>
    <mergeCell ref="AD50:AE50"/>
    <mergeCell ref="AF50:AJ50"/>
    <mergeCell ref="AL50:AM50"/>
    <mergeCell ref="AL49:AM49"/>
    <mergeCell ref="AN49:AO49"/>
    <mergeCell ref="AP49:AQ49"/>
    <mergeCell ref="AR49:AS49"/>
    <mergeCell ref="AT49:AU49"/>
    <mergeCell ref="J50:K50"/>
    <mergeCell ref="L50:R50"/>
    <mergeCell ref="T50:X50"/>
    <mergeCell ref="AD48:AE48"/>
    <mergeCell ref="AF48:AJ48"/>
    <mergeCell ref="BB53:BC53"/>
    <mergeCell ref="BD53:BE53"/>
    <mergeCell ref="BW48:CH48"/>
    <mergeCell ref="BF53:BG53"/>
    <mergeCell ref="BH53:BI53"/>
    <mergeCell ref="BK53:BL54"/>
    <mergeCell ref="AT54:AU54"/>
    <mergeCell ref="AT50:AU50"/>
    <mergeCell ref="AZ50:BA50"/>
    <mergeCell ref="BB50:BC50"/>
    <mergeCell ref="BM53:BO54"/>
    <mergeCell ref="BP53:BR53"/>
    <mergeCell ref="BH54:BI54"/>
    <mergeCell ref="AT53:AU53"/>
    <mergeCell ref="AV53:AW53"/>
    <mergeCell ref="AX53:AY53"/>
    <mergeCell ref="BP54:BR54"/>
    <mergeCell ref="B49:C49"/>
    <mergeCell ref="D49:I49"/>
    <mergeCell ref="J49:K49"/>
    <mergeCell ref="L49:R49"/>
    <mergeCell ref="T49:X49"/>
    <mergeCell ref="Y49:AC49"/>
    <mergeCell ref="AD49:AE49"/>
    <mergeCell ref="B48:C48"/>
    <mergeCell ref="D48:I48"/>
    <mergeCell ref="J48:K48"/>
    <mergeCell ref="L48:R48"/>
    <mergeCell ref="T48:X48"/>
    <mergeCell ref="Y48:AC48"/>
    <mergeCell ref="BW49:CH49"/>
    <mergeCell ref="AV49:AW49"/>
    <mergeCell ref="AX49:AY49"/>
    <mergeCell ref="AZ49:BA49"/>
    <mergeCell ref="BB49:BC49"/>
    <mergeCell ref="BD49:BE49"/>
    <mergeCell ref="BF49:BG49"/>
    <mergeCell ref="AF49:AJ49"/>
    <mergeCell ref="BH49:BI49"/>
    <mergeCell ref="BK49:BL50"/>
    <mergeCell ref="BM49:BO50"/>
    <mergeCell ref="BP49:BR49"/>
    <mergeCell ref="BS49:BU50"/>
    <mergeCell ref="BF50:BG50"/>
    <mergeCell ref="BH50:BI50"/>
    <mergeCell ref="BP50:BR50"/>
    <mergeCell ref="AV50:AW50"/>
    <mergeCell ref="AX50:AY50"/>
    <mergeCell ref="BD50:BE50"/>
    <mergeCell ref="BW46:CH46"/>
    <mergeCell ref="B47:C47"/>
    <mergeCell ref="D47:I47"/>
    <mergeCell ref="J47:K47"/>
    <mergeCell ref="L47:R47"/>
    <mergeCell ref="T47:X47"/>
    <mergeCell ref="Y47:AC47"/>
    <mergeCell ref="AD47:AE47"/>
    <mergeCell ref="AF47:AJ47"/>
    <mergeCell ref="BW47:CH47"/>
    <mergeCell ref="AZ46:BA46"/>
    <mergeCell ref="BB46:BC46"/>
    <mergeCell ref="BD46:BE46"/>
    <mergeCell ref="BF46:BG46"/>
    <mergeCell ref="BH46:BI46"/>
    <mergeCell ref="BP46:BR46"/>
    <mergeCell ref="AN46:AO46"/>
    <mergeCell ref="AP46:AQ46"/>
    <mergeCell ref="AR46:AS46"/>
    <mergeCell ref="AT46:AU46"/>
    <mergeCell ref="AV46:AW46"/>
    <mergeCell ref="AX46:AY46"/>
    <mergeCell ref="BW45:CH45"/>
    <mergeCell ref="B46:C46"/>
    <mergeCell ref="D46:I46"/>
    <mergeCell ref="J46:K46"/>
    <mergeCell ref="L46:R46"/>
    <mergeCell ref="T46:X46"/>
    <mergeCell ref="Y46:AC46"/>
    <mergeCell ref="AD46:AE46"/>
    <mergeCell ref="AF46:AJ46"/>
    <mergeCell ref="AL46:AM46"/>
    <mergeCell ref="BF45:BG45"/>
    <mergeCell ref="BH45:BI45"/>
    <mergeCell ref="BK45:BL46"/>
    <mergeCell ref="BM45:BO46"/>
    <mergeCell ref="BP45:BR45"/>
    <mergeCell ref="BS45:BU46"/>
    <mergeCell ref="AT45:AU45"/>
    <mergeCell ref="AV45:AW45"/>
    <mergeCell ref="AX45:AY45"/>
    <mergeCell ref="AZ45:BA45"/>
    <mergeCell ref="BB45:BC45"/>
    <mergeCell ref="BD45:BE45"/>
    <mergeCell ref="AD45:AE45"/>
    <mergeCell ref="AF45:AJ45"/>
    <mergeCell ref="AN45:AO45"/>
    <mergeCell ref="AP45:AQ45"/>
    <mergeCell ref="AR45:AS45"/>
    <mergeCell ref="B45:C45"/>
    <mergeCell ref="D45:I45"/>
    <mergeCell ref="J45:K45"/>
    <mergeCell ref="L45:R45"/>
    <mergeCell ref="T45:X45"/>
    <mergeCell ref="Y45:AC45"/>
    <mergeCell ref="B44:C44"/>
    <mergeCell ref="D44:I44"/>
    <mergeCell ref="J44:K44"/>
    <mergeCell ref="L44:R44"/>
    <mergeCell ref="T44:X44"/>
    <mergeCell ref="Y44:AC44"/>
    <mergeCell ref="AD44:AE44"/>
    <mergeCell ref="AF44:AJ44"/>
    <mergeCell ref="AL45:AM45"/>
    <mergeCell ref="BB42:BC42"/>
    <mergeCell ref="BD42:BE42"/>
    <mergeCell ref="BF42:BG42"/>
    <mergeCell ref="AF42:AJ42"/>
    <mergeCell ref="AL42:AM42"/>
    <mergeCell ref="AN42:AO42"/>
    <mergeCell ref="AP42:AQ42"/>
    <mergeCell ref="AR42:AS42"/>
    <mergeCell ref="AT42:AU42"/>
    <mergeCell ref="B43:C43"/>
    <mergeCell ref="D43:I43"/>
    <mergeCell ref="J43:K43"/>
    <mergeCell ref="L43:R43"/>
    <mergeCell ref="T43:X43"/>
    <mergeCell ref="Y43:AC43"/>
    <mergeCell ref="AD43:AE43"/>
    <mergeCell ref="AV42:AW42"/>
    <mergeCell ref="AX42:AY42"/>
    <mergeCell ref="AF43:AJ43"/>
    <mergeCell ref="BQ41:BU41"/>
    <mergeCell ref="B42:C42"/>
    <mergeCell ref="D42:I42"/>
    <mergeCell ref="J42:K42"/>
    <mergeCell ref="L42:R42"/>
    <mergeCell ref="T42:X42"/>
    <mergeCell ref="Y42:AC42"/>
    <mergeCell ref="AD42:AE42"/>
    <mergeCell ref="AV41:AW41"/>
    <mergeCell ref="AX41:AY41"/>
    <mergeCell ref="AZ41:BA41"/>
    <mergeCell ref="BB41:BC41"/>
    <mergeCell ref="BD41:BE41"/>
    <mergeCell ref="BF41:BG41"/>
    <mergeCell ref="AF41:AJ41"/>
    <mergeCell ref="AL41:AM41"/>
    <mergeCell ref="AN41:AO41"/>
    <mergeCell ref="AP41:AQ41"/>
    <mergeCell ref="AR41:AS41"/>
    <mergeCell ref="AT41:AU41"/>
    <mergeCell ref="BH42:BI42"/>
    <mergeCell ref="BK42:BP42"/>
    <mergeCell ref="BQ42:BU42"/>
    <mergeCell ref="AZ42:BA42"/>
    <mergeCell ref="B41:C41"/>
    <mergeCell ref="D41:I41"/>
    <mergeCell ref="J41:K41"/>
    <mergeCell ref="L41:R41"/>
    <mergeCell ref="T41:X41"/>
    <mergeCell ref="Y41:AC41"/>
    <mergeCell ref="AD41:AE41"/>
    <mergeCell ref="BH41:BI41"/>
    <mergeCell ref="BK41:BP41"/>
    <mergeCell ref="BQ39:BU39"/>
    <mergeCell ref="B40:C40"/>
    <mergeCell ref="D40:I40"/>
    <mergeCell ref="J40:K40"/>
    <mergeCell ref="L40:R40"/>
    <mergeCell ref="T40:X40"/>
    <mergeCell ref="Y40:AC40"/>
    <mergeCell ref="AD40:AE40"/>
    <mergeCell ref="AF40:AJ40"/>
    <mergeCell ref="BK40:BP40"/>
    <mergeCell ref="BQ40:BU40"/>
    <mergeCell ref="BH38:BI38"/>
    <mergeCell ref="BK38:BP38"/>
    <mergeCell ref="BQ38:BU38"/>
    <mergeCell ref="B39:C39"/>
    <mergeCell ref="D39:I39"/>
    <mergeCell ref="J39:K39"/>
    <mergeCell ref="L39:R39"/>
    <mergeCell ref="T39:X39"/>
    <mergeCell ref="Y39:AC39"/>
    <mergeCell ref="AD39:AE39"/>
    <mergeCell ref="AV38:AW38"/>
    <mergeCell ref="AX38:AY38"/>
    <mergeCell ref="AZ38:BA38"/>
    <mergeCell ref="BB38:BC38"/>
    <mergeCell ref="BD38:BE38"/>
    <mergeCell ref="BF38:BG38"/>
    <mergeCell ref="AF38:AJ38"/>
    <mergeCell ref="AL38:AM38"/>
    <mergeCell ref="AN38:AO38"/>
    <mergeCell ref="AP38:AQ38"/>
    <mergeCell ref="AR38:AS38"/>
    <mergeCell ref="AT38:AU38"/>
    <mergeCell ref="AF39:AJ39"/>
    <mergeCell ref="BK39:BP39"/>
    <mergeCell ref="B38:C38"/>
    <mergeCell ref="D38:I38"/>
    <mergeCell ref="J38:K38"/>
    <mergeCell ref="L38:R38"/>
    <mergeCell ref="T38:X38"/>
    <mergeCell ref="Y38:AC38"/>
    <mergeCell ref="AD38:AE38"/>
    <mergeCell ref="AV37:AW37"/>
    <mergeCell ref="AX37:AY37"/>
    <mergeCell ref="AF37:AJ37"/>
    <mergeCell ref="AL37:AM37"/>
    <mergeCell ref="AN37:AO37"/>
    <mergeCell ref="AP37:AQ37"/>
    <mergeCell ref="AR37:AS37"/>
    <mergeCell ref="AT37:AU37"/>
    <mergeCell ref="AF36:AJ36"/>
    <mergeCell ref="BK36:BP36"/>
    <mergeCell ref="BQ36:BU36"/>
    <mergeCell ref="B37:C37"/>
    <mergeCell ref="D37:I37"/>
    <mergeCell ref="J37:K37"/>
    <mergeCell ref="L37:R37"/>
    <mergeCell ref="T37:X37"/>
    <mergeCell ref="Y37:AC37"/>
    <mergeCell ref="AD37:AE37"/>
    <mergeCell ref="B36:I36"/>
    <mergeCell ref="J36:K36"/>
    <mergeCell ref="L36:R36"/>
    <mergeCell ref="S36:X36"/>
    <mergeCell ref="Y36:AC36"/>
    <mergeCell ref="AD36:AE36"/>
    <mergeCell ref="BH37:BI37"/>
    <mergeCell ref="BK37:BP37"/>
    <mergeCell ref="BQ37:BU37"/>
    <mergeCell ref="AZ37:BA37"/>
    <mergeCell ref="BB37:BC37"/>
    <mergeCell ref="BD37:BE37"/>
    <mergeCell ref="BF37:BG37"/>
    <mergeCell ref="AC31:AD31"/>
    <mergeCell ref="AY33:BB33"/>
    <mergeCell ref="BO33:BR34"/>
    <mergeCell ref="BS33:BU34"/>
    <mergeCell ref="B35:U35"/>
    <mergeCell ref="V35:X35"/>
    <mergeCell ref="Y35:AG35"/>
    <mergeCell ref="AH35:AJ35"/>
    <mergeCell ref="AC33:AD33"/>
    <mergeCell ref="AE33:AH33"/>
    <mergeCell ref="AI33:AL33"/>
    <mergeCell ref="AM33:AP33"/>
    <mergeCell ref="AQ33:AT33"/>
    <mergeCell ref="AU33:AX33"/>
    <mergeCell ref="AE32:AH32"/>
    <mergeCell ref="AI32:AL32"/>
    <mergeCell ref="AM32:AP32"/>
    <mergeCell ref="AQ32:AT32"/>
    <mergeCell ref="AU32:AX32"/>
    <mergeCell ref="AY32:BB32"/>
    <mergeCell ref="G33:I33"/>
    <mergeCell ref="J33:L33"/>
    <mergeCell ref="BL33:BN34"/>
    <mergeCell ref="J31:L31"/>
    <mergeCell ref="M31:O31"/>
    <mergeCell ref="P31:R31"/>
    <mergeCell ref="S31:U31"/>
    <mergeCell ref="J32:L32"/>
    <mergeCell ref="M32:O32"/>
    <mergeCell ref="P32:R32"/>
    <mergeCell ref="AK30:AL30"/>
    <mergeCell ref="AO29:AP29"/>
    <mergeCell ref="AQ29:AR29"/>
    <mergeCell ref="AS29:AT29"/>
    <mergeCell ref="AU29:AV29"/>
    <mergeCell ref="AW29:AX29"/>
    <mergeCell ref="AY29:AZ29"/>
    <mergeCell ref="AC29:AD29"/>
    <mergeCell ref="AE29:AF29"/>
    <mergeCell ref="AG29:AH29"/>
    <mergeCell ref="AI29:AJ29"/>
    <mergeCell ref="AK29:AL29"/>
    <mergeCell ref="AM29:AN29"/>
    <mergeCell ref="AY30:AZ30"/>
    <mergeCell ref="BA30:BB30"/>
    <mergeCell ref="B70:D71"/>
    <mergeCell ref="E70:G71"/>
    <mergeCell ref="H70:I71"/>
    <mergeCell ref="J70:K71"/>
    <mergeCell ref="L70:AA71"/>
    <mergeCell ref="AC32:AD32"/>
    <mergeCell ref="AE31:AH31"/>
    <mergeCell ref="AI31:AL31"/>
    <mergeCell ref="AM31:AP31"/>
    <mergeCell ref="AQ31:AT31"/>
    <mergeCell ref="AU31:AX31"/>
    <mergeCell ref="AY31:BB31"/>
    <mergeCell ref="B69:D69"/>
    <mergeCell ref="E69:G69"/>
    <mergeCell ref="H69:I69"/>
    <mergeCell ref="J69:K69"/>
    <mergeCell ref="L69:AA69"/>
    <mergeCell ref="AM26:AN26"/>
    <mergeCell ref="AO26:AP26"/>
    <mergeCell ref="AQ26:AR26"/>
    <mergeCell ref="AS26:AT26"/>
    <mergeCell ref="AU26:AV26"/>
    <mergeCell ref="C84:K84"/>
    <mergeCell ref="L84:AA84"/>
    <mergeCell ref="AC28:AD28"/>
    <mergeCell ref="AE28:AF28"/>
    <mergeCell ref="AG28:AH28"/>
    <mergeCell ref="AI28:AJ28"/>
    <mergeCell ref="AK28:AL28"/>
    <mergeCell ref="AS27:AT27"/>
    <mergeCell ref="AU27:AV27"/>
    <mergeCell ref="AW27:AX27"/>
    <mergeCell ref="AY27:AZ27"/>
    <mergeCell ref="BA27:BB27"/>
    <mergeCell ref="AG27:AH27"/>
    <mergeCell ref="AI27:AJ27"/>
    <mergeCell ref="AK27:AL27"/>
    <mergeCell ref="AI26:AJ26"/>
    <mergeCell ref="AM30:AN30"/>
    <mergeCell ref="AO30:AP30"/>
    <mergeCell ref="AQ30:AR30"/>
    <mergeCell ref="AS30:AT30"/>
    <mergeCell ref="AU30:AV30"/>
    <mergeCell ref="AW30:AX30"/>
    <mergeCell ref="BA29:BB29"/>
    <mergeCell ref="AC30:AD30"/>
    <mergeCell ref="AE30:AF30"/>
    <mergeCell ref="AG30:AH30"/>
    <mergeCell ref="AI30:AJ30"/>
    <mergeCell ref="C83:K83"/>
    <mergeCell ref="L83:M83"/>
    <mergeCell ref="N83:O83"/>
    <mergeCell ref="P83:S83"/>
    <mergeCell ref="T83:U83"/>
    <mergeCell ref="V83:W83"/>
    <mergeCell ref="X83:AA83"/>
    <mergeCell ref="AC27:AD27"/>
    <mergeCell ref="AE27:AF27"/>
    <mergeCell ref="AW26:AX26"/>
    <mergeCell ref="AY26:AZ26"/>
    <mergeCell ref="BA26:BB26"/>
    <mergeCell ref="AK26:AL26"/>
    <mergeCell ref="C80:K80"/>
    <mergeCell ref="L80:O80"/>
    <mergeCell ref="C81:K81"/>
    <mergeCell ref="L81:M81"/>
    <mergeCell ref="N81:O81"/>
    <mergeCell ref="P81:S81"/>
    <mergeCell ref="T81:U81"/>
    <mergeCell ref="V81:W81"/>
    <mergeCell ref="X81:AA81"/>
    <mergeCell ref="AC25:AD26"/>
    <mergeCell ref="AE25:AH25"/>
    <mergeCell ref="C82:K82"/>
    <mergeCell ref="L82:O82"/>
    <mergeCell ref="P82:S82"/>
    <mergeCell ref="AM27:AN27"/>
    <mergeCell ref="AO27:AP27"/>
    <mergeCell ref="AQ27:AR27"/>
    <mergeCell ref="AY28:AZ28"/>
    <mergeCell ref="BA28:BB28"/>
    <mergeCell ref="T82:AA82"/>
    <mergeCell ref="AE26:AF26"/>
    <mergeCell ref="AG26:AH26"/>
    <mergeCell ref="F79:K79"/>
    <mergeCell ref="L79:M79"/>
    <mergeCell ref="N79:O79"/>
    <mergeCell ref="P79:S79"/>
    <mergeCell ref="T79:U79"/>
    <mergeCell ref="V79:W79"/>
    <mergeCell ref="AK22:AM22"/>
    <mergeCell ref="AN22:AP22"/>
    <mergeCell ref="AQ22:AS22"/>
    <mergeCell ref="AT22:AV22"/>
    <mergeCell ref="AW22:AY22"/>
    <mergeCell ref="AZ22:BB22"/>
    <mergeCell ref="X79:AA79"/>
    <mergeCell ref="F78:K78"/>
    <mergeCell ref="L78:M78"/>
    <mergeCell ref="N78:O78"/>
    <mergeCell ref="P78:S78"/>
    <mergeCell ref="T78:U78"/>
    <mergeCell ref="F77:K77"/>
    <mergeCell ref="L77:M77"/>
    <mergeCell ref="N77:O77"/>
    <mergeCell ref="Q77:R77"/>
    <mergeCell ref="T77:U77"/>
    <mergeCell ref="V77:W77"/>
    <mergeCell ref="Y77:Z77"/>
    <mergeCell ref="V78:W78"/>
    <mergeCell ref="X78:AA78"/>
    <mergeCell ref="AI25:AL25"/>
    <mergeCell ref="AM25:AP25"/>
    <mergeCell ref="C75:E79"/>
    <mergeCell ref="F75:K75"/>
    <mergeCell ref="L75:M75"/>
    <mergeCell ref="N75:O75"/>
    <mergeCell ref="P75:S75"/>
    <mergeCell ref="T75:U75"/>
    <mergeCell ref="F76:K76"/>
    <mergeCell ref="L76:M76"/>
    <mergeCell ref="N76:O76"/>
    <mergeCell ref="P76:S76"/>
    <mergeCell ref="T76:U76"/>
    <mergeCell ref="V76:W76"/>
    <mergeCell ref="X76:AA76"/>
    <mergeCell ref="AG20:AJ20"/>
    <mergeCell ref="AQ19:AS19"/>
    <mergeCell ref="AT19:AV19"/>
    <mergeCell ref="AW19:AY19"/>
    <mergeCell ref="AG21:AJ21"/>
    <mergeCell ref="AQ20:AS20"/>
    <mergeCell ref="AT20:AV20"/>
    <mergeCell ref="AW20:AY20"/>
    <mergeCell ref="AK21:AM21"/>
    <mergeCell ref="AN21:AP21"/>
    <mergeCell ref="AT21:AV21"/>
    <mergeCell ref="AW21:AY21"/>
    <mergeCell ref="V75:W75"/>
    <mergeCell ref="X75:AA75"/>
    <mergeCell ref="AC19:AF22"/>
    <mergeCell ref="AG19:AJ19"/>
    <mergeCell ref="AK19:AM19"/>
    <mergeCell ref="AN19:AP19"/>
    <mergeCell ref="AK20:AM20"/>
    <mergeCell ref="AC17:AF18"/>
    <mergeCell ref="AG17:AJ17"/>
    <mergeCell ref="AK17:AM17"/>
    <mergeCell ref="AN17:AP17"/>
    <mergeCell ref="AQ17:AS17"/>
    <mergeCell ref="B74:K74"/>
    <mergeCell ref="L74:AA74"/>
    <mergeCell ref="AG18:AJ18"/>
    <mergeCell ref="AK18:AM18"/>
    <mergeCell ref="AN18:AP18"/>
    <mergeCell ref="AQ18:AS18"/>
    <mergeCell ref="AT18:AV18"/>
    <mergeCell ref="AW18:AY18"/>
    <mergeCell ref="AZ18:BB18"/>
    <mergeCell ref="AT17:AV17"/>
    <mergeCell ref="AW17:AY17"/>
    <mergeCell ref="AZ17:BB17"/>
    <mergeCell ref="AZ20:BB20"/>
    <mergeCell ref="AZ21:BB21"/>
    <mergeCell ref="AN20:AP20"/>
    <mergeCell ref="AG22:AJ22"/>
    <mergeCell ref="AQ21:AS21"/>
    <mergeCell ref="AZ19:BB19"/>
    <mergeCell ref="AQ25:AT25"/>
    <mergeCell ref="AU25:AX25"/>
    <mergeCell ref="AY25:BB25"/>
    <mergeCell ref="AM28:AN28"/>
    <mergeCell ref="AO28:AP28"/>
    <mergeCell ref="AQ28:AR28"/>
    <mergeCell ref="AS28:AT28"/>
    <mergeCell ref="AU28:AV28"/>
    <mergeCell ref="AW28:AX28"/>
    <mergeCell ref="AC16:AJ16"/>
    <mergeCell ref="AK16:AM16"/>
    <mergeCell ref="AN16:AP16"/>
    <mergeCell ref="AQ16:AS16"/>
    <mergeCell ref="AT16:AV16"/>
    <mergeCell ref="AW16:AY16"/>
    <mergeCell ref="AZ16:BB16"/>
    <mergeCell ref="BK14:BN14"/>
    <mergeCell ref="BU14:BV14"/>
    <mergeCell ref="BW14:BX14"/>
    <mergeCell ref="B15:F15"/>
    <mergeCell ref="G15:I15"/>
    <mergeCell ref="J15:L15"/>
    <mergeCell ref="M15:O15"/>
    <mergeCell ref="P15:R15"/>
    <mergeCell ref="S15:U15"/>
    <mergeCell ref="V15:W15"/>
    <mergeCell ref="X15:AA15"/>
    <mergeCell ref="BI15:BJ15"/>
    <mergeCell ref="BK15:BN15"/>
    <mergeCell ref="V14:X14"/>
    <mergeCell ref="Y14:AA14"/>
    <mergeCell ref="B13:F13"/>
    <mergeCell ref="G13:I13"/>
    <mergeCell ref="J13:L13"/>
    <mergeCell ref="M13:O13"/>
    <mergeCell ref="P13:R13"/>
    <mergeCell ref="S13:U13"/>
    <mergeCell ref="BU13:BV13"/>
    <mergeCell ref="BW13:BX13"/>
    <mergeCell ref="B14:F14"/>
    <mergeCell ref="G14:I14"/>
    <mergeCell ref="J14:L14"/>
    <mergeCell ref="M14:O14"/>
    <mergeCell ref="P14:R14"/>
    <mergeCell ref="S14:U14"/>
    <mergeCell ref="AF14:AM14"/>
    <mergeCell ref="AN14:AO14"/>
    <mergeCell ref="AF13:AM13"/>
    <mergeCell ref="AN13:AO13"/>
    <mergeCell ref="AQ13:BE13"/>
    <mergeCell ref="BI13:BJ13"/>
    <mergeCell ref="BK13:BN13"/>
    <mergeCell ref="AQ14:BE14"/>
    <mergeCell ref="BI14:BJ14"/>
    <mergeCell ref="V13:X13"/>
    <mergeCell ref="Y13:AA13"/>
    <mergeCell ref="BW11:BX11"/>
    <mergeCell ref="B12:F12"/>
    <mergeCell ref="G12:I12"/>
    <mergeCell ref="J12:L12"/>
    <mergeCell ref="M12:O12"/>
    <mergeCell ref="P12:R12"/>
    <mergeCell ref="S12:U12"/>
    <mergeCell ref="AF12:AM12"/>
    <mergeCell ref="AN12:AO12"/>
    <mergeCell ref="AQ12:BE12"/>
    <mergeCell ref="AF11:AM11"/>
    <mergeCell ref="AN11:AO11"/>
    <mergeCell ref="AQ11:BE11"/>
    <mergeCell ref="BI11:BJ11"/>
    <mergeCell ref="BK11:BN11"/>
    <mergeCell ref="BU11:BV11"/>
    <mergeCell ref="BI12:BJ12"/>
    <mergeCell ref="BK12:BN12"/>
    <mergeCell ref="BU12:BV12"/>
    <mergeCell ref="BW12:BX12"/>
    <mergeCell ref="B11:F11"/>
    <mergeCell ref="G11:I11"/>
    <mergeCell ref="J11:L11"/>
    <mergeCell ref="M11:O11"/>
    <mergeCell ref="P11:R11"/>
    <mergeCell ref="S11:U11"/>
    <mergeCell ref="V11:X11"/>
    <mergeCell ref="Y11:AA11"/>
    <mergeCell ref="V12:X12"/>
    <mergeCell ref="Y12:AA12"/>
    <mergeCell ref="B10:F10"/>
    <mergeCell ref="G10:I10"/>
    <mergeCell ref="J10:L10"/>
    <mergeCell ref="M10:O10"/>
    <mergeCell ref="P10:R10"/>
    <mergeCell ref="S10:U10"/>
    <mergeCell ref="BI9:BJ9"/>
    <mergeCell ref="BK9:BN9"/>
    <mergeCell ref="BU9:BV9"/>
    <mergeCell ref="BW9:BX9"/>
    <mergeCell ref="AF10:AM10"/>
    <mergeCell ref="AN10:AP10"/>
    <mergeCell ref="AQ10:BE10"/>
    <mergeCell ref="BI10:BJ10"/>
    <mergeCell ref="BK10:BN10"/>
    <mergeCell ref="BU10:BV10"/>
    <mergeCell ref="BW10:BX10"/>
    <mergeCell ref="V10:X10"/>
    <mergeCell ref="Y10:AA10"/>
    <mergeCell ref="BD8:BE8"/>
    <mergeCell ref="BI8:BJ8"/>
    <mergeCell ref="BK8:BN8"/>
    <mergeCell ref="BU8:BV8"/>
    <mergeCell ref="BW8:BX8"/>
    <mergeCell ref="B9:F9"/>
    <mergeCell ref="G9:I9"/>
    <mergeCell ref="J9:L9"/>
    <mergeCell ref="M9:O9"/>
    <mergeCell ref="P9:R9"/>
    <mergeCell ref="AP8:AQ8"/>
    <mergeCell ref="AT8:AU8"/>
    <mergeCell ref="AV8:AW8"/>
    <mergeCell ref="AX8:AY8"/>
    <mergeCell ref="AZ8:BA8"/>
    <mergeCell ref="BB8:BC8"/>
    <mergeCell ref="S8:U8"/>
    <mergeCell ref="AF8:AG8"/>
    <mergeCell ref="AH8:AI8"/>
    <mergeCell ref="AJ8:AK8"/>
    <mergeCell ref="AL8:AM8"/>
    <mergeCell ref="AN8:AO8"/>
    <mergeCell ref="S9:U9"/>
    <mergeCell ref="B8:F8"/>
    <mergeCell ref="G8:I8"/>
    <mergeCell ref="J8:L8"/>
    <mergeCell ref="M8:O8"/>
    <mergeCell ref="P8:R8"/>
    <mergeCell ref="AP7:AQ7"/>
    <mergeCell ref="AT7:AU7"/>
    <mergeCell ref="AV7:AW7"/>
    <mergeCell ref="AX7:AY7"/>
    <mergeCell ref="AF7:AG7"/>
    <mergeCell ref="AH7:AI7"/>
    <mergeCell ref="AJ7:AK7"/>
    <mergeCell ref="AL7:AM7"/>
    <mergeCell ref="AN7:AO7"/>
    <mergeCell ref="BK6:BN6"/>
    <mergeCell ref="BU6:BV6"/>
    <mergeCell ref="BW6:BX6"/>
    <mergeCell ref="B7:F7"/>
    <mergeCell ref="G7:I7"/>
    <mergeCell ref="J7:L7"/>
    <mergeCell ref="M7:O7"/>
    <mergeCell ref="P7:R7"/>
    <mergeCell ref="S7:U7"/>
    <mergeCell ref="B6:F6"/>
    <mergeCell ref="G6:I6"/>
    <mergeCell ref="J6:L6"/>
    <mergeCell ref="M6:O6"/>
    <mergeCell ref="P6:R6"/>
    <mergeCell ref="S6:U6"/>
    <mergeCell ref="BD7:BE7"/>
    <mergeCell ref="BI7:BJ7"/>
    <mergeCell ref="BK7:BN7"/>
    <mergeCell ref="BU7:BV7"/>
    <mergeCell ref="BW7:BX7"/>
    <mergeCell ref="AZ7:BA7"/>
    <mergeCell ref="BB7:BC7"/>
    <mergeCell ref="BI6:BJ6"/>
    <mergeCell ref="BK5:BN5"/>
    <mergeCell ref="BU5:BV5"/>
    <mergeCell ref="BW5:BX5"/>
    <mergeCell ref="AN5:AO5"/>
    <mergeCell ref="AP5:AQ5"/>
    <mergeCell ref="AT5:AU5"/>
    <mergeCell ref="AV5:AW5"/>
    <mergeCell ref="AX5:AY5"/>
    <mergeCell ref="AZ5:BA5"/>
    <mergeCell ref="B5:F5"/>
    <mergeCell ref="G5:I5"/>
    <mergeCell ref="J5:L5"/>
    <mergeCell ref="M5:O5"/>
    <mergeCell ref="P5:R5"/>
    <mergeCell ref="S5:U5"/>
    <mergeCell ref="BB4:BC4"/>
    <mergeCell ref="BD4:BE4"/>
    <mergeCell ref="BI4:BJ4"/>
    <mergeCell ref="S4:U4"/>
    <mergeCell ref="AF4:AG4"/>
    <mergeCell ref="AH4:AI4"/>
    <mergeCell ref="AJ4:AK4"/>
    <mergeCell ref="AL4:AM4"/>
    <mergeCell ref="AF5:AG5"/>
    <mergeCell ref="AH5:AI5"/>
    <mergeCell ref="AJ5:AK5"/>
    <mergeCell ref="AL5:AM5"/>
    <mergeCell ref="BB5:BC5"/>
    <mergeCell ref="BD5:BE5"/>
    <mergeCell ref="BI5:BJ5"/>
    <mergeCell ref="B4:F4"/>
    <mergeCell ref="G4:I4"/>
    <mergeCell ref="J4:L4"/>
    <mergeCell ref="M4:O4"/>
    <mergeCell ref="P4:R4"/>
    <mergeCell ref="BK4:BN4"/>
    <mergeCell ref="BU4:BV4"/>
    <mergeCell ref="BW4:BX4"/>
    <mergeCell ref="AN4:AO4"/>
    <mergeCell ref="AP4:AQ4"/>
    <mergeCell ref="AT4:AU4"/>
    <mergeCell ref="AV4:AW4"/>
    <mergeCell ref="AX4:AY4"/>
    <mergeCell ref="AZ4:BA4"/>
    <mergeCell ref="V4:X4"/>
    <mergeCell ref="Y4:AA4"/>
    <mergeCell ref="CA1:CH1"/>
    <mergeCell ref="BH2:BN2"/>
    <mergeCell ref="BU2:BV2"/>
    <mergeCell ref="BW2:BX2"/>
    <mergeCell ref="B3:F3"/>
    <mergeCell ref="G3:I3"/>
    <mergeCell ref="J3:L3"/>
    <mergeCell ref="M3:O3"/>
    <mergeCell ref="P3:R3"/>
    <mergeCell ref="S3:U3"/>
    <mergeCell ref="A1:C1"/>
    <mergeCell ref="G1:H1"/>
    <mergeCell ref="AA1:AB1"/>
    <mergeCell ref="BA1:BB1"/>
    <mergeCell ref="BC1:BE1"/>
    <mergeCell ref="BF1:BJ1"/>
    <mergeCell ref="BI3:BJ3"/>
    <mergeCell ref="BK3:BN3"/>
    <mergeCell ref="BU3:BV3"/>
    <mergeCell ref="BW3:BX3"/>
    <mergeCell ref="V3:X3"/>
    <mergeCell ref="Y3:AA3"/>
  </mergeCells>
  <phoneticPr fontId="2"/>
  <conditionalFormatting sqref="G15:U15">
    <cfRule type="cellIs" dxfId="195" priority="18" operator="lessThan">
      <formula>700000</formula>
    </cfRule>
  </conditionalFormatting>
  <conditionalFormatting sqref="G20:X22">
    <cfRule type="cellIs" dxfId="194" priority="11" operator="between">
      <formula>0.95</formula>
      <formula>0.9</formula>
    </cfRule>
    <cfRule type="cellIs" dxfId="193" priority="16" operator="lessThan">
      <formula>0.9</formula>
    </cfRule>
  </conditionalFormatting>
  <conditionalFormatting sqref="G24:X24">
    <cfRule type="cellIs" dxfId="192" priority="8" operator="lessThan">
      <formula>0.4</formula>
    </cfRule>
    <cfRule type="cellIs" dxfId="191" priority="9" operator="lessThan">
      <formula>0.5</formula>
    </cfRule>
  </conditionalFormatting>
  <conditionalFormatting sqref="G6:AA6">
    <cfRule type="cellIs" dxfId="190" priority="19" operator="between">
      <formula>0.95</formula>
      <formula>0.9</formula>
    </cfRule>
    <cfRule type="cellIs" dxfId="189" priority="24" operator="lessThan">
      <formula>0.9</formula>
    </cfRule>
  </conditionalFormatting>
  <conditionalFormatting sqref="G8:AA8">
    <cfRule type="cellIs" dxfId="188" priority="22" operator="lessThan">
      <formula>0.4</formula>
    </cfRule>
    <cfRule type="cellIs" dxfId="187" priority="23" operator="lessThan">
      <formula>0.5</formula>
    </cfRule>
  </conditionalFormatting>
  <conditionalFormatting sqref="G10:AA10">
    <cfRule type="cellIs" dxfId="186" priority="21" operator="lessThan">
      <formula>0.9</formula>
    </cfRule>
  </conditionalFormatting>
  <conditionalFormatting sqref="G12:AA12">
    <cfRule type="expression" dxfId="185" priority="20">
      <formula>AND(G12&lt;&gt;"",G12&gt;0.3)</formula>
    </cfRule>
  </conditionalFormatting>
  <conditionalFormatting sqref="J27:AA31">
    <cfRule type="containsBlanks" dxfId="184" priority="1">
      <formula>LEN(TRIM(J27))=0</formula>
    </cfRule>
  </conditionalFormatting>
  <conditionalFormatting sqref="P80:AA80">
    <cfRule type="cellIs" dxfId="183" priority="27" operator="equal">
      <formula>"完"</formula>
    </cfRule>
  </conditionalFormatting>
  <conditionalFormatting sqref="AH35:AJ35">
    <cfRule type="cellIs" dxfId="182" priority="25" operator="equal">
      <formula>"Ⅱ算定済"</formula>
    </cfRule>
    <cfRule type="cellIs" dxfId="181" priority="26" operator="equal">
      <formula>"Ⅰ算定済"</formula>
    </cfRule>
  </conditionalFormatting>
  <conditionalFormatting sqref="BI3:BX14 BO15:BX15 BI16:BX32 P80:AA80 AH35:AJ35 AF5:AQ5 AT5:BE5 AF8:AQ8 AT8:BE8 AF11:BE14 G14:AA14 BI15 BK15 AK17:BB21 AE27:BB29 AE32:BB32 BK37:BP42 D37:AJ66 AL38:BI38 AL42:BI42 BW45:CH49 AL46:BI46 AL50:BI50 AL54:BI54 AL58:BI58 AL62:BI62 AL66:BI66 B70:G71 L70:AA71 P75:S76 P77 S77 X77 AA77 P78:S78 X78:AA78 X81:AA81 P81:S83 X83:AA83 L84:AA84">
    <cfRule type="containsBlanks" dxfId="180" priority="29">
      <formula>LEN(TRIM(B3))=0</formula>
    </cfRule>
  </conditionalFormatting>
  <conditionalFormatting sqref="BO3:BT32">
    <cfRule type="cellIs" dxfId="179" priority="28" operator="equal">
      <formula>"完"</formula>
    </cfRule>
  </conditionalFormatting>
  <dataValidations count="23">
    <dataValidation type="list" allowBlank="1" showInputMessage="1" showErrorMessage="1" sqref="Y37:AC66" xr:uid="{D326038B-AADB-4202-9687-517464C4AF1A}">
      <formula1>"重度支援Ⅰ,重度支援Ⅱ"</formula1>
    </dataValidation>
    <dataValidation type="list" allowBlank="1" showInputMessage="1" showErrorMessage="1" sqref="BK37:BP42" xr:uid="{5D779898-5064-4D64-A022-89B5D594C84A}">
      <formula1>"転倒・転落,誤嚥・窒息,誤薬,行方不明,他害,利用者同士トラブル,自傷,入浴事故,医療急変,その他"</formula1>
    </dataValidation>
    <dataValidation type="list" allowBlank="1" showInputMessage="1" showErrorMessage="1" sqref="AH35:AJ35" xr:uid="{670BB81C-7DC7-47A8-873A-A1C556AB32D5}">
      <formula1>"Ⅰ算定済,Ⅱ算定済"</formula1>
    </dataValidation>
    <dataValidation type="list" allowBlank="1" showInputMessage="1" showErrorMessage="1" sqref="S37:S66" xr:uid="{D614BDE6-89E0-498F-B65B-C640E8F3B96E}">
      <formula1>"◎,○,△,➡"</formula1>
    </dataValidation>
    <dataValidation type="list" allowBlank="1" showInputMessage="1" showErrorMessage="1" sqref="J37:K66" xr:uid="{3BE8D7A7-B753-4B3B-BC01-04A011B9959E}">
      <formula1>"6,5,4,3,2,1,なし"</formula1>
    </dataValidation>
    <dataValidation type="list" allowBlank="1" showInputMessage="1" showErrorMessage="1" sqref="AA80" xr:uid="{B2BA28AA-DECA-48BE-A218-C8C31697CF05}">
      <formula1>"12,完"</formula1>
    </dataValidation>
    <dataValidation type="list" allowBlank="1" showInputMessage="1" showErrorMessage="1" sqref="Z80" xr:uid="{6230378A-E6A4-495E-9B33-23520467680C}">
      <formula1>"11,完"</formula1>
    </dataValidation>
    <dataValidation type="list" allowBlank="1" showInputMessage="1" showErrorMessage="1" sqref="Y80" xr:uid="{F2597CCD-ACCC-46C8-B4DA-3C15999A5098}">
      <formula1>"10,完"</formula1>
    </dataValidation>
    <dataValidation type="list" allowBlank="1" showInputMessage="1" showErrorMessage="1" sqref="X80" xr:uid="{136DE5C6-A908-452C-BD4C-5288321431CF}">
      <formula1>"9,完"</formula1>
    </dataValidation>
    <dataValidation type="list" allowBlank="1" showInputMessage="1" showErrorMessage="1" sqref="W80" xr:uid="{CA0B57A6-3113-4447-8459-542E05D26F38}">
      <formula1>"8,完"</formula1>
    </dataValidation>
    <dataValidation type="list" allowBlank="1" showInputMessage="1" showErrorMessage="1" sqref="V80" xr:uid="{A3B33ED9-2BAC-43D0-AD9E-182A9E7E446D}">
      <formula1>"7,完"</formula1>
    </dataValidation>
    <dataValidation type="list" allowBlank="1" showInputMessage="1" showErrorMessage="1" sqref="U80" xr:uid="{AF4032A7-C30B-4EBA-9DDD-943EBD5199F7}">
      <formula1>"6,完"</formula1>
    </dataValidation>
    <dataValidation type="list" allowBlank="1" showInputMessage="1" showErrorMessage="1" sqref="T80" xr:uid="{54D82440-ABB1-49FF-AD94-AC2311951DEF}">
      <formula1>"5,完"</formula1>
    </dataValidation>
    <dataValidation type="list" allowBlank="1" showInputMessage="1" showErrorMessage="1" sqref="S80" xr:uid="{04C336F5-D6DE-43B6-94A9-DDBB4FC6B022}">
      <formula1>"4,完"</formula1>
    </dataValidation>
    <dataValidation type="list" allowBlank="1" showInputMessage="1" showErrorMessage="1" sqref="R80" xr:uid="{72497341-7CBD-4550-8703-C6844B612A33}">
      <formula1>"3,完"</formula1>
    </dataValidation>
    <dataValidation type="list" allowBlank="1" showInputMessage="1" showErrorMessage="1" sqref="Q80" xr:uid="{9638A112-F473-40A6-B7CF-C96069C6F019}">
      <formula1>"2,完"</formula1>
    </dataValidation>
    <dataValidation type="list" allowBlank="1" showInputMessage="1" showErrorMessage="1" sqref="P80" xr:uid="{A095AF5F-BD7C-44C6-8108-8BC48B972B75}">
      <formula1>"1,完"</formula1>
    </dataValidation>
    <dataValidation type="list" allowBlank="1" showInputMessage="1" showErrorMessage="1" sqref="X83:AA83 P75:S76 P77 S77 P78:S79 X78:AA79 AA77 X77 X75:AA76 X81:AA81 P81:S83 BU3:BU32 BW3:BW32" xr:uid="{1F0C11FA-18E8-4F66-B76A-BE4C84BF0AD5}">
      <formula1>"●"</formula1>
    </dataValidation>
    <dataValidation type="list" allowBlank="1" showInputMessage="1" showErrorMessage="1" sqref="AP11:AP14" xr:uid="{7EBA9E3B-F343-461D-BC73-304F55B453CC}">
      <formula1>"週,月"</formula1>
    </dataValidation>
    <dataValidation type="list" allowBlank="1" showInputMessage="1" showErrorMessage="1" sqref="AD37:AE66" xr:uid="{F5CB18B2-A4F6-4C0A-BE88-6DDF25A4BDBB}">
      <formula1>"済"</formula1>
    </dataValidation>
    <dataValidation type="list" allowBlank="1" showInputMessage="1" showErrorMessage="1" sqref="B70:D71" xr:uid="{CE743174-531E-44E4-B174-986F948CF503}">
      <formula1>"Ⅰ,Ⅱ,Ⅲ"</formula1>
    </dataValidation>
    <dataValidation type="list" allowBlank="1" showInputMessage="1" showErrorMessage="1" sqref="BI3:BJ14 BI15:BI32 BJ16:BJ32" xr:uid="{68ED6E3F-7AAF-42DF-BD4D-FBFA768AF155}">
      <formula1>"時給,常時給,月給"</formula1>
    </dataValidation>
    <dataValidation type="list" allowBlank="1" showInputMessage="1" showErrorMessage="1" sqref="BO3:BT32" xr:uid="{8D948FB0-61BB-4EAA-B5A7-B478418A527E}">
      <formula1>"完"</formula1>
    </dataValidation>
  </dataValidations>
  <hyperlinks>
    <hyperlink ref="CA6" r:id="rId1" xr:uid="{9EECB133-56CA-4FC9-9B8B-85F01327F1FC}"/>
    <hyperlink ref="B15:F15" r:id="rId2" display="合計算定単位数" xr:uid="{07E2680A-BD7D-44DB-B5AA-D925C3FD4933}"/>
    <hyperlink ref="B26:I26" r:id="rId3" display="常勤換算法・夜勤含む（/所定労働）" xr:uid="{9A8E58BA-2290-4189-AF8D-47D1712CB22A}"/>
    <hyperlink ref="B19:F19" r:id="rId4" display="利用日数" xr:uid="{6B64FEA4-66C2-4C83-8852-FDBA3E6EA14D}"/>
    <hyperlink ref="B21:F21" r:id="rId5" display="利用日数" xr:uid="{09EFA9F2-F1AE-4B80-9185-2DA428D62457}"/>
  </hyperlinks>
  <printOptions horizontalCentered="1" verticalCentered="1"/>
  <pageMargins left="0.11811023622047245" right="0.11811023622047245" top="0.15748031496062992" bottom="0.15748031496062992" header="0" footer="0"/>
  <pageSetup paperSize="9" scale="26"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6157" r:id="rId9" name="TaskCheck_BZ3">
              <controlPr defaultSize="0" autoFill="0" autoLine="0" autoPict="0">
                <anchor moveWithCells="1">
                  <from>
                    <xdr:col>77</xdr:col>
                    <xdr:colOff>19050</xdr:colOff>
                    <xdr:row>2</xdr:row>
                    <xdr:rowOff>12700</xdr:rowOff>
                  </from>
                  <to>
                    <xdr:col>78</xdr:col>
                    <xdr:colOff>50800</xdr:colOff>
                    <xdr:row>2</xdr:row>
                    <xdr:rowOff>273050</xdr:rowOff>
                  </to>
                </anchor>
              </controlPr>
            </control>
          </mc:Choice>
        </mc:AlternateContent>
        <mc:AlternateContent xmlns:mc="http://schemas.openxmlformats.org/markup-compatibility/2006">
          <mc:Choice Requires="x14">
            <control shapeId="6158" r:id="rId10" name="TaskCheck_BZ4">
              <controlPr defaultSize="0" autoFill="0" autoLine="0" autoPict="0">
                <anchor moveWithCells="1">
                  <from>
                    <xdr:col>77</xdr:col>
                    <xdr:colOff>19050</xdr:colOff>
                    <xdr:row>3</xdr:row>
                    <xdr:rowOff>12700</xdr:rowOff>
                  </from>
                  <to>
                    <xdr:col>78</xdr:col>
                    <xdr:colOff>50800</xdr:colOff>
                    <xdr:row>3</xdr:row>
                    <xdr:rowOff>273050</xdr:rowOff>
                  </to>
                </anchor>
              </controlPr>
            </control>
          </mc:Choice>
        </mc:AlternateContent>
        <mc:AlternateContent xmlns:mc="http://schemas.openxmlformats.org/markup-compatibility/2006">
          <mc:Choice Requires="x14">
            <control shapeId="6159" r:id="rId11" name="TaskCheck_BZ5">
              <controlPr defaultSize="0" autoFill="0" autoLine="0" autoPict="0">
                <anchor moveWithCells="1">
                  <from>
                    <xdr:col>77</xdr:col>
                    <xdr:colOff>19050</xdr:colOff>
                    <xdr:row>4</xdr:row>
                    <xdr:rowOff>12700</xdr:rowOff>
                  </from>
                  <to>
                    <xdr:col>78</xdr:col>
                    <xdr:colOff>50800</xdr:colOff>
                    <xdr:row>4</xdr:row>
                    <xdr:rowOff>273050</xdr:rowOff>
                  </to>
                </anchor>
              </controlPr>
            </control>
          </mc:Choice>
        </mc:AlternateContent>
        <mc:AlternateContent xmlns:mc="http://schemas.openxmlformats.org/markup-compatibility/2006">
          <mc:Choice Requires="x14">
            <control shapeId="6160" r:id="rId12" name="TaskCheck_BZ6">
              <controlPr defaultSize="0" autoFill="0" autoLine="0" autoPict="0">
                <anchor moveWithCells="1">
                  <from>
                    <xdr:col>77</xdr:col>
                    <xdr:colOff>19050</xdr:colOff>
                    <xdr:row>5</xdr:row>
                    <xdr:rowOff>12700</xdr:rowOff>
                  </from>
                  <to>
                    <xdr:col>78</xdr:col>
                    <xdr:colOff>50800</xdr:colOff>
                    <xdr:row>5</xdr:row>
                    <xdr:rowOff>273050</xdr:rowOff>
                  </to>
                </anchor>
              </controlPr>
            </control>
          </mc:Choice>
        </mc:AlternateContent>
        <mc:AlternateContent xmlns:mc="http://schemas.openxmlformats.org/markup-compatibility/2006">
          <mc:Choice Requires="x14">
            <control shapeId="6161" r:id="rId13" name="TaskCheck_BZ7">
              <controlPr defaultSize="0" autoFill="0" autoLine="0" autoPict="0">
                <anchor moveWithCells="1">
                  <from>
                    <xdr:col>77</xdr:col>
                    <xdr:colOff>19050</xdr:colOff>
                    <xdr:row>6</xdr:row>
                    <xdr:rowOff>12700</xdr:rowOff>
                  </from>
                  <to>
                    <xdr:col>78</xdr:col>
                    <xdr:colOff>50800</xdr:colOff>
                    <xdr:row>6</xdr:row>
                    <xdr:rowOff>273050</xdr:rowOff>
                  </to>
                </anchor>
              </controlPr>
            </control>
          </mc:Choice>
        </mc:AlternateContent>
        <mc:AlternateContent xmlns:mc="http://schemas.openxmlformats.org/markup-compatibility/2006">
          <mc:Choice Requires="x14">
            <control shapeId="6162" r:id="rId14" name="TaskCheck_BZ8">
              <controlPr defaultSize="0" autoFill="0" autoLine="0" autoPict="0">
                <anchor moveWithCells="1">
                  <from>
                    <xdr:col>77</xdr:col>
                    <xdr:colOff>19050</xdr:colOff>
                    <xdr:row>7</xdr:row>
                    <xdr:rowOff>12700</xdr:rowOff>
                  </from>
                  <to>
                    <xdr:col>78</xdr:col>
                    <xdr:colOff>50800</xdr:colOff>
                    <xdr:row>7</xdr:row>
                    <xdr:rowOff>273050</xdr:rowOff>
                  </to>
                </anchor>
              </controlPr>
            </control>
          </mc:Choice>
        </mc:AlternateContent>
        <mc:AlternateContent xmlns:mc="http://schemas.openxmlformats.org/markup-compatibility/2006">
          <mc:Choice Requires="x14">
            <control shapeId="6163" r:id="rId15" name="TaskCheck_BZ9">
              <controlPr defaultSize="0" autoFill="0" autoLine="0" autoPict="0">
                <anchor moveWithCells="1">
                  <from>
                    <xdr:col>77</xdr:col>
                    <xdr:colOff>19050</xdr:colOff>
                    <xdr:row>8</xdr:row>
                    <xdr:rowOff>12700</xdr:rowOff>
                  </from>
                  <to>
                    <xdr:col>78</xdr:col>
                    <xdr:colOff>50800</xdr:colOff>
                    <xdr:row>8</xdr:row>
                    <xdr:rowOff>273050</xdr:rowOff>
                  </to>
                </anchor>
              </controlPr>
            </control>
          </mc:Choice>
        </mc:AlternateContent>
        <mc:AlternateContent xmlns:mc="http://schemas.openxmlformats.org/markup-compatibility/2006">
          <mc:Choice Requires="x14">
            <control shapeId="6164" r:id="rId16" name="TaskCheck_BZ10">
              <controlPr defaultSize="0" autoFill="0" autoLine="0" autoPict="0">
                <anchor moveWithCells="1">
                  <from>
                    <xdr:col>77</xdr:col>
                    <xdr:colOff>19050</xdr:colOff>
                    <xdr:row>9</xdr:row>
                    <xdr:rowOff>12700</xdr:rowOff>
                  </from>
                  <to>
                    <xdr:col>78</xdr:col>
                    <xdr:colOff>50800</xdr:colOff>
                    <xdr:row>9</xdr:row>
                    <xdr:rowOff>273050</xdr:rowOff>
                  </to>
                </anchor>
              </controlPr>
            </control>
          </mc:Choice>
        </mc:AlternateContent>
        <mc:AlternateContent xmlns:mc="http://schemas.openxmlformats.org/markup-compatibility/2006">
          <mc:Choice Requires="x14">
            <control shapeId="6165" r:id="rId17" name="TaskCheck_BZ11">
              <controlPr defaultSize="0" autoFill="0" autoLine="0" autoPict="0">
                <anchor moveWithCells="1">
                  <from>
                    <xdr:col>77</xdr:col>
                    <xdr:colOff>19050</xdr:colOff>
                    <xdr:row>10</xdr:row>
                    <xdr:rowOff>12700</xdr:rowOff>
                  </from>
                  <to>
                    <xdr:col>78</xdr:col>
                    <xdr:colOff>50800</xdr:colOff>
                    <xdr:row>10</xdr:row>
                    <xdr:rowOff>273050</xdr:rowOff>
                  </to>
                </anchor>
              </controlPr>
            </control>
          </mc:Choice>
        </mc:AlternateContent>
        <mc:AlternateContent xmlns:mc="http://schemas.openxmlformats.org/markup-compatibility/2006">
          <mc:Choice Requires="x14">
            <control shapeId="6166" r:id="rId18" name="TaskCheck_BZ12">
              <controlPr defaultSize="0" autoFill="0" autoLine="0" autoPict="0">
                <anchor moveWithCells="1">
                  <from>
                    <xdr:col>77</xdr:col>
                    <xdr:colOff>19050</xdr:colOff>
                    <xdr:row>11</xdr:row>
                    <xdr:rowOff>12700</xdr:rowOff>
                  </from>
                  <to>
                    <xdr:col>78</xdr:col>
                    <xdr:colOff>50800</xdr:colOff>
                    <xdr:row>11</xdr:row>
                    <xdr:rowOff>273050</xdr:rowOff>
                  </to>
                </anchor>
              </controlPr>
            </control>
          </mc:Choice>
        </mc:AlternateContent>
        <mc:AlternateContent xmlns:mc="http://schemas.openxmlformats.org/markup-compatibility/2006">
          <mc:Choice Requires="x14">
            <control shapeId="6167" r:id="rId19" name="TaskCheck_BZ13">
              <controlPr defaultSize="0" autoFill="0" autoLine="0" autoPict="0">
                <anchor moveWithCells="1">
                  <from>
                    <xdr:col>77</xdr:col>
                    <xdr:colOff>19050</xdr:colOff>
                    <xdr:row>12</xdr:row>
                    <xdr:rowOff>12700</xdr:rowOff>
                  </from>
                  <to>
                    <xdr:col>78</xdr:col>
                    <xdr:colOff>50800</xdr:colOff>
                    <xdr:row>12</xdr:row>
                    <xdr:rowOff>273050</xdr:rowOff>
                  </to>
                </anchor>
              </controlPr>
            </control>
          </mc:Choice>
        </mc:AlternateContent>
        <mc:AlternateContent xmlns:mc="http://schemas.openxmlformats.org/markup-compatibility/2006">
          <mc:Choice Requires="x14">
            <control shapeId="6168" r:id="rId20" name="TaskCheck_BZ14">
              <controlPr defaultSize="0" autoFill="0" autoLine="0" autoPict="0">
                <anchor moveWithCells="1">
                  <from>
                    <xdr:col>77</xdr:col>
                    <xdr:colOff>19050</xdr:colOff>
                    <xdr:row>13</xdr:row>
                    <xdr:rowOff>12700</xdr:rowOff>
                  </from>
                  <to>
                    <xdr:col>78</xdr:col>
                    <xdr:colOff>50800</xdr:colOff>
                    <xdr:row>13</xdr:row>
                    <xdr:rowOff>273050</xdr:rowOff>
                  </to>
                </anchor>
              </controlPr>
            </control>
          </mc:Choice>
        </mc:AlternateContent>
        <mc:AlternateContent xmlns:mc="http://schemas.openxmlformats.org/markup-compatibility/2006">
          <mc:Choice Requires="x14">
            <control shapeId="6169" r:id="rId21" name="TaskCheck_BZ15">
              <controlPr defaultSize="0" autoFill="0" autoLine="0" autoPict="0">
                <anchor moveWithCells="1">
                  <from>
                    <xdr:col>77</xdr:col>
                    <xdr:colOff>19050</xdr:colOff>
                    <xdr:row>14</xdr:row>
                    <xdr:rowOff>12700</xdr:rowOff>
                  </from>
                  <to>
                    <xdr:col>78</xdr:col>
                    <xdr:colOff>50800</xdr:colOff>
                    <xdr:row>14</xdr:row>
                    <xdr:rowOff>273050</xdr:rowOff>
                  </to>
                </anchor>
              </controlPr>
            </control>
          </mc:Choice>
        </mc:AlternateContent>
        <mc:AlternateContent xmlns:mc="http://schemas.openxmlformats.org/markup-compatibility/2006">
          <mc:Choice Requires="x14">
            <control shapeId="6170" r:id="rId22" name="TaskCheck_BZ16">
              <controlPr defaultSize="0" autoFill="0" autoLine="0" autoPict="0">
                <anchor moveWithCells="1">
                  <from>
                    <xdr:col>77</xdr:col>
                    <xdr:colOff>19050</xdr:colOff>
                    <xdr:row>15</xdr:row>
                    <xdr:rowOff>12700</xdr:rowOff>
                  </from>
                  <to>
                    <xdr:col>78</xdr:col>
                    <xdr:colOff>50800</xdr:colOff>
                    <xdr:row>15</xdr:row>
                    <xdr:rowOff>273050</xdr:rowOff>
                  </to>
                </anchor>
              </controlPr>
            </control>
          </mc:Choice>
        </mc:AlternateContent>
        <mc:AlternateContent xmlns:mc="http://schemas.openxmlformats.org/markup-compatibility/2006">
          <mc:Choice Requires="x14">
            <control shapeId="6171" r:id="rId23" name="TaskCheck_BZ19">
              <controlPr defaultSize="0" autoFill="0" autoLine="0" autoPict="0">
                <anchor moveWithCells="1">
                  <from>
                    <xdr:col>77</xdr:col>
                    <xdr:colOff>19050</xdr:colOff>
                    <xdr:row>18</xdr:row>
                    <xdr:rowOff>12700</xdr:rowOff>
                  </from>
                  <to>
                    <xdr:col>78</xdr:col>
                    <xdr:colOff>50800</xdr:colOff>
                    <xdr:row>18</xdr:row>
                    <xdr:rowOff>273050</xdr:rowOff>
                  </to>
                </anchor>
              </controlPr>
            </control>
          </mc:Choice>
        </mc:AlternateContent>
        <mc:AlternateContent xmlns:mc="http://schemas.openxmlformats.org/markup-compatibility/2006">
          <mc:Choice Requires="x14">
            <control shapeId="6172" r:id="rId24" name="TaskCheck_BZ20">
              <controlPr defaultSize="0" autoFill="0" autoLine="0" autoPict="0">
                <anchor moveWithCells="1">
                  <from>
                    <xdr:col>77</xdr:col>
                    <xdr:colOff>19050</xdr:colOff>
                    <xdr:row>19</xdr:row>
                    <xdr:rowOff>12700</xdr:rowOff>
                  </from>
                  <to>
                    <xdr:col>78</xdr:col>
                    <xdr:colOff>50800</xdr:colOff>
                    <xdr:row>19</xdr:row>
                    <xdr:rowOff>273050</xdr:rowOff>
                  </to>
                </anchor>
              </controlPr>
            </control>
          </mc:Choice>
        </mc:AlternateContent>
        <mc:AlternateContent xmlns:mc="http://schemas.openxmlformats.org/markup-compatibility/2006">
          <mc:Choice Requires="x14">
            <control shapeId="6173" r:id="rId25" name="TaskCheck_BZ21">
              <controlPr defaultSize="0" autoFill="0" autoLine="0" autoPict="0">
                <anchor moveWithCells="1">
                  <from>
                    <xdr:col>77</xdr:col>
                    <xdr:colOff>19050</xdr:colOff>
                    <xdr:row>20</xdr:row>
                    <xdr:rowOff>12700</xdr:rowOff>
                  </from>
                  <to>
                    <xdr:col>78</xdr:col>
                    <xdr:colOff>50800</xdr:colOff>
                    <xdr:row>20</xdr:row>
                    <xdr:rowOff>273050</xdr:rowOff>
                  </to>
                </anchor>
              </controlPr>
            </control>
          </mc:Choice>
        </mc:AlternateContent>
        <mc:AlternateContent xmlns:mc="http://schemas.openxmlformats.org/markup-compatibility/2006">
          <mc:Choice Requires="x14">
            <control shapeId="6174" r:id="rId26" name="TaskCheck_BZ22">
              <controlPr defaultSize="0" autoFill="0" autoLine="0" autoPict="0">
                <anchor moveWithCells="1">
                  <from>
                    <xdr:col>77</xdr:col>
                    <xdr:colOff>19050</xdr:colOff>
                    <xdr:row>21</xdr:row>
                    <xdr:rowOff>12700</xdr:rowOff>
                  </from>
                  <to>
                    <xdr:col>78</xdr:col>
                    <xdr:colOff>50800</xdr:colOff>
                    <xdr:row>21</xdr:row>
                    <xdr:rowOff>273050</xdr:rowOff>
                  </to>
                </anchor>
              </controlPr>
            </control>
          </mc:Choice>
        </mc:AlternateContent>
        <mc:AlternateContent xmlns:mc="http://schemas.openxmlformats.org/markup-compatibility/2006">
          <mc:Choice Requires="x14">
            <control shapeId="6175" r:id="rId27" name="TaskCheck_BZ23">
              <controlPr defaultSize="0" autoFill="0" autoLine="0" autoPict="0">
                <anchor moveWithCells="1">
                  <from>
                    <xdr:col>77</xdr:col>
                    <xdr:colOff>19050</xdr:colOff>
                    <xdr:row>22</xdr:row>
                    <xdr:rowOff>12700</xdr:rowOff>
                  </from>
                  <to>
                    <xdr:col>78</xdr:col>
                    <xdr:colOff>50800</xdr:colOff>
                    <xdr:row>22</xdr:row>
                    <xdr:rowOff>273050</xdr:rowOff>
                  </to>
                </anchor>
              </controlPr>
            </control>
          </mc:Choice>
        </mc:AlternateContent>
        <mc:AlternateContent xmlns:mc="http://schemas.openxmlformats.org/markup-compatibility/2006">
          <mc:Choice Requires="x14">
            <control shapeId="6176" r:id="rId28" name="TaskCheck_BZ24">
              <controlPr defaultSize="0" autoFill="0" autoLine="0" autoPict="0">
                <anchor moveWithCells="1">
                  <from>
                    <xdr:col>77</xdr:col>
                    <xdr:colOff>19050</xdr:colOff>
                    <xdr:row>23</xdr:row>
                    <xdr:rowOff>12700</xdr:rowOff>
                  </from>
                  <to>
                    <xdr:col>78</xdr:col>
                    <xdr:colOff>50800</xdr:colOff>
                    <xdr:row>23</xdr:row>
                    <xdr:rowOff>273050</xdr:rowOff>
                  </to>
                </anchor>
              </controlPr>
            </control>
          </mc:Choice>
        </mc:AlternateContent>
        <mc:AlternateContent xmlns:mc="http://schemas.openxmlformats.org/markup-compatibility/2006">
          <mc:Choice Requires="x14">
            <control shapeId="6177" r:id="rId29" name="TaskCheck_BZ25">
              <controlPr defaultSize="0" autoFill="0" autoLine="0" autoPict="0">
                <anchor moveWithCells="1">
                  <from>
                    <xdr:col>77</xdr:col>
                    <xdr:colOff>19050</xdr:colOff>
                    <xdr:row>24</xdr:row>
                    <xdr:rowOff>12700</xdr:rowOff>
                  </from>
                  <to>
                    <xdr:col>78</xdr:col>
                    <xdr:colOff>50800</xdr:colOff>
                    <xdr:row>24</xdr:row>
                    <xdr:rowOff>273050</xdr:rowOff>
                  </to>
                </anchor>
              </controlPr>
            </control>
          </mc:Choice>
        </mc:AlternateContent>
        <mc:AlternateContent xmlns:mc="http://schemas.openxmlformats.org/markup-compatibility/2006">
          <mc:Choice Requires="x14">
            <control shapeId="6178" r:id="rId30" name="TaskCheck_BZ26">
              <controlPr defaultSize="0" autoFill="0" autoLine="0" autoPict="0">
                <anchor moveWithCells="1">
                  <from>
                    <xdr:col>77</xdr:col>
                    <xdr:colOff>19050</xdr:colOff>
                    <xdr:row>25</xdr:row>
                    <xdr:rowOff>12700</xdr:rowOff>
                  </from>
                  <to>
                    <xdr:col>78</xdr:col>
                    <xdr:colOff>50800</xdr:colOff>
                    <xdr:row>25</xdr:row>
                    <xdr:rowOff>273050</xdr:rowOff>
                  </to>
                </anchor>
              </controlPr>
            </control>
          </mc:Choice>
        </mc:AlternateContent>
        <mc:AlternateContent xmlns:mc="http://schemas.openxmlformats.org/markup-compatibility/2006">
          <mc:Choice Requires="x14">
            <control shapeId="6179" r:id="rId31" name="TaskCheck_BZ27">
              <controlPr defaultSize="0" autoFill="0" autoLine="0" autoPict="0">
                <anchor moveWithCells="1">
                  <from>
                    <xdr:col>77</xdr:col>
                    <xdr:colOff>19050</xdr:colOff>
                    <xdr:row>26</xdr:row>
                    <xdr:rowOff>12700</xdr:rowOff>
                  </from>
                  <to>
                    <xdr:col>78</xdr:col>
                    <xdr:colOff>50800</xdr:colOff>
                    <xdr:row>26</xdr:row>
                    <xdr:rowOff>273050</xdr:rowOff>
                  </to>
                </anchor>
              </controlPr>
            </control>
          </mc:Choice>
        </mc:AlternateContent>
        <mc:AlternateContent xmlns:mc="http://schemas.openxmlformats.org/markup-compatibility/2006">
          <mc:Choice Requires="x14">
            <control shapeId="6180" r:id="rId32" name="TaskCheck_BZ28">
              <controlPr defaultSize="0" autoFill="0" autoLine="0" autoPict="0">
                <anchor moveWithCells="1">
                  <from>
                    <xdr:col>77</xdr:col>
                    <xdr:colOff>19050</xdr:colOff>
                    <xdr:row>27</xdr:row>
                    <xdr:rowOff>12700</xdr:rowOff>
                  </from>
                  <to>
                    <xdr:col>78</xdr:col>
                    <xdr:colOff>50800</xdr:colOff>
                    <xdr:row>27</xdr:row>
                    <xdr:rowOff>273050</xdr:rowOff>
                  </to>
                </anchor>
              </controlPr>
            </control>
          </mc:Choice>
        </mc:AlternateContent>
        <mc:AlternateContent xmlns:mc="http://schemas.openxmlformats.org/markup-compatibility/2006">
          <mc:Choice Requires="x14">
            <control shapeId="6181" r:id="rId33" name="TaskCheck_BZ29">
              <controlPr defaultSize="0" autoFill="0" autoLine="0" autoPict="0">
                <anchor moveWithCells="1">
                  <from>
                    <xdr:col>77</xdr:col>
                    <xdr:colOff>19050</xdr:colOff>
                    <xdr:row>28</xdr:row>
                    <xdr:rowOff>12700</xdr:rowOff>
                  </from>
                  <to>
                    <xdr:col>78</xdr:col>
                    <xdr:colOff>50800</xdr:colOff>
                    <xdr:row>28</xdr:row>
                    <xdr:rowOff>273050</xdr:rowOff>
                  </to>
                </anchor>
              </controlPr>
            </control>
          </mc:Choice>
        </mc:AlternateContent>
        <mc:AlternateContent xmlns:mc="http://schemas.openxmlformats.org/markup-compatibility/2006">
          <mc:Choice Requires="x14">
            <control shapeId="6182" r:id="rId34" name="TaskCheck_BZ30">
              <controlPr defaultSize="0" autoFill="0" autoLine="0" autoPict="0">
                <anchor moveWithCells="1">
                  <from>
                    <xdr:col>77</xdr:col>
                    <xdr:colOff>19050</xdr:colOff>
                    <xdr:row>29</xdr:row>
                    <xdr:rowOff>12700</xdr:rowOff>
                  </from>
                  <to>
                    <xdr:col>78</xdr:col>
                    <xdr:colOff>50800</xdr:colOff>
                    <xdr:row>29</xdr:row>
                    <xdr:rowOff>273050</xdr:rowOff>
                  </to>
                </anchor>
              </controlPr>
            </control>
          </mc:Choice>
        </mc:AlternateContent>
        <mc:AlternateContent xmlns:mc="http://schemas.openxmlformats.org/markup-compatibility/2006">
          <mc:Choice Requires="x14">
            <control shapeId="6183" r:id="rId35" name="TaskCheck_BZ31">
              <controlPr defaultSize="0" autoFill="0" autoLine="0" autoPict="0">
                <anchor moveWithCells="1">
                  <from>
                    <xdr:col>77</xdr:col>
                    <xdr:colOff>19050</xdr:colOff>
                    <xdr:row>30</xdr:row>
                    <xdr:rowOff>12700</xdr:rowOff>
                  </from>
                  <to>
                    <xdr:col>78</xdr:col>
                    <xdr:colOff>50800</xdr:colOff>
                    <xdr:row>30</xdr:row>
                    <xdr:rowOff>273050</xdr:rowOff>
                  </to>
                </anchor>
              </controlPr>
            </control>
          </mc:Choice>
        </mc:AlternateContent>
        <mc:AlternateContent xmlns:mc="http://schemas.openxmlformats.org/markup-compatibility/2006">
          <mc:Choice Requires="x14">
            <control shapeId="6184" r:id="rId36" name="TaskCheck_BZ32">
              <controlPr defaultSize="0" autoFill="0" autoLine="0" autoPict="0">
                <anchor moveWithCells="1">
                  <from>
                    <xdr:col>77</xdr:col>
                    <xdr:colOff>19050</xdr:colOff>
                    <xdr:row>31</xdr:row>
                    <xdr:rowOff>12700</xdr:rowOff>
                  </from>
                  <to>
                    <xdr:col>78</xdr:col>
                    <xdr:colOff>50800</xdr:colOff>
                    <xdr:row>31</xdr:row>
                    <xdr:rowOff>273050</xdr:rowOff>
                  </to>
                </anchor>
              </controlPr>
            </control>
          </mc:Choice>
        </mc:AlternateContent>
        <mc:AlternateContent xmlns:mc="http://schemas.openxmlformats.org/markup-compatibility/2006">
          <mc:Choice Requires="x14">
            <control shapeId="6185" r:id="rId37" name="TaskCheck_BZ33">
              <controlPr defaultSize="0" autoFill="0" autoLine="0" autoPict="0">
                <anchor moveWithCells="1">
                  <from>
                    <xdr:col>77</xdr:col>
                    <xdr:colOff>19050</xdr:colOff>
                    <xdr:row>32</xdr:row>
                    <xdr:rowOff>12700</xdr:rowOff>
                  </from>
                  <to>
                    <xdr:col>78</xdr:col>
                    <xdr:colOff>50800</xdr:colOff>
                    <xdr:row>32</xdr:row>
                    <xdr:rowOff>273050</xdr:rowOff>
                  </to>
                </anchor>
              </controlPr>
            </control>
          </mc:Choice>
        </mc:AlternateContent>
        <mc:AlternateContent xmlns:mc="http://schemas.openxmlformats.org/markup-compatibility/2006">
          <mc:Choice Requires="x14">
            <control shapeId="6186" r:id="rId38" name="TaskCheck_BZ36">
              <controlPr defaultSize="0" autoFill="0" autoLine="0" autoPict="0">
                <anchor moveWithCells="1">
                  <from>
                    <xdr:col>77</xdr:col>
                    <xdr:colOff>19050</xdr:colOff>
                    <xdr:row>35</xdr:row>
                    <xdr:rowOff>12700</xdr:rowOff>
                  </from>
                  <to>
                    <xdr:col>78</xdr:col>
                    <xdr:colOff>50800</xdr:colOff>
                    <xdr:row>35</xdr:row>
                    <xdr:rowOff>273050</xdr:rowOff>
                  </to>
                </anchor>
              </controlPr>
            </control>
          </mc:Choice>
        </mc:AlternateContent>
        <mc:AlternateContent xmlns:mc="http://schemas.openxmlformats.org/markup-compatibility/2006">
          <mc:Choice Requires="x14">
            <control shapeId="6187" r:id="rId39" name="TaskCheck_BQ37">
              <controlPr defaultSize="0" autoFill="0" autoLine="0" autoPict="0">
                <anchor moveWithCells="1">
                  <from>
                    <xdr:col>68</xdr:col>
                    <xdr:colOff>19050</xdr:colOff>
                    <xdr:row>36</xdr:row>
                    <xdr:rowOff>12700</xdr:rowOff>
                  </from>
                  <to>
                    <xdr:col>69</xdr:col>
                    <xdr:colOff>50800</xdr:colOff>
                    <xdr:row>36</xdr:row>
                    <xdr:rowOff>273050</xdr:rowOff>
                  </to>
                </anchor>
              </controlPr>
            </control>
          </mc:Choice>
        </mc:AlternateContent>
        <mc:AlternateContent xmlns:mc="http://schemas.openxmlformats.org/markup-compatibility/2006">
          <mc:Choice Requires="x14">
            <control shapeId="6188" r:id="rId40" name="TaskCheck_BZ37">
              <controlPr defaultSize="0" autoFill="0" autoLine="0" autoPict="0">
                <anchor moveWithCells="1">
                  <from>
                    <xdr:col>77</xdr:col>
                    <xdr:colOff>19050</xdr:colOff>
                    <xdr:row>36</xdr:row>
                    <xdr:rowOff>12700</xdr:rowOff>
                  </from>
                  <to>
                    <xdr:col>78</xdr:col>
                    <xdr:colOff>50800</xdr:colOff>
                    <xdr:row>36</xdr:row>
                    <xdr:rowOff>273050</xdr:rowOff>
                  </to>
                </anchor>
              </controlPr>
            </control>
          </mc:Choice>
        </mc:AlternateContent>
        <mc:AlternateContent xmlns:mc="http://schemas.openxmlformats.org/markup-compatibility/2006">
          <mc:Choice Requires="x14">
            <control shapeId="6189" r:id="rId41" name="TaskCheck_BQ38">
              <controlPr defaultSize="0" autoFill="0" autoLine="0" autoPict="0">
                <anchor moveWithCells="1">
                  <from>
                    <xdr:col>68</xdr:col>
                    <xdr:colOff>19050</xdr:colOff>
                    <xdr:row>37</xdr:row>
                    <xdr:rowOff>12700</xdr:rowOff>
                  </from>
                  <to>
                    <xdr:col>69</xdr:col>
                    <xdr:colOff>50800</xdr:colOff>
                    <xdr:row>37</xdr:row>
                    <xdr:rowOff>273050</xdr:rowOff>
                  </to>
                </anchor>
              </controlPr>
            </control>
          </mc:Choice>
        </mc:AlternateContent>
        <mc:AlternateContent xmlns:mc="http://schemas.openxmlformats.org/markup-compatibility/2006">
          <mc:Choice Requires="x14">
            <control shapeId="6190" r:id="rId42" name="TaskCheck_BZ38">
              <controlPr defaultSize="0" autoFill="0" autoLine="0" autoPict="0">
                <anchor moveWithCells="1">
                  <from>
                    <xdr:col>77</xdr:col>
                    <xdr:colOff>19050</xdr:colOff>
                    <xdr:row>37</xdr:row>
                    <xdr:rowOff>12700</xdr:rowOff>
                  </from>
                  <to>
                    <xdr:col>78</xdr:col>
                    <xdr:colOff>50800</xdr:colOff>
                    <xdr:row>37</xdr:row>
                    <xdr:rowOff>273050</xdr:rowOff>
                  </to>
                </anchor>
              </controlPr>
            </control>
          </mc:Choice>
        </mc:AlternateContent>
        <mc:AlternateContent xmlns:mc="http://schemas.openxmlformats.org/markup-compatibility/2006">
          <mc:Choice Requires="x14">
            <control shapeId="6191" r:id="rId43" name="TaskCheck_BQ39">
              <controlPr defaultSize="0" autoFill="0" autoLine="0" autoPict="0">
                <anchor moveWithCells="1">
                  <from>
                    <xdr:col>68</xdr:col>
                    <xdr:colOff>19050</xdr:colOff>
                    <xdr:row>38</xdr:row>
                    <xdr:rowOff>12700</xdr:rowOff>
                  </from>
                  <to>
                    <xdr:col>69</xdr:col>
                    <xdr:colOff>50800</xdr:colOff>
                    <xdr:row>38</xdr:row>
                    <xdr:rowOff>273050</xdr:rowOff>
                  </to>
                </anchor>
              </controlPr>
            </control>
          </mc:Choice>
        </mc:AlternateContent>
        <mc:AlternateContent xmlns:mc="http://schemas.openxmlformats.org/markup-compatibility/2006">
          <mc:Choice Requires="x14">
            <control shapeId="6192" r:id="rId44" name="TaskCheck_BZ39">
              <controlPr defaultSize="0" autoFill="0" autoLine="0" autoPict="0">
                <anchor moveWithCells="1">
                  <from>
                    <xdr:col>77</xdr:col>
                    <xdr:colOff>19050</xdr:colOff>
                    <xdr:row>38</xdr:row>
                    <xdr:rowOff>12700</xdr:rowOff>
                  </from>
                  <to>
                    <xdr:col>78</xdr:col>
                    <xdr:colOff>50800</xdr:colOff>
                    <xdr:row>38</xdr:row>
                    <xdr:rowOff>273050</xdr:rowOff>
                  </to>
                </anchor>
              </controlPr>
            </control>
          </mc:Choice>
        </mc:AlternateContent>
        <mc:AlternateContent xmlns:mc="http://schemas.openxmlformats.org/markup-compatibility/2006">
          <mc:Choice Requires="x14">
            <control shapeId="6193" r:id="rId45" name="TaskCheck_BQ40">
              <controlPr defaultSize="0" autoFill="0" autoLine="0" autoPict="0">
                <anchor moveWithCells="1">
                  <from>
                    <xdr:col>68</xdr:col>
                    <xdr:colOff>19050</xdr:colOff>
                    <xdr:row>39</xdr:row>
                    <xdr:rowOff>12700</xdr:rowOff>
                  </from>
                  <to>
                    <xdr:col>69</xdr:col>
                    <xdr:colOff>50800</xdr:colOff>
                    <xdr:row>39</xdr:row>
                    <xdr:rowOff>273050</xdr:rowOff>
                  </to>
                </anchor>
              </controlPr>
            </control>
          </mc:Choice>
        </mc:AlternateContent>
        <mc:AlternateContent xmlns:mc="http://schemas.openxmlformats.org/markup-compatibility/2006">
          <mc:Choice Requires="x14">
            <control shapeId="6194" r:id="rId46" name="TaskCheck_BZ40">
              <controlPr defaultSize="0" autoFill="0" autoLine="0" autoPict="0">
                <anchor moveWithCells="1">
                  <from>
                    <xdr:col>77</xdr:col>
                    <xdr:colOff>19050</xdr:colOff>
                    <xdr:row>39</xdr:row>
                    <xdr:rowOff>12700</xdr:rowOff>
                  </from>
                  <to>
                    <xdr:col>78</xdr:col>
                    <xdr:colOff>50800</xdr:colOff>
                    <xdr:row>39</xdr:row>
                    <xdr:rowOff>273050</xdr:rowOff>
                  </to>
                </anchor>
              </controlPr>
            </control>
          </mc:Choice>
        </mc:AlternateContent>
        <mc:AlternateContent xmlns:mc="http://schemas.openxmlformats.org/markup-compatibility/2006">
          <mc:Choice Requires="x14">
            <control shapeId="6195" r:id="rId47" name="TaskCheck_BQ41">
              <controlPr defaultSize="0" autoFill="0" autoLine="0" autoPict="0">
                <anchor moveWithCells="1">
                  <from>
                    <xdr:col>68</xdr:col>
                    <xdr:colOff>19050</xdr:colOff>
                    <xdr:row>40</xdr:row>
                    <xdr:rowOff>12700</xdr:rowOff>
                  </from>
                  <to>
                    <xdr:col>69</xdr:col>
                    <xdr:colOff>50800</xdr:colOff>
                    <xdr:row>40</xdr:row>
                    <xdr:rowOff>273050</xdr:rowOff>
                  </to>
                </anchor>
              </controlPr>
            </control>
          </mc:Choice>
        </mc:AlternateContent>
        <mc:AlternateContent xmlns:mc="http://schemas.openxmlformats.org/markup-compatibility/2006">
          <mc:Choice Requires="x14">
            <control shapeId="6196" r:id="rId48" name="TaskCheck_BZ41">
              <controlPr defaultSize="0" autoFill="0" autoLine="0" autoPict="0">
                <anchor moveWithCells="1">
                  <from>
                    <xdr:col>77</xdr:col>
                    <xdr:colOff>19050</xdr:colOff>
                    <xdr:row>40</xdr:row>
                    <xdr:rowOff>12700</xdr:rowOff>
                  </from>
                  <to>
                    <xdr:col>78</xdr:col>
                    <xdr:colOff>50800</xdr:colOff>
                    <xdr:row>40</xdr:row>
                    <xdr:rowOff>273050</xdr:rowOff>
                  </to>
                </anchor>
              </controlPr>
            </control>
          </mc:Choice>
        </mc:AlternateContent>
        <mc:AlternateContent xmlns:mc="http://schemas.openxmlformats.org/markup-compatibility/2006">
          <mc:Choice Requires="x14">
            <control shapeId="6197" r:id="rId49" name="TaskCheck_BQ42">
              <controlPr defaultSize="0" autoFill="0" autoLine="0" autoPict="0">
                <anchor moveWithCells="1">
                  <from>
                    <xdr:col>68</xdr:col>
                    <xdr:colOff>19050</xdr:colOff>
                    <xdr:row>41</xdr:row>
                    <xdr:rowOff>12700</xdr:rowOff>
                  </from>
                  <to>
                    <xdr:col>69</xdr:col>
                    <xdr:colOff>50800</xdr:colOff>
                    <xdr:row>41</xdr:row>
                    <xdr:rowOff>273050</xdr:rowOff>
                  </to>
                </anchor>
              </controlPr>
            </control>
          </mc:Choice>
        </mc:AlternateContent>
        <mc:AlternateContent xmlns:mc="http://schemas.openxmlformats.org/markup-compatibility/2006">
          <mc:Choice Requires="x14">
            <control shapeId="6198" r:id="rId50" name="TaskCheck_BZ42">
              <controlPr defaultSize="0" autoFill="0" autoLine="0" autoPict="0">
                <anchor moveWithCells="1">
                  <from>
                    <xdr:col>77</xdr:col>
                    <xdr:colOff>19050</xdr:colOff>
                    <xdr:row>41</xdr:row>
                    <xdr:rowOff>12700</xdr:rowOff>
                  </from>
                  <to>
                    <xdr:col>78</xdr:col>
                    <xdr:colOff>50800</xdr:colOff>
                    <xdr:row>41</xdr:row>
                    <xdr:rowOff>273050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C857B-8C41-48D5-AB8F-F99DD0ED1AA6}">
  <sheetPr codeName="Sheet8">
    <tabColor rgb="FF0070C0"/>
    <pageSetUpPr fitToPage="1"/>
  </sheetPr>
  <dimension ref="A1:CS134"/>
  <sheetViews>
    <sheetView showGridLines="0" zoomScale="60" zoomScaleNormal="60" workbookViewId="0">
      <selection activeCell="AO27" sqref="AO27:AP27"/>
    </sheetView>
  </sheetViews>
  <sheetFormatPr defaultColWidth="3.83203125" defaultRowHeight="22.5" customHeight="1"/>
  <cols>
    <col min="1" max="8" width="3.58203125" style="161" customWidth="1"/>
    <col min="9" max="15" width="3.83203125" style="161"/>
    <col min="16" max="16" width="5.6640625" style="161" bestFit="1" customWidth="1"/>
    <col min="17" max="19" width="3.83203125" style="161"/>
    <col min="20" max="20" width="3.83203125" style="161" customWidth="1"/>
    <col min="21" max="33" width="3.83203125" style="161"/>
    <col min="34" max="34" width="3.83203125" style="161" customWidth="1"/>
    <col min="35" max="90" width="3.83203125" style="161"/>
    <col min="91" max="91" width="6.58203125" style="161" bestFit="1" customWidth="1"/>
    <col min="92" max="92" width="9.83203125" style="161" bestFit="1" customWidth="1"/>
    <col min="93" max="93" width="4.25" style="161" bestFit="1" customWidth="1"/>
    <col min="94" max="94" width="4.5" style="161" bestFit="1" customWidth="1"/>
    <col min="95" max="95" width="2.58203125" style="161" bestFit="1" customWidth="1"/>
    <col min="96" max="96" width="4.5" style="161" bestFit="1" customWidth="1"/>
    <col min="97" max="16384" width="3.83203125" style="161"/>
  </cols>
  <sheetData>
    <row r="1" spans="1:97" s="160" customFormat="1" ht="22.5" customHeight="1" thickTop="1" thickBot="1">
      <c r="A1" s="306" t="s">
        <v>66</v>
      </c>
      <c r="B1" s="306"/>
      <c r="C1" s="306"/>
      <c r="D1" s="158" t="s">
        <v>305</v>
      </c>
      <c r="E1" s="158"/>
      <c r="F1" s="158"/>
      <c r="G1" s="307">
        <v>20</v>
      </c>
      <c r="H1" s="307"/>
      <c r="I1" s="158" t="s">
        <v>688</v>
      </c>
      <c r="J1" s="158"/>
      <c r="K1" s="158"/>
      <c r="L1" s="158"/>
      <c r="M1" s="158"/>
      <c r="N1" s="158"/>
      <c r="O1" s="158"/>
      <c r="P1" s="158"/>
      <c r="Q1" s="158"/>
      <c r="R1" s="159"/>
      <c r="S1" s="159"/>
      <c r="T1" s="159"/>
      <c r="U1" s="159"/>
      <c r="V1" s="221" t="s">
        <v>104</v>
      </c>
      <c r="W1" s="158"/>
      <c r="X1" s="158"/>
      <c r="Y1" s="158"/>
      <c r="Z1" s="158"/>
      <c r="AA1" s="308">
        <v>2</v>
      </c>
      <c r="AB1" s="308"/>
      <c r="AC1" s="199" t="s">
        <v>105</v>
      </c>
      <c r="AD1" s="158"/>
      <c r="AE1" s="200" t="s">
        <v>582</v>
      </c>
      <c r="AF1" s="158"/>
      <c r="AG1" s="158"/>
      <c r="AH1" s="159"/>
      <c r="AI1" s="199" t="s">
        <v>106</v>
      </c>
      <c r="AJ1" s="159"/>
      <c r="AK1" s="200" t="s">
        <v>589</v>
      </c>
      <c r="AL1" s="159"/>
      <c r="AM1" s="159"/>
      <c r="AN1" s="159"/>
      <c r="AO1" s="199" t="s">
        <v>106</v>
      </c>
      <c r="AP1" s="159"/>
      <c r="AQ1" s="200"/>
      <c r="AR1" s="159"/>
      <c r="AS1" s="159"/>
      <c r="AT1" s="159"/>
      <c r="AU1" s="199" t="s">
        <v>237</v>
      </c>
      <c r="AV1" s="159"/>
      <c r="AW1" s="200"/>
      <c r="AX1" s="159"/>
      <c r="AY1" s="159"/>
      <c r="AZ1" s="159"/>
      <c r="BA1" s="309" t="s">
        <v>261</v>
      </c>
      <c r="BB1" s="310"/>
      <c r="BC1" s="311">
        <v>46202</v>
      </c>
      <c r="BD1" s="312"/>
      <c r="BE1" s="313"/>
      <c r="BF1" s="314" t="str">
        <f ca="1">IF(BC1="","",(TODAY()-BC1)&amp;"日未更新")</f>
        <v>0日未更新</v>
      </c>
      <c r="BG1" s="315"/>
      <c r="BH1" s="315"/>
      <c r="BI1" s="315"/>
      <c r="BJ1" s="316"/>
      <c r="BK1" s="159"/>
      <c r="BL1" s="159"/>
      <c r="BM1" s="159"/>
      <c r="BN1" s="159"/>
      <c r="BO1" s="158"/>
      <c r="BP1" s="159"/>
      <c r="BQ1" s="159"/>
      <c r="BR1" s="159"/>
      <c r="BS1" s="159"/>
      <c r="BT1" s="159"/>
      <c r="BU1" s="159"/>
      <c r="BV1" s="159"/>
      <c r="BW1" s="159"/>
      <c r="BX1" s="159"/>
      <c r="BY1" s="159"/>
      <c r="BZ1" s="158"/>
      <c r="CA1" s="323" t="s">
        <v>238</v>
      </c>
      <c r="CB1" s="323"/>
      <c r="CC1" s="323"/>
      <c r="CD1" s="323"/>
      <c r="CE1" s="323"/>
      <c r="CF1" s="323"/>
      <c r="CG1" s="323"/>
      <c r="CH1" s="323"/>
    </row>
    <row r="2" spans="1:97" ht="22.5" customHeight="1" thickTop="1">
      <c r="B2" s="175" t="s">
        <v>229</v>
      </c>
      <c r="C2" s="176"/>
      <c r="D2" s="176"/>
      <c r="E2" s="176"/>
      <c r="F2" s="176"/>
      <c r="G2" s="176"/>
      <c r="H2" s="176"/>
      <c r="I2" s="176"/>
      <c r="J2" s="176"/>
      <c r="K2" s="176"/>
      <c r="L2" s="176"/>
      <c r="M2" s="176"/>
      <c r="N2" s="176"/>
      <c r="O2" s="176"/>
      <c r="P2" s="176"/>
      <c r="Q2" s="176"/>
      <c r="R2" s="176"/>
      <c r="S2" s="176"/>
      <c r="T2" s="176"/>
      <c r="U2" s="176"/>
      <c r="V2" s="176"/>
      <c r="W2" s="176"/>
      <c r="X2" s="176"/>
      <c r="Y2" s="176"/>
      <c r="Z2" s="176"/>
      <c r="AA2" s="176"/>
      <c r="AC2" s="177" t="s">
        <v>110</v>
      </c>
      <c r="AD2" s="178"/>
      <c r="AE2" s="178"/>
      <c r="AF2" s="178"/>
      <c r="AG2" s="178"/>
      <c r="AH2" s="178"/>
      <c r="AI2" s="178"/>
      <c r="AJ2" s="178"/>
      <c r="AK2" s="178"/>
      <c r="AL2" s="178"/>
      <c r="AM2" s="178"/>
      <c r="AN2" s="178"/>
      <c r="AO2" s="178"/>
      <c r="AP2" s="178"/>
      <c r="AQ2" s="178"/>
      <c r="AR2" s="178"/>
      <c r="AS2" s="178"/>
      <c r="AT2" s="178"/>
      <c r="AU2" s="178"/>
      <c r="AV2" s="178"/>
      <c r="AW2" s="178"/>
      <c r="AX2" s="178"/>
      <c r="AY2" s="178"/>
      <c r="AZ2" s="178"/>
      <c r="BA2" s="178"/>
      <c r="BB2" s="178"/>
      <c r="BE2" s="324" t="s">
        <v>127</v>
      </c>
      <c r="BF2" s="325"/>
      <c r="BG2" s="325"/>
      <c r="BH2" s="325"/>
      <c r="BI2" s="325"/>
      <c r="BJ2" s="325"/>
      <c r="BK2" s="326"/>
      <c r="BL2" s="189" t="s">
        <v>52</v>
      </c>
      <c r="BM2" s="190" t="s">
        <v>53</v>
      </c>
      <c r="BN2" s="197" t="s">
        <v>54</v>
      </c>
      <c r="BO2" s="198" t="s">
        <v>55</v>
      </c>
      <c r="BP2" s="190" t="s">
        <v>56</v>
      </c>
      <c r="BQ2" s="191" t="s">
        <v>57</v>
      </c>
      <c r="BR2" s="327" t="s">
        <v>112</v>
      </c>
      <c r="BS2" s="328"/>
      <c r="BT2" s="328" t="s">
        <v>115</v>
      </c>
      <c r="BU2" s="329"/>
      <c r="BW2" s="181" t="s">
        <v>948</v>
      </c>
      <c r="BX2" s="179"/>
      <c r="BY2" s="179"/>
      <c r="BZ2" s="179"/>
      <c r="CA2" s="179"/>
      <c r="CB2" s="179"/>
      <c r="CC2" s="179"/>
      <c r="CD2" s="179"/>
      <c r="CE2" s="179"/>
      <c r="CF2" s="179"/>
      <c r="CG2" s="179"/>
      <c r="CH2" s="179"/>
      <c r="CM2" s="269" t="s">
        <v>147</v>
      </c>
      <c r="CN2" s="270">
        <v>46113</v>
      </c>
      <c r="CO2" s="269">
        <v>6</v>
      </c>
      <c r="CP2" s="269">
        <v>167</v>
      </c>
      <c r="CQ2" s="269">
        <v>0</v>
      </c>
      <c r="CR2" s="269">
        <v>167</v>
      </c>
      <c r="CS2" s="235"/>
    </row>
    <row r="3" spans="1:97" ht="22.5" customHeight="1">
      <c r="B3" s="300" t="s">
        <v>263</v>
      </c>
      <c r="C3" s="301"/>
      <c r="D3" s="301"/>
      <c r="E3" s="301"/>
      <c r="F3" s="302"/>
      <c r="G3" s="303" t="s">
        <v>254</v>
      </c>
      <c r="H3" s="304"/>
      <c r="I3" s="305"/>
      <c r="J3" s="303" t="s">
        <v>27</v>
      </c>
      <c r="K3" s="304"/>
      <c r="L3" s="305"/>
      <c r="M3" s="303" t="s">
        <v>226</v>
      </c>
      <c r="N3" s="304"/>
      <c r="O3" s="305"/>
      <c r="P3" s="303" t="s">
        <v>15</v>
      </c>
      <c r="Q3" s="304"/>
      <c r="R3" s="305"/>
      <c r="S3" s="303" t="s">
        <v>22</v>
      </c>
      <c r="T3" s="304"/>
      <c r="U3" s="305"/>
      <c r="V3" s="303" t="s">
        <v>1</v>
      </c>
      <c r="W3" s="304"/>
      <c r="X3" s="305"/>
      <c r="Y3" s="303" t="s">
        <v>18</v>
      </c>
      <c r="Z3" s="304"/>
      <c r="AA3" s="305"/>
      <c r="AC3" s="179" t="s">
        <v>61</v>
      </c>
      <c r="AD3" s="179"/>
      <c r="AE3" s="179"/>
      <c r="AF3" s="179"/>
      <c r="AG3" s="179"/>
      <c r="AH3" s="179"/>
      <c r="AI3" s="179"/>
      <c r="AJ3" s="179"/>
      <c r="AK3" s="179"/>
      <c r="AL3" s="179"/>
      <c r="AM3" s="179"/>
      <c r="AN3" s="179"/>
      <c r="AO3" s="178"/>
      <c r="AP3" s="178"/>
      <c r="AQ3" s="179" t="s">
        <v>62</v>
      </c>
      <c r="AR3" s="179"/>
      <c r="AS3" s="179"/>
      <c r="AT3" s="179"/>
      <c r="AU3" s="179"/>
      <c r="AV3" s="179"/>
      <c r="AW3" s="179"/>
      <c r="AX3" s="179"/>
      <c r="AY3" s="179"/>
      <c r="AZ3" s="179"/>
      <c r="BA3" s="179"/>
      <c r="BB3" s="179"/>
      <c r="BE3" s="187">
        <v>1</v>
      </c>
      <c r="BF3" s="317" t="s">
        <v>381</v>
      </c>
      <c r="BG3" s="317" t="s">
        <v>268</v>
      </c>
      <c r="BH3" s="317" t="s">
        <v>397</v>
      </c>
      <c r="BI3" s="317" t="s">
        <v>306</v>
      </c>
      <c r="BJ3" s="317" t="s">
        <v>306</v>
      </c>
      <c r="BK3" s="318" t="s">
        <v>306</v>
      </c>
      <c r="BL3" s="215" t="s">
        <v>724</v>
      </c>
      <c r="BM3" s="209" t="s">
        <v>724</v>
      </c>
      <c r="BN3" s="209" t="s">
        <v>724</v>
      </c>
      <c r="BO3" s="209" t="s">
        <v>724</v>
      </c>
      <c r="BP3" s="209"/>
      <c r="BQ3" s="210"/>
      <c r="BR3" s="319" t="s">
        <v>267</v>
      </c>
      <c r="BS3" s="317"/>
      <c r="BT3" s="317" t="s">
        <v>267</v>
      </c>
      <c r="BU3" s="320"/>
      <c r="BW3" s="285" t="b">
        <v>0</v>
      </c>
      <c r="BX3" s="178" t="s">
        <v>97</v>
      </c>
      <c r="BY3" s="178"/>
      <c r="BZ3" s="178"/>
      <c r="CA3" s="178"/>
      <c r="CB3" s="178"/>
      <c r="CC3" s="178"/>
      <c r="CD3" s="178"/>
      <c r="CE3" s="178"/>
      <c r="CF3" s="178"/>
      <c r="CG3" s="178"/>
      <c r="CH3" s="178"/>
      <c r="CM3" s="269" t="s">
        <v>147</v>
      </c>
      <c r="CN3" s="270">
        <v>46113</v>
      </c>
      <c r="CO3" s="269">
        <v>5</v>
      </c>
      <c r="CP3" s="269">
        <v>90</v>
      </c>
      <c r="CQ3" s="269">
        <v>0</v>
      </c>
      <c r="CR3" s="269">
        <v>90</v>
      </c>
      <c r="CS3" s="235"/>
    </row>
    <row r="4" spans="1:97" ht="22.5" customHeight="1">
      <c r="B4" s="335" t="s">
        <v>32</v>
      </c>
      <c r="C4" s="336"/>
      <c r="D4" s="336"/>
      <c r="E4" s="336"/>
      <c r="F4" s="337"/>
      <c r="G4" s="321">
        <f ca="1">IFERROR(INDEX(INDIRECT("'"&amp;G$3&amp;"'!J:J"),MATCH($D$1,INDIRECT("'"&amp;G$3&amp;"'!A:A"),0)),"")</f>
        <v>20</v>
      </c>
      <c r="H4" s="321"/>
      <c r="I4" s="321"/>
      <c r="J4" s="321">
        <v>20</v>
      </c>
      <c r="K4" s="321"/>
      <c r="L4" s="321"/>
      <c r="M4" s="321">
        <v>20</v>
      </c>
      <c r="N4" s="321"/>
      <c r="O4" s="321"/>
      <c r="P4" s="321" t="str">
        <f ca="1">IFERROR(INDEX(INDIRECT("'"&amp;P$3&amp;"'!J:J"),MATCH($D$1,INDIRECT("'"&amp;P$3&amp;"'!A:A"),0)),"")</f>
        <v/>
      </c>
      <c r="Q4" s="321"/>
      <c r="R4" s="321"/>
      <c r="S4" s="321" t="str">
        <f ca="1">IFERROR(INDEX(INDIRECT("'"&amp;S$3&amp;"'!J:J"),MATCH($D$1,INDIRECT("'"&amp;S$3&amp;"'!A:A"),0)),"")</f>
        <v/>
      </c>
      <c r="T4" s="321"/>
      <c r="U4" s="321"/>
      <c r="V4" s="321" t="str">
        <f t="shared" ref="V4" ca="1" si="0">IFERROR(INDEX(INDIRECT("'"&amp;V$3&amp;"'!J:J"),MATCH($D$1,INDIRECT("'"&amp;V$3&amp;"'!A:A"),0)),"")</f>
        <v/>
      </c>
      <c r="W4" s="321"/>
      <c r="X4" s="321"/>
      <c r="Y4" s="321" t="str">
        <f t="shared" ref="Y4" ca="1" si="1">IFERROR(INDEX(INDIRECT("'"&amp;Y$3&amp;"'!J:J"),MATCH($D$1,INDIRECT("'"&amp;Y$3&amp;"'!A:A"),0)),"")</f>
        <v/>
      </c>
      <c r="Z4" s="321"/>
      <c r="AA4" s="321"/>
      <c r="AC4" s="322" t="s">
        <v>254</v>
      </c>
      <c r="AD4" s="322"/>
      <c r="AE4" s="322" t="s">
        <v>27</v>
      </c>
      <c r="AF4" s="322"/>
      <c r="AG4" s="322" t="s">
        <v>226</v>
      </c>
      <c r="AH4" s="322"/>
      <c r="AI4" s="322" t="s">
        <v>15</v>
      </c>
      <c r="AJ4" s="322"/>
      <c r="AK4" s="322" t="s">
        <v>23</v>
      </c>
      <c r="AL4" s="322"/>
      <c r="AM4" s="322" t="s">
        <v>256</v>
      </c>
      <c r="AN4" s="322"/>
      <c r="AQ4" s="322" t="s">
        <v>254</v>
      </c>
      <c r="AR4" s="322"/>
      <c r="AS4" s="322" t="s">
        <v>27</v>
      </c>
      <c r="AT4" s="322"/>
      <c r="AU4" s="322" t="s">
        <v>226</v>
      </c>
      <c r="AV4" s="322"/>
      <c r="AW4" s="322" t="s">
        <v>15</v>
      </c>
      <c r="AX4" s="322"/>
      <c r="AY4" s="322" t="s">
        <v>23</v>
      </c>
      <c r="AZ4" s="322"/>
      <c r="BA4" s="322" t="s">
        <v>256</v>
      </c>
      <c r="BB4" s="322"/>
      <c r="BE4" s="187">
        <v>2</v>
      </c>
      <c r="BF4" s="317" t="s">
        <v>381</v>
      </c>
      <c r="BG4" s="317" t="s">
        <v>268</v>
      </c>
      <c r="BH4" s="317" t="s">
        <v>398</v>
      </c>
      <c r="BI4" s="317" t="s">
        <v>307</v>
      </c>
      <c r="BJ4" s="317" t="s">
        <v>307</v>
      </c>
      <c r="BK4" s="318" t="s">
        <v>307</v>
      </c>
      <c r="BL4" s="215" t="s">
        <v>724</v>
      </c>
      <c r="BM4" s="209" t="s">
        <v>724</v>
      </c>
      <c r="BN4" s="209" t="s">
        <v>724</v>
      </c>
      <c r="BO4" s="209"/>
      <c r="BP4" s="209"/>
      <c r="BQ4" s="210"/>
      <c r="BR4" s="319" t="s">
        <v>267</v>
      </c>
      <c r="BS4" s="317"/>
      <c r="BT4" s="317"/>
      <c r="BU4" s="320"/>
      <c r="BW4" s="285" t="b">
        <v>0</v>
      </c>
      <c r="BX4" s="192" t="s">
        <v>69</v>
      </c>
      <c r="BY4" s="178"/>
      <c r="BZ4" s="178"/>
      <c r="CA4" s="178"/>
      <c r="CB4" s="178"/>
      <c r="CC4" s="178"/>
      <c r="CD4" s="178"/>
      <c r="CE4" s="178"/>
      <c r="CF4" s="178"/>
      <c r="CG4" s="178"/>
      <c r="CH4" s="178"/>
      <c r="CM4" s="269" t="s">
        <v>147</v>
      </c>
      <c r="CN4" s="270">
        <v>46113</v>
      </c>
      <c r="CO4" s="269">
        <v>4</v>
      </c>
      <c r="CP4" s="269">
        <v>210</v>
      </c>
      <c r="CQ4" s="269">
        <v>0</v>
      </c>
      <c r="CR4" s="269">
        <v>210</v>
      </c>
      <c r="CS4" s="235"/>
    </row>
    <row r="5" spans="1:97" ht="22.5" customHeight="1">
      <c r="B5" s="331" t="s">
        <v>225</v>
      </c>
      <c r="C5" s="332"/>
      <c r="D5" s="332"/>
      <c r="E5" s="332"/>
      <c r="F5" s="333"/>
      <c r="G5" s="334">
        <f ca="1">IFERROR(INDEX(INDIRECT("'"&amp;G$3&amp;"'!Ｉ:Ｉ"),MATCH($D$1,INDIRECT("'"&amp;G$3&amp;"'!A:A"),0)),"")</f>
        <v>620</v>
      </c>
      <c r="H5" s="334"/>
      <c r="I5" s="334"/>
      <c r="J5" s="334">
        <v>542</v>
      </c>
      <c r="K5" s="334"/>
      <c r="L5" s="334"/>
      <c r="M5" s="334">
        <v>549</v>
      </c>
      <c r="N5" s="334"/>
      <c r="O5" s="334"/>
      <c r="P5" s="334" t="str">
        <f ca="1">IFERROR(INDEX(INDIRECT("'"&amp;P$3&amp;"'!Ｉ:Ｉ"),MATCH($D$1,INDIRECT("'"&amp;P$3&amp;"'!A:A"),0)),"")</f>
        <v/>
      </c>
      <c r="Q5" s="334"/>
      <c r="R5" s="334"/>
      <c r="S5" s="334" t="str">
        <f ca="1">IFERROR(INDEX(INDIRECT("'"&amp;S$3&amp;"'!Ｉ:Ｉ"),MATCH($D$1,INDIRECT("'"&amp;S$3&amp;"'!A:A"),0)),"")</f>
        <v/>
      </c>
      <c r="T5" s="334"/>
      <c r="U5" s="334"/>
      <c r="V5" s="334" t="str">
        <f t="shared" ref="V5" ca="1" si="2">IFERROR(INDEX(INDIRECT("'"&amp;V$3&amp;"'!Ｉ:Ｉ"),MATCH($D$1,INDIRECT("'"&amp;V$3&amp;"'!A:A"),0)),"")</f>
        <v/>
      </c>
      <c r="W5" s="334"/>
      <c r="X5" s="334"/>
      <c r="Y5" s="334" t="str">
        <f t="shared" ref="Y5" ca="1" si="3">IFERROR(INDEX(INDIRECT("'"&amp;Y$3&amp;"'!Ｉ:Ｉ"),MATCH($D$1,INDIRECT("'"&amp;Y$3&amp;"'!A:A"),0)),"")</f>
        <v/>
      </c>
      <c r="Z5" s="334"/>
      <c r="AA5" s="334"/>
      <c r="AC5" s="330">
        <v>2</v>
      </c>
      <c r="AD5" s="330"/>
      <c r="AE5" s="330">
        <v>3</v>
      </c>
      <c r="AF5" s="330"/>
      <c r="AG5" s="330">
        <v>2</v>
      </c>
      <c r="AH5" s="330"/>
      <c r="AI5" s="330">
        <v>2</v>
      </c>
      <c r="AJ5" s="330"/>
      <c r="AK5" s="330"/>
      <c r="AL5" s="330"/>
      <c r="AM5" s="330"/>
      <c r="AN5" s="330"/>
      <c r="AQ5" s="330">
        <v>1</v>
      </c>
      <c r="AR5" s="330"/>
      <c r="AS5" s="330">
        <v>3</v>
      </c>
      <c r="AT5" s="330"/>
      <c r="AU5" s="330">
        <v>3</v>
      </c>
      <c r="AV5" s="330"/>
      <c r="AW5" s="330">
        <v>2</v>
      </c>
      <c r="AX5" s="330"/>
      <c r="AY5" s="330"/>
      <c r="AZ5" s="330"/>
      <c r="BA5" s="330"/>
      <c r="BB5" s="330"/>
      <c r="BE5" s="187">
        <v>3</v>
      </c>
      <c r="BF5" s="317" t="s">
        <v>381</v>
      </c>
      <c r="BG5" s="317" t="s">
        <v>268</v>
      </c>
      <c r="BH5" s="317" t="s">
        <v>706</v>
      </c>
      <c r="BI5" s="317" t="s">
        <v>308</v>
      </c>
      <c r="BJ5" s="317" t="s">
        <v>308</v>
      </c>
      <c r="BK5" s="318" t="s">
        <v>308</v>
      </c>
      <c r="BL5" s="215" t="s">
        <v>724</v>
      </c>
      <c r="BM5" s="209" t="s">
        <v>724</v>
      </c>
      <c r="BN5" s="209" t="s">
        <v>724</v>
      </c>
      <c r="BO5" s="209"/>
      <c r="BP5" s="209"/>
      <c r="BQ5" s="210"/>
      <c r="BR5" s="319"/>
      <c r="BS5" s="317"/>
      <c r="BT5" s="317"/>
      <c r="BU5" s="320"/>
      <c r="BW5" s="285" t="b">
        <v>0</v>
      </c>
      <c r="BX5" s="192" t="s">
        <v>70</v>
      </c>
      <c r="BY5" s="178"/>
      <c r="BZ5" s="178"/>
      <c r="CA5" s="178"/>
      <c r="CB5" s="178"/>
      <c r="CC5" s="193"/>
      <c r="CD5" s="193"/>
      <c r="CE5" s="193"/>
      <c r="CF5" s="178"/>
      <c r="CG5" s="178"/>
      <c r="CH5" s="178"/>
      <c r="CM5" s="269" t="s">
        <v>147</v>
      </c>
      <c r="CN5" s="270">
        <v>46113</v>
      </c>
      <c r="CO5" s="269">
        <v>3</v>
      </c>
      <c r="CP5" s="269">
        <v>78</v>
      </c>
      <c r="CQ5" s="269">
        <v>0</v>
      </c>
      <c r="CR5" s="269">
        <v>78</v>
      </c>
      <c r="CS5" s="235"/>
    </row>
    <row r="6" spans="1:97" ht="22.5" customHeight="1">
      <c r="B6" s="338" t="s">
        <v>33</v>
      </c>
      <c r="C6" s="339"/>
      <c r="D6" s="339"/>
      <c r="E6" s="339"/>
      <c r="F6" s="340"/>
      <c r="G6" s="341">
        <f ca="1">IFERROR(G5/(G1*DAY(EOMONTH(DATE(2024,LEFT(G3,LEN(G3)-1),1),0))),"")</f>
        <v>1</v>
      </c>
      <c r="H6" s="341"/>
      <c r="I6" s="341"/>
      <c r="J6" s="341">
        <v>0.879</v>
      </c>
      <c r="K6" s="341"/>
      <c r="L6" s="341"/>
      <c r="M6" s="341">
        <v>0.84899999999999998</v>
      </c>
      <c r="N6" s="341"/>
      <c r="O6" s="341"/>
      <c r="P6" s="341" t="str">
        <f ca="1">IFERROR(P5/(P1*DAY(EOMONTH(DATE(2024,LEFT(P3,LEN(P3)-1),1),0))),"")</f>
        <v/>
      </c>
      <c r="Q6" s="341"/>
      <c r="R6" s="341"/>
      <c r="S6" s="341" t="str">
        <f ca="1">IFERROR(S5/(S1*DAY(EOMONTH(DATE(2024,LEFT(S3,LEN(S3)-1),1),0))),"")</f>
        <v/>
      </c>
      <c r="T6" s="341"/>
      <c r="U6" s="341"/>
      <c r="V6" s="341" t="str">
        <f t="shared" ref="V6" ca="1" si="4">IFERROR(V5/(V1*DAY(EOMONTH(DATE(2024,LEFT(V3,LEN(V3)-1),1),0))),"")</f>
        <v/>
      </c>
      <c r="W6" s="341"/>
      <c r="X6" s="341"/>
      <c r="Y6" s="341" t="str">
        <f t="shared" ref="Y6" ca="1" si="5">IFERROR(Y5/(Y1*DAY(EOMONTH(DATE(2024,LEFT(Y3,LEN(Y3)-1),1),0))),"")</f>
        <v/>
      </c>
      <c r="Z6" s="341"/>
      <c r="AA6" s="341"/>
      <c r="AC6" s="179" t="s">
        <v>60</v>
      </c>
      <c r="AD6" s="179"/>
      <c r="AE6" s="179"/>
      <c r="AF6" s="179"/>
      <c r="AG6" s="179"/>
      <c r="AH6" s="179"/>
      <c r="AI6" s="179"/>
      <c r="AJ6" s="179"/>
      <c r="AK6" s="179"/>
      <c r="AL6" s="179"/>
      <c r="AM6" s="179"/>
      <c r="AN6" s="179"/>
      <c r="AO6" s="178"/>
      <c r="AP6" s="178"/>
      <c r="AQ6" s="179" t="s">
        <v>109</v>
      </c>
      <c r="AR6" s="179"/>
      <c r="AS6" s="179"/>
      <c r="AT6" s="179"/>
      <c r="AU6" s="179"/>
      <c r="AV6" s="179"/>
      <c r="AW6" s="179"/>
      <c r="AX6" s="179"/>
      <c r="AY6" s="179"/>
      <c r="AZ6" s="179"/>
      <c r="BA6" s="179"/>
      <c r="BB6" s="179"/>
      <c r="BE6" s="187">
        <v>4</v>
      </c>
      <c r="BF6" s="317" t="s">
        <v>382</v>
      </c>
      <c r="BG6" s="317" t="s">
        <v>269</v>
      </c>
      <c r="BH6" s="317" t="s">
        <v>399</v>
      </c>
      <c r="BI6" s="317" t="s">
        <v>309</v>
      </c>
      <c r="BJ6" s="317" t="s">
        <v>309</v>
      </c>
      <c r="BK6" s="318" t="s">
        <v>309</v>
      </c>
      <c r="BL6" s="215"/>
      <c r="BM6" s="209"/>
      <c r="BN6" s="209"/>
      <c r="BO6" s="209"/>
      <c r="BP6" s="209"/>
      <c r="BQ6" s="210"/>
      <c r="BR6" s="319"/>
      <c r="BS6" s="317"/>
      <c r="BT6" s="317"/>
      <c r="BU6" s="320"/>
      <c r="BW6" s="285" t="b">
        <v>0</v>
      </c>
      <c r="BX6" s="192" t="s">
        <v>71</v>
      </c>
      <c r="BY6" s="178"/>
      <c r="BZ6" s="178"/>
      <c r="CA6" s="178"/>
      <c r="CB6" s="178"/>
      <c r="CC6" s="193"/>
      <c r="CD6" s="193"/>
      <c r="CE6" s="193"/>
      <c r="CF6" s="178"/>
      <c r="CG6" s="178"/>
      <c r="CH6" s="178"/>
      <c r="CM6" s="269" t="s">
        <v>147</v>
      </c>
      <c r="CN6" s="270">
        <v>46113</v>
      </c>
      <c r="CO6" s="269">
        <v>2</v>
      </c>
      <c r="CP6" s="269">
        <v>0</v>
      </c>
      <c r="CQ6" s="269">
        <v>0</v>
      </c>
      <c r="CR6" s="269">
        <v>0</v>
      </c>
      <c r="CS6" s="235"/>
    </row>
    <row r="7" spans="1:97" ht="22.5" customHeight="1">
      <c r="B7" s="735" t="s">
        <v>224</v>
      </c>
      <c r="C7" s="736"/>
      <c r="D7" s="736"/>
      <c r="E7" s="736"/>
      <c r="F7" s="737"/>
      <c r="G7" s="321">
        <f ca="1">IFERROR(INDEX(INDIRECT("'"&amp;G$3&amp;"'!L:L"),MATCH($D$1,INDIRECT("'"&amp;G$3&amp;"'!A:A"),0)),"")</f>
        <v>61</v>
      </c>
      <c r="H7" s="321"/>
      <c r="I7" s="321"/>
      <c r="J7" s="321">
        <v>66</v>
      </c>
      <c r="K7" s="321"/>
      <c r="L7" s="321"/>
      <c r="M7" s="321">
        <v>68</v>
      </c>
      <c r="N7" s="321"/>
      <c r="O7" s="321"/>
      <c r="P7" s="321" t="str">
        <f ca="1">IFERROR(INDEX(INDIRECT("'"&amp;P$3&amp;"'!L:L"),MATCH($D$1,INDIRECT("'"&amp;P$3&amp;"'!A:A"),0)),"")</f>
        <v/>
      </c>
      <c r="Q7" s="321"/>
      <c r="R7" s="321"/>
      <c r="S7" s="321" t="str">
        <f ca="1">IFERROR(INDEX(INDIRECT("'"&amp;S$3&amp;"'!L:L"),MATCH($D$1,INDIRECT("'"&amp;S$3&amp;"'!A:A"),0)),"")</f>
        <v/>
      </c>
      <c r="T7" s="321"/>
      <c r="U7" s="321"/>
      <c r="V7" s="321" t="str">
        <f t="shared" ref="V7" ca="1" si="6">IFERROR(INDEX(INDIRECT("'"&amp;V$3&amp;"'!L:L"),MATCH($D$1,INDIRECT("'"&amp;V$3&amp;"'!A:A"),0)),"")</f>
        <v/>
      </c>
      <c r="W7" s="321"/>
      <c r="X7" s="321"/>
      <c r="Y7" s="321" t="str">
        <f t="shared" ref="Y7" ca="1" si="7">IFERROR(INDEX(INDIRECT("'"&amp;Y$3&amp;"'!L:L"),MATCH($D$1,INDIRECT("'"&amp;Y$3&amp;"'!A:A"),0)),"")</f>
        <v/>
      </c>
      <c r="Z7" s="321"/>
      <c r="AA7" s="321"/>
      <c r="AC7" s="322" t="s">
        <v>254</v>
      </c>
      <c r="AD7" s="322"/>
      <c r="AE7" s="322" t="s">
        <v>27</v>
      </c>
      <c r="AF7" s="322"/>
      <c r="AG7" s="322" t="s">
        <v>226</v>
      </c>
      <c r="AH7" s="322"/>
      <c r="AI7" s="322" t="s">
        <v>15</v>
      </c>
      <c r="AJ7" s="322"/>
      <c r="AK7" s="322" t="s">
        <v>23</v>
      </c>
      <c r="AL7" s="322"/>
      <c r="AM7" s="322" t="s">
        <v>256</v>
      </c>
      <c r="AN7" s="322"/>
      <c r="AQ7" s="322" t="s">
        <v>254</v>
      </c>
      <c r="AR7" s="322"/>
      <c r="AS7" s="322" t="s">
        <v>27</v>
      </c>
      <c r="AT7" s="322"/>
      <c r="AU7" s="322" t="s">
        <v>226</v>
      </c>
      <c r="AV7" s="322"/>
      <c r="AW7" s="322" t="s">
        <v>15</v>
      </c>
      <c r="AX7" s="322"/>
      <c r="AY7" s="322" t="s">
        <v>23</v>
      </c>
      <c r="AZ7" s="322"/>
      <c r="BA7" s="322" t="s">
        <v>256</v>
      </c>
      <c r="BB7" s="322"/>
      <c r="BE7" s="187">
        <v>5</v>
      </c>
      <c r="BF7" s="317" t="s">
        <v>381</v>
      </c>
      <c r="BG7" s="317" t="s">
        <v>268</v>
      </c>
      <c r="BH7" s="317" t="s">
        <v>400</v>
      </c>
      <c r="BI7" s="317" t="s">
        <v>310</v>
      </c>
      <c r="BJ7" s="317" t="s">
        <v>310</v>
      </c>
      <c r="BK7" s="318" t="s">
        <v>310</v>
      </c>
      <c r="BL7" s="215" t="s">
        <v>724</v>
      </c>
      <c r="BM7" s="209" t="s">
        <v>724</v>
      </c>
      <c r="BN7" s="209" t="s">
        <v>724</v>
      </c>
      <c r="BO7" s="209" t="s">
        <v>724</v>
      </c>
      <c r="BP7" s="209"/>
      <c r="BQ7" s="210"/>
      <c r="BR7" s="319"/>
      <c r="BS7" s="317"/>
      <c r="BT7" s="317"/>
      <c r="BU7" s="320"/>
      <c r="BW7" s="285" t="b">
        <v>0</v>
      </c>
      <c r="BX7" s="192" t="s">
        <v>74</v>
      </c>
      <c r="BY7" s="178"/>
      <c r="BZ7" s="178"/>
      <c r="CA7" s="178"/>
      <c r="CB7" s="178"/>
      <c r="CC7" s="193"/>
      <c r="CD7" s="193"/>
      <c r="CE7" s="193"/>
      <c r="CF7" s="178"/>
      <c r="CG7" s="178"/>
      <c r="CH7" s="178"/>
      <c r="CM7" s="269" t="s">
        <v>147</v>
      </c>
      <c r="CN7" s="270">
        <v>46113</v>
      </c>
      <c r="CO7" s="269">
        <v>1</v>
      </c>
      <c r="CP7" s="269">
        <v>0</v>
      </c>
      <c r="CQ7" s="269">
        <v>0</v>
      </c>
      <c r="CR7" s="269">
        <v>0</v>
      </c>
      <c r="CS7" s="235"/>
    </row>
    <row r="8" spans="1:97" ht="22.5" customHeight="1">
      <c r="B8" s="338" t="s">
        <v>34</v>
      </c>
      <c r="C8" s="339"/>
      <c r="D8" s="339"/>
      <c r="E8" s="339"/>
      <c r="F8" s="340"/>
      <c r="G8" s="341">
        <v>1.1299999999999999</v>
      </c>
      <c r="H8" s="341"/>
      <c r="I8" s="341"/>
      <c r="J8" s="341">
        <v>1.0649999999999999</v>
      </c>
      <c r="K8" s="341"/>
      <c r="L8" s="341"/>
      <c r="M8" s="738">
        <f>M7/62</f>
        <v>1.096774193548387</v>
      </c>
      <c r="N8" s="738"/>
      <c r="O8" s="738"/>
      <c r="P8" s="341" t="str">
        <f ca="1">IFERROR(P7/(P1*DAY(EOMONTH(DATE(2024,LEFT(P3,LEN(P3)-1),1),0))),"")</f>
        <v/>
      </c>
      <c r="Q8" s="341"/>
      <c r="R8" s="341"/>
      <c r="S8" s="341" t="str">
        <f ca="1">IFERROR(S7/(S1*DAY(EOMONTH(DATE(2024,LEFT(S3,LEN(S3)-1),1),0))),"")</f>
        <v/>
      </c>
      <c r="T8" s="341"/>
      <c r="U8" s="341"/>
      <c r="V8" s="341" t="str">
        <f t="shared" ref="V8" ca="1" si="8">IFERROR(V7/(V1*DAY(EOMONTH(DATE(2024,LEFT(V3,LEN(V3)-1),1),0))),"")</f>
        <v/>
      </c>
      <c r="W8" s="341"/>
      <c r="X8" s="341"/>
      <c r="Y8" s="341" t="str">
        <f t="shared" ref="Y8" ca="1" si="9">IFERROR(Y7/(Y1*DAY(EOMONTH(DATE(2024,LEFT(Y3,LEN(Y3)-1),1),0))),"")</f>
        <v/>
      </c>
      <c r="Z8" s="341"/>
      <c r="AA8" s="341"/>
      <c r="AC8" s="330">
        <v>0</v>
      </c>
      <c r="AD8" s="330"/>
      <c r="AE8" s="330">
        <v>3</v>
      </c>
      <c r="AF8" s="330"/>
      <c r="AG8" s="330">
        <v>3</v>
      </c>
      <c r="AH8" s="330"/>
      <c r="AI8" s="330"/>
      <c r="AJ8" s="330"/>
      <c r="AK8" s="330"/>
      <c r="AL8" s="330"/>
      <c r="AM8" s="330"/>
      <c r="AN8" s="330"/>
      <c r="AQ8" s="330">
        <v>1</v>
      </c>
      <c r="AR8" s="330"/>
      <c r="AS8" s="330">
        <v>1</v>
      </c>
      <c r="AT8" s="330"/>
      <c r="AU8" s="330">
        <v>0</v>
      </c>
      <c r="AV8" s="330"/>
      <c r="AW8" s="330">
        <v>1</v>
      </c>
      <c r="AX8" s="330"/>
      <c r="AY8" s="330"/>
      <c r="AZ8" s="330"/>
      <c r="BA8" s="330"/>
      <c r="BB8" s="330"/>
      <c r="BE8" s="187">
        <v>6</v>
      </c>
      <c r="BF8" s="317" t="s">
        <v>381</v>
      </c>
      <c r="BG8" s="317" t="s">
        <v>268</v>
      </c>
      <c r="BH8" s="317" t="s">
        <v>401</v>
      </c>
      <c r="BI8" s="317" t="s">
        <v>311</v>
      </c>
      <c r="BJ8" s="317" t="s">
        <v>311</v>
      </c>
      <c r="BK8" s="318" t="s">
        <v>311</v>
      </c>
      <c r="BL8" s="215" t="s">
        <v>724</v>
      </c>
      <c r="BM8" s="209" t="s">
        <v>724</v>
      </c>
      <c r="BN8" s="209" t="s">
        <v>724</v>
      </c>
      <c r="BO8" s="209" t="s">
        <v>724</v>
      </c>
      <c r="BP8" s="209"/>
      <c r="BQ8" s="210"/>
      <c r="BR8" s="319"/>
      <c r="BS8" s="317"/>
      <c r="BT8" s="317" t="s">
        <v>267</v>
      </c>
      <c r="BU8" s="320"/>
      <c r="BW8" s="285" t="b">
        <v>0</v>
      </c>
      <c r="BX8" s="192" t="s">
        <v>72</v>
      </c>
      <c r="BY8" s="178"/>
      <c r="BZ8" s="178"/>
      <c r="CA8" s="178"/>
      <c r="CB8" s="178"/>
      <c r="CC8" s="193"/>
      <c r="CD8" s="193"/>
      <c r="CE8" s="193"/>
      <c r="CF8" s="178"/>
      <c r="CG8" s="178"/>
      <c r="CH8" s="178"/>
      <c r="CM8" s="269" t="s">
        <v>147</v>
      </c>
      <c r="CN8" s="270">
        <v>46113</v>
      </c>
      <c r="CO8" s="269" t="s">
        <v>904</v>
      </c>
      <c r="CP8" s="269">
        <v>0</v>
      </c>
      <c r="CQ8" s="269">
        <v>0</v>
      </c>
      <c r="CR8" s="269">
        <v>0</v>
      </c>
      <c r="CS8" s="235"/>
    </row>
    <row r="9" spans="1:97" ht="22.5" customHeight="1">
      <c r="B9" s="735" t="s">
        <v>175</v>
      </c>
      <c r="C9" s="736"/>
      <c r="D9" s="736"/>
      <c r="E9" s="736"/>
      <c r="F9" s="737"/>
      <c r="G9" s="321">
        <f ca="1">IFERROR(INDEX(INDIRECT("'"&amp;G$3&amp;"'!O:O"),MATCH($D$1,INDIRECT("'"&amp;G$3&amp;"'!A:A"),0)),"")</f>
        <v>560</v>
      </c>
      <c r="H9" s="321"/>
      <c r="I9" s="321"/>
      <c r="J9" s="321">
        <v>543</v>
      </c>
      <c r="K9" s="321"/>
      <c r="L9" s="321"/>
      <c r="M9" s="321">
        <v>537</v>
      </c>
      <c r="N9" s="321"/>
      <c r="O9" s="321"/>
      <c r="P9" s="321" t="str">
        <f ca="1">IFERROR(INDEX(INDIRECT("'"&amp;P$3&amp;"'!O:O"),MATCH($D$1,INDIRECT("'"&amp;P$3&amp;"'!A:A"),0)),"")</f>
        <v/>
      </c>
      <c r="Q9" s="321"/>
      <c r="R9" s="321"/>
      <c r="S9" s="321" t="str">
        <f ca="1">IFERROR(INDEX(INDIRECT("'"&amp;S$3&amp;"'!O:O"),MATCH($D$1,INDIRECT("'"&amp;S$3&amp;"'!A:A"),0)),"")</f>
        <v/>
      </c>
      <c r="T9" s="321"/>
      <c r="U9" s="321"/>
      <c r="V9" s="321" t="str">
        <f t="shared" ref="V9" ca="1" si="10">IFERROR(INDEX(INDIRECT("'"&amp;V$3&amp;"'!O:O"),MATCH($D$1,INDIRECT("'"&amp;V$3&amp;"'!A:A"),0)),"")</f>
        <v/>
      </c>
      <c r="W9" s="321"/>
      <c r="X9" s="321"/>
      <c r="Y9" s="321" t="str">
        <f t="shared" ref="Y9" ca="1" si="11">IFERROR(INDEX(INDIRECT("'"&amp;Y$3&amp;"'!O:O"),MATCH($D$1,INDIRECT("'"&amp;Y$3&amp;"'!A:A"),0)),"")</f>
        <v/>
      </c>
      <c r="Z9" s="321"/>
      <c r="AA9" s="321"/>
      <c r="AC9" s="179" t="s">
        <v>250</v>
      </c>
      <c r="AD9" s="179"/>
      <c r="AE9" s="179"/>
      <c r="AF9" s="179"/>
      <c r="AG9" s="179"/>
      <c r="AH9" s="179"/>
      <c r="AI9" s="179"/>
      <c r="AJ9" s="179"/>
      <c r="AK9" s="179"/>
      <c r="AL9" s="179"/>
      <c r="AM9" s="179"/>
      <c r="AN9" s="179"/>
      <c r="AO9" s="179"/>
      <c r="AP9" s="179"/>
      <c r="AQ9" s="180"/>
      <c r="AR9" s="179"/>
      <c r="AS9" s="179"/>
      <c r="AT9" s="179"/>
      <c r="AU9" s="179"/>
      <c r="AV9" s="179"/>
      <c r="AW9" s="179"/>
      <c r="AX9" s="179"/>
      <c r="AY9" s="179"/>
      <c r="AZ9" s="179"/>
      <c r="BA9" s="179"/>
      <c r="BB9" s="179"/>
      <c r="BE9" s="187">
        <v>7</v>
      </c>
      <c r="BF9" s="317" t="s">
        <v>381</v>
      </c>
      <c r="BG9" s="317" t="s">
        <v>268</v>
      </c>
      <c r="BH9" s="317" t="s">
        <v>707</v>
      </c>
      <c r="BI9" s="317" t="s">
        <v>315</v>
      </c>
      <c r="BJ9" s="317" t="s">
        <v>315</v>
      </c>
      <c r="BK9" s="318" t="s">
        <v>315</v>
      </c>
      <c r="BL9" s="215"/>
      <c r="BM9" s="209"/>
      <c r="BN9" s="209"/>
      <c r="BO9" s="209"/>
      <c r="BP9" s="209"/>
      <c r="BQ9" s="210"/>
      <c r="BR9" s="319"/>
      <c r="BS9" s="317"/>
      <c r="BT9" s="317"/>
      <c r="BU9" s="320"/>
      <c r="BW9" s="285" t="b">
        <v>0</v>
      </c>
      <c r="BX9" s="192" t="s">
        <v>73</v>
      </c>
      <c r="BY9" s="178"/>
      <c r="BZ9" s="178"/>
      <c r="CA9" s="178"/>
      <c r="CB9" s="178"/>
      <c r="CC9" s="193"/>
      <c r="CD9" s="193"/>
      <c r="CE9" s="193"/>
      <c r="CF9" s="178"/>
      <c r="CG9" s="178"/>
      <c r="CH9" s="178"/>
      <c r="CJ9" s="164"/>
      <c r="CM9" s="235"/>
      <c r="CN9" s="235"/>
      <c r="CO9" s="235"/>
      <c r="CP9" s="235"/>
      <c r="CQ9" s="235"/>
      <c r="CR9" s="235"/>
      <c r="CS9" s="235"/>
    </row>
    <row r="10" spans="1:97" ht="22.5" customHeight="1">
      <c r="B10" s="338" t="s">
        <v>35</v>
      </c>
      <c r="C10" s="339"/>
      <c r="D10" s="339"/>
      <c r="E10" s="339"/>
      <c r="F10" s="340"/>
      <c r="G10" s="341">
        <f ca="1">IFERROR(G9/G5,"")</f>
        <v>0.90322580645161288</v>
      </c>
      <c r="H10" s="341"/>
      <c r="I10" s="341"/>
      <c r="J10" s="341">
        <f>IFERROR(J9/J5,"")</f>
        <v>1.0018450184501846</v>
      </c>
      <c r="K10" s="341"/>
      <c r="L10" s="341"/>
      <c r="M10" s="341">
        <f>IFERROR(M9/M5,"")</f>
        <v>0.97814207650273222</v>
      </c>
      <c r="N10" s="341"/>
      <c r="O10" s="341"/>
      <c r="P10" s="341" t="str">
        <f ca="1">IFERROR(P9/P5,"")</f>
        <v/>
      </c>
      <c r="Q10" s="341"/>
      <c r="R10" s="341"/>
      <c r="S10" s="341" t="str">
        <f ca="1">IFERROR(S9/S5,"")</f>
        <v/>
      </c>
      <c r="T10" s="341"/>
      <c r="U10" s="341"/>
      <c r="V10" s="341" t="str">
        <f t="shared" ref="V10" ca="1" si="12">IFERROR(V9/V5,"")</f>
        <v/>
      </c>
      <c r="W10" s="341"/>
      <c r="X10" s="341"/>
      <c r="Y10" s="341" t="str">
        <f t="shared" ref="Y10" ca="1" si="13">IFERROR(Y9/Y5,"")</f>
        <v/>
      </c>
      <c r="Z10" s="341"/>
      <c r="AA10" s="341"/>
      <c r="AC10" s="342" t="s">
        <v>249</v>
      </c>
      <c r="AD10" s="343"/>
      <c r="AE10" s="343"/>
      <c r="AF10" s="343"/>
      <c r="AG10" s="343"/>
      <c r="AH10" s="343"/>
      <c r="AI10" s="343"/>
      <c r="AJ10" s="344"/>
      <c r="AK10" s="342" t="s">
        <v>63</v>
      </c>
      <c r="AL10" s="343"/>
      <c r="AM10" s="345"/>
      <c r="AN10" s="346" t="s">
        <v>111</v>
      </c>
      <c r="AO10" s="343"/>
      <c r="AP10" s="343"/>
      <c r="AQ10" s="343"/>
      <c r="AR10" s="343"/>
      <c r="AS10" s="343"/>
      <c r="AT10" s="343"/>
      <c r="AU10" s="343"/>
      <c r="AV10" s="343"/>
      <c r="AW10" s="343"/>
      <c r="AX10" s="343"/>
      <c r="AY10" s="343"/>
      <c r="AZ10" s="343"/>
      <c r="BA10" s="343"/>
      <c r="BB10" s="345"/>
      <c r="BE10" s="187">
        <v>8</v>
      </c>
      <c r="BF10" s="317" t="s">
        <v>381</v>
      </c>
      <c r="BG10" s="317" t="s">
        <v>268</v>
      </c>
      <c r="BH10" s="317" t="s">
        <v>708</v>
      </c>
      <c r="BI10" s="317" t="s">
        <v>316</v>
      </c>
      <c r="BJ10" s="317" t="s">
        <v>316</v>
      </c>
      <c r="BK10" s="318" t="s">
        <v>316</v>
      </c>
      <c r="BL10" s="215"/>
      <c r="BM10" s="209"/>
      <c r="BN10" s="209"/>
      <c r="BO10" s="209"/>
      <c r="BP10" s="209"/>
      <c r="BQ10" s="210"/>
      <c r="BR10" s="319"/>
      <c r="BS10" s="317"/>
      <c r="BT10" s="317"/>
      <c r="BU10" s="320"/>
      <c r="BW10" s="285" t="b">
        <v>0</v>
      </c>
      <c r="BX10" s="192" t="s">
        <v>76</v>
      </c>
      <c r="BY10" s="178"/>
      <c r="BZ10" s="178"/>
      <c r="CA10" s="178"/>
      <c r="CB10" s="178"/>
      <c r="CC10" s="193"/>
      <c r="CD10" s="193"/>
      <c r="CE10" s="193"/>
      <c r="CF10" s="178"/>
      <c r="CG10" s="178"/>
      <c r="CH10" s="178"/>
      <c r="CM10" s="235"/>
      <c r="CN10" s="235"/>
      <c r="CO10" s="235"/>
      <c r="CP10" s="235"/>
      <c r="CQ10" s="235"/>
      <c r="CR10" s="235"/>
      <c r="CS10" s="235"/>
    </row>
    <row r="11" spans="1:97" ht="22.5" customHeight="1">
      <c r="B11" s="335" t="s">
        <v>179</v>
      </c>
      <c r="C11" s="336"/>
      <c r="D11" s="336"/>
      <c r="E11" s="336"/>
      <c r="F11" s="337"/>
      <c r="G11" s="321">
        <f ca="1">IFERROR(INDEX(INDIRECT("'"&amp;G$3&amp;"'!R:R"),MATCH($D$1,INDIRECT("'"&amp;G$3&amp;"'!A:A"),0)),"")</f>
        <v>244</v>
      </c>
      <c r="H11" s="321"/>
      <c r="I11" s="321"/>
      <c r="J11" s="321">
        <v>211</v>
      </c>
      <c r="K11" s="321"/>
      <c r="L11" s="321"/>
      <c r="M11" s="321">
        <v>200</v>
      </c>
      <c r="N11" s="321"/>
      <c r="O11" s="321"/>
      <c r="P11" s="321" t="str">
        <f ca="1">IFERROR(INDEX(INDIRECT("'"&amp;P$3&amp;"'!R:R"),MATCH($D$1,INDIRECT("'"&amp;P$3&amp;"'!A:A"),0)),"")</f>
        <v/>
      </c>
      <c r="Q11" s="321"/>
      <c r="R11" s="321"/>
      <c r="S11" s="321" t="str">
        <f ca="1">IFERROR(INDEX(INDIRECT("'"&amp;S$3&amp;"'!R:R"),MATCH($D$1,INDIRECT("'"&amp;S$3&amp;"'!A:A"),0)),"")</f>
        <v/>
      </c>
      <c r="T11" s="321"/>
      <c r="U11" s="321"/>
      <c r="V11" s="321" t="str">
        <f t="shared" ref="V11" ca="1" si="14">IFERROR(INDEX(INDIRECT("'"&amp;V$3&amp;"'!R:R"),MATCH($D$1,INDIRECT("'"&amp;V$3&amp;"'!A:A"),0)),"")</f>
        <v/>
      </c>
      <c r="W11" s="321"/>
      <c r="X11" s="321"/>
      <c r="Y11" s="321" t="str">
        <f t="shared" ref="Y11" ca="1" si="15">IFERROR(INDEX(INDIRECT("'"&amp;Y$3&amp;"'!R:R"),MATCH($D$1,INDIRECT("'"&amp;Y$3&amp;"'!A:A"),0)),"")</f>
        <v/>
      </c>
      <c r="Z11" s="321"/>
      <c r="AA11" s="321"/>
      <c r="AC11" s="354" t="s">
        <v>746</v>
      </c>
      <c r="AD11" s="355"/>
      <c r="AE11" s="355"/>
      <c r="AF11" s="355"/>
      <c r="AG11" s="355"/>
      <c r="AH11" s="355"/>
      <c r="AI11" s="355"/>
      <c r="AJ11" s="356"/>
      <c r="AK11" s="357" t="s">
        <v>745</v>
      </c>
      <c r="AL11" s="358"/>
      <c r="AM11" s="203" t="s">
        <v>730</v>
      </c>
      <c r="AN11" s="359" t="s">
        <v>764</v>
      </c>
      <c r="AO11" s="355"/>
      <c r="AP11" s="355"/>
      <c r="AQ11" s="355"/>
      <c r="AR11" s="355"/>
      <c r="AS11" s="355"/>
      <c r="AT11" s="355"/>
      <c r="AU11" s="355"/>
      <c r="AV11" s="355"/>
      <c r="AW11" s="355"/>
      <c r="AX11" s="355"/>
      <c r="AY11" s="355"/>
      <c r="AZ11" s="355"/>
      <c r="BA11" s="355"/>
      <c r="BB11" s="360"/>
      <c r="BE11" s="187">
        <v>9</v>
      </c>
      <c r="BF11" s="317" t="s">
        <v>382</v>
      </c>
      <c r="BG11" s="317" t="s">
        <v>269</v>
      </c>
      <c r="BH11" s="317" t="s">
        <v>402</v>
      </c>
      <c r="BI11" s="317" t="s">
        <v>312</v>
      </c>
      <c r="BJ11" s="317" t="s">
        <v>312</v>
      </c>
      <c r="BK11" s="318" t="s">
        <v>312</v>
      </c>
      <c r="BL11" s="215" t="s">
        <v>724</v>
      </c>
      <c r="BM11" s="209" t="s">
        <v>724</v>
      </c>
      <c r="BN11" s="209" t="s">
        <v>724</v>
      </c>
      <c r="BO11" s="209"/>
      <c r="BP11" s="209"/>
      <c r="BQ11" s="210"/>
      <c r="BR11" s="319"/>
      <c r="BS11" s="317"/>
      <c r="BT11" s="317"/>
      <c r="BU11" s="320"/>
      <c r="BW11" s="285" t="b">
        <v>0</v>
      </c>
      <c r="BX11" s="192" t="s">
        <v>239</v>
      </c>
      <c r="BY11" s="178"/>
      <c r="BZ11" s="178"/>
      <c r="CA11" s="178"/>
      <c r="CB11" s="178"/>
      <c r="CC11" s="193"/>
      <c r="CD11" s="193"/>
      <c r="CE11" s="193"/>
      <c r="CF11" s="178"/>
      <c r="CG11" s="178"/>
      <c r="CH11" s="178"/>
      <c r="CM11" s="235"/>
      <c r="CN11" s="235"/>
      <c r="CO11" s="235"/>
      <c r="CP11" s="235"/>
      <c r="CQ11" s="235"/>
      <c r="CR11" s="235"/>
      <c r="CS11" s="235"/>
    </row>
    <row r="12" spans="1:97" ht="22.5" customHeight="1">
      <c r="B12" s="338" t="s">
        <v>218</v>
      </c>
      <c r="C12" s="339"/>
      <c r="D12" s="339"/>
      <c r="E12" s="339"/>
      <c r="F12" s="340"/>
      <c r="G12" s="341">
        <f ca="1">IFERROR(G11/G5,"")</f>
        <v>0.3935483870967742</v>
      </c>
      <c r="H12" s="341"/>
      <c r="I12" s="341"/>
      <c r="J12" s="341">
        <f>IFERROR(J11/J5,"")</f>
        <v>0.38929889298892989</v>
      </c>
      <c r="K12" s="341"/>
      <c r="L12" s="341"/>
      <c r="M12" s="341">
        <f>IFERROR(M11/M5,"")</f>
        <v>0.36429872495446264</v>
      </c>
      <c r="N12" s="341"/>
      <c r="O12" s="341"/>
      <c r="P12" s="341" t="str">
        <f ca="1">IFERROR(P11/P5,"")</f>
        <v/>
      </c>
      <c r="Q12" s="341"/>
      <c r="R12" s="341"/>
      <c r="S12" s="341" t="str">
        <f ca="1">IFERROR(S11/S5,"")</f>
        <v/>
      </c>
      <c r="T12" s="341"/>
      <c r="U12" s="341"/>
      <c r="V12" s="341" t="str">
        <f t="shared" ref="V12" ca="1" si="16">IFERROR(V11/V5,"")</f>
        <v/>
      </c>
      <c r="W12" s="341"/>
      <c r="X12" s="341"/>
      <c r="Y12" s="341" t="str">
        <f t="shared" ref="Y12" ca="1" si="17">IFERROR(Y11/Y5,"")</f>
        <v/>
      </c>
      <c r="Z12" s="341"/>
      <c r="AA12" s="341"/>
      <c r="AC12" s="347" t="s">
        <v>759</v>
      </c>
      <c r="AD12" s="348"/>
      <c r="AE12" s="348"/>
      <c r="AF12" s="348"/>
      <c r="AG12" s="348"/>
      <c r="AH12" s="348"/>
      <c r="AI12" s="348"/>
      <c r="AJ12" s="349"/>
      <c r="AK12" s="350">
        <v>3</v>
      </c>
      <c r="AL12" s="351"/>
      <c r="AM12" s="202" t="s">
        <v>750</v>
      </c>
      <c r="AN12" s="352" t="s">
        <v>751</v>
      </c>
      <c r="AO12" s="348"/>
      <c r="AP12" s="348"/>
      <c r="AQ12" s="348"/>
      <c r="AR12" s="348"/>
      <c r="AS12" s="348"/>
      <c r="AT12" s="348"/>
      <c r="AU12" s="348"/>
      <c r="AV12" s="348"/>
      <c r="AW12" s="348"/>
      <c r="AX12" s="348"/>
      <c r="AY12" s="348"/>
      <c r="AZ12" s="348"/>
      <c r="BA12" s="348"/>
      <c r="BB12" s="353"/>
      <c r="BE12" s="187">
        <v>10</v>
      </c>
      <c r="BF12" s="317" t="s">
        <v>382</v>
      </c>
      <c r="BG12" s="317" t="s">
        <v>269</v>
      </c>
      <c r="BH12" s="317" t="s">
        <v>403</v>
      </c>
      <c r="BI12" s="317" t="s">
        <v>313</v>
      </c>
      <c r="BJ12" s="317" t="s">
        <v>313</v>
      </c>
      <c r="BK12" s="318" t="s">
        <v>313</v>
      </c>
      <c r="BL12" s="215" t="s">
        <v>724</v>
      </c>
      <c r="BM12" s="209" t="s">
        <v>724</v>
      </c>
      <c r="BN12" s="209"/>
      <c r="BO12" s="209"/>
      <c r="BP12" s="209"/>
      <c r="BQ12" s="210"/>
      <c r="BR12" s="319" t="s">
        <v>228</v>
      </c>
      <c r="BS12" s="317" t="s">
        <v>267</v>
      </c>
      <c r="BT12" s="317"/>
      <c r="BU12" s="320"/>
      <c r="BW12" s="285" t="b">
        <v>0</v>
      </c>
      <c r="BX12" s="192" t="s">
        <v>77</v>
      </c>
      <c r="BY12" s="178"/>
      <c r="BZ12" s="178"/>
      <c r="CA12" s="178"/>
      <c r="CB12" s="178"/>
      <c r="CC12" s="193"/>
      <c r="CD12" s="193"/>
      <c r="CE12" s="193"/>
      <c r="CF12" s="178"/>
      <c r="CG12" s="178"/>
      <c r="CH12" s="178"/>
      <c r="CM12" s="235"/>
      <c r="CN12" s="235"/>
      <c r="CO12" s="235"/>
      <c r="CP12" s="235"/>
      <c r="CQ12" s="235"/>
      <c r="CR12" s="235"/>
      <c r="CS12" s="235"/>
    </row>
    <row r="13" spans="1:97" ht="22.5" customHeight="1">
      <c r="B13" s="335" t="s">
        <v>47</v>
      </c>
      <c r="C13" s="336"/>
      <c r="D13" s="336"/>
      <c r="E13" s="336"/>
      <c r="F13" s="337"/>
      <c r="G13" s="361">
        <f ca="1">IFERROR(INDEX(INDIRECT("'"&amp;G$3&amp;"'!M:M"),MATCH($D$1,INDIRECT("'"&amp;G$3&amp;"'!A:A"),0)),"")</f>
        <v>0</v>
      </c>
      <c r="H13" s="361"/>
      <c r="I13" s="361"/>
      <c r="J13" s="361" t="str">
        <f ca="1">IFERROR(INDEX(INDIRECT("'"&amp;J$3&amp;"'!M:M"),MATCH($D$1,INDIRECT("'"&amp;J$3&amp;"'!A:A"),0)),"")</f>
        <v/>
      </c>
      <c r="K13" s="361"/>
      <c r="L13" s="361"/>
      <c r="M13" s="361" t="str">
        <f ca="1">IFERROR(INDEX(INDIRECT("'"&amp;M$3&amp;"'!M:M"),MATCH($D$1,INDIRECT("'"&amp;M$3&amp;"'!A:A"),0)),"")</f>
        <v/>
      </c>
      <c r="N13" s="361"/>
      <c r="O13" s="361"/>
      <c r="P13" s="361" t="str">
        <f ca="1">IFERROR(INDEX(INDIRECT("'"&amp;P$3&amp;"'!M:M"),MATCH($D$1,INDIRECT("'"&amp;P$3&amp;"'!A:A"),0)),"")</f>
        <v/>
      </c>
      <c r="Q13" s="361"/>
      <c r="R13" s="361"/>
      <c r="S13" s="361" t="str">
        <f ca="1">IFERROR(INDEX(INDIRECT("'"&amp;S$3&amp;"'!M:M"),MATCH($D$1,INDIRECT("'"&amp;S$3&amp;"'!A:A"),0)),"")</f>
        <v/>
      </c>
      <c r="T13" s="361"/>
      <c r="U13" s="361"/>
      <c r="V13" s="361" t="str">
        <f t="shared" ref="V13" ca="1" si="18">IFERROR(INDEX(INDIRECT("'"&amp;V$3&amp;"'!M:M"),MATCH($D$1,INDIRECT("'"&amp;V$3&amp;"'!A:A"),0)),"")</f>
        <v/>
      </c>
      <c r="W13" s="361"/>
      <c r="X13" s="361"/>
      <c r="Y13" s="361" t="str">
        <f t="shared" ref="Y13" ca="1" si="19">IFERROR(INDEX(INDIRECT("'"&amp;Y$3&amp;"'!M:M"),MATCH($D$1,INDIRECT("'"&amp;Y$3&amp;"'!A:A"),0)),"")</f>
        <v/>
      </c>
      <c r="Z13" s="361"/>
      <c r="AA13" s="361"/>
      <c r="AC13" s="367" t="s">
        <v>747</v>
      </c>
      <c r="AD13" s="368"/>
      <c r="AE13" s="368"/>
      <c r="AF13" s="368"/>
      <c r="AG13" s="368"/>
      <c r="AH13" s="368"/>
      <c r="AI13" s="368"/>
      <c r="AJ13" s="369"/>
      <c r="AK13" s="370" t="s">
        <v>748</v>
      </c>
      <c r="AL13" s="371"/>
      <c r="AM13" s="204"/>
      <c r="AN13" s="372" t="s">
        <v>749</v>
      </c>
      <c r="AO13" s="368"/>
      <c r="AP13" s="368"/>
      <c r="AQ13" s="368"/>
      <c r="AR13" s="368"/>
      <c r="AS13" s="368"/>
      <c r="AT13" s="368"/>
      <c r="AU13" s="368"/>
      <c r="AV13" s="368"/>
      <c r="AW13" s="368"/>
      <c r="AX13" s="368"/>
      <c r="AY13" s="368"/>
      <c r="AZ13" s="368"/>
      <c r="BA13" s="368"/>
      <c r="BB13" s="373"/>
      <c r="BE13" s="187">
        <v>11</v>
      </c>
      <c r="BF13" s="317" t="s">
        <v>382</v>
      </c>
      <c r="BG13" s="317" t="s">
        <v>269</v>
      </c>
      <c r="BH13" s="317" t="s">
        <v>404</v>
      </c>
      <c r="BI13" s="317" t="s">
        <v>314</v>
      </c>
      <c r="BJ13" s="317" t="s">
        <v>314</v>
      </c>
      <c r="BK13" s="318" t="s">
        <v>314</v>
      </c>
      <c r="BL13" s="215"/>
      <c r="BM13" s="209"/>
      <c r="BN13" s="209"/>
      <c r="BO13" s="209"/>
      <c r="BP13" s="209"/>
      <c r="BQ13" s="210"/>
      <c r="BR13" s="362"/>
      <c r="BS13" s="319"/>
      <c r="BT13" s="317"/>
      <c r="BU13" s="320"/>
      <c r="BW13" s="285" t="b">
        <v>0</v>
      </c>
      <c r="BX13" s="192" t="s">
        <v>78</v>
      </c>
      <c r="BY13" s="178"/>
      <c r="BZ13" s="178"/>
      <c r="CA13" s="178"/>
      <c r="CB13" s="178"/>
      <c r="CC13" s="193"/>
      <c r="CD13" s="193"/>
      <c r="CE13" s="193"/>
      <c r="CF13" s="178"/>
      <c r="CG13" s="178"/>
      <c r="CH13" s="178"/>
    </row>
    <row r="14" spans="1:97" ht="22.5" customHeight="1" thickBot="1">
      <c r="A14" s="201" t="s">
        <v>251</v>
      </c>
      <c r="B14" s="363" t="s">
        <v>227</v>
      </c>
      <c r="C14" s="364"/>
      <c r="D14" s="364"/>
      <c r="E14" s="364"/>
      <c r="F14" s="365"/>
      <c r="G14" s="366"/>
      <c r="H14" s="366"/>
      <c r="I14" s="366"/>
      <c r="J14" s="366"/>
      <c r="K14" s="366"/>
      <c r="L14" s="366"/>
      <c r="M14" s="366"/>
      <c r="N14" s="366"/>
      <c r="O14" s="366"/>
      <c r="P14" s="366"/>
      <c r="Q14" s="366"/>
      <c r="R14" s="366"/>
      <c r="S14" s="366"/>
      <c r="T14" s="366"/>
      <c r="U14" s="366"/>
      <c r="V14" s="366"/>
      <c r="W14" s="366"/>
      <c r="X14" s="366"/>
      <c r="Y14" s="366"/>
      <c r="Z14" s="366"/>
      <c r="AA14" s="366"/>
      <c r="AC14" s="367"/>
      <c r="AD14" s="368"/>
      <c r="AE14" s="368"/>
      <c r="AF14" s="368"/>
      <c r="AG14" s="368"/>
      <c r="AH14" s="368"/>
      <c r="AI14" s="368"/>
      <c r="AJ14" s="369"/>
      <c r="AK14" s="370"/>
      <c r="AL14" s="371"/>
      <c r="AM14" s="204"/>
      <c r="AN14" s="372"/>
      <c r="AO14" s="368"/>
      <c r="AP14" s="368"/>
      <c r="AQ14" s="368"/>
      <c r="AR14" s="368"/>
      <c r="AS14" s="368"/>
      <c r="AT14" s="368"/>
      <c r="AU14" s="368"/>
      <c r="AV14" s="368"/>
      <c r="AW14" s="368"/>
      <c r="AX14" s="368"/>
      <c r="AY14" s="368"/>
      <c r="AZ14" s="368"/>
      <c r="BA14" s="368"/>
      <c r="BB14" s="373"/>
      <c r="BE14" s="187">
        <v>12</v>
      </c>
      <c r="BF14" s="317"/>
      <c r="BG14" s="317"/>
      <c r="BH14" s="317"/>
      <c r="BI14" s="317"/>
      <c r="BJ14" s="317"/>
      <c r="BK14" s="318"/>
      <c r="BL14" s="215"/>
      <c r="BM14" s="209"/>
      <c r="BN14" s="209"/>
      <c r="BO14" s="209"/>
      <c r="BP14" s="209"/>
      <c r="BQ14" s="210"/>
      <c r="BR14" s="362"/>
      <c r="BS14" s="319"/>
      <c r="BT14" s="317"/>
      <c r="BU14" s="320"/>
      <c r="BW14" s="285" t="b">
        <v>0</v>
      </c>
      <c r="BX14" s="192" t="s">
        <v>79</v>
      </c>
      <c r="BY14" s="178"/>
      <c r="BZ14" s="178"/>
      <c r="CA14" s="178"/>
      <c r="CB14" s="178"/>
      <c r="CC14" s="178"/>
      <c r="CD14" s="178"/>
      <c r="CE14" s="178"/>
      <c r="CF14" s="178"/>
      <c r="CG14" s="178"/>
      <c r="CH14" s="178"/>
    </row>
    <row r="15" spans="1:97" ht="22.5" customHeight="1" thickTop="1">
      <c r="B15" s="739" t="s">
        <v>264</v>
      </c>
      <c r="C15" s="740"/>
      <c r="D15" s="740"/>
      <c r="E15" s="740"/>
      <c r="F15" s="741"/>
      <c r="G15" s="385">
        <f ca="1">IFERROR(INDEX(INDIRECT("'"&amp;G$3&amp;"'!X:X"),MATCH($D$1,INDIRECT("'"&amp;G$3&amp;"'!A:A"),0)),"")</f>
        <v>762537.77600000007</v>
      </c>
      <c r="H15" s="385"/>
      <c r="I15" s="385"/>
      <c r="J15" s="385">
        <v>681529</v>
      </c>
      <c r="K15" s="385"/>
      <c r="L15" s="385"/>
      <c r="M15" s="385">
        <v>668571</v>
      </c>
      <c r="N15" s="385"/>
      <c r="O15" s="385"/>
      <c r="P15" s="385" t="str">
        <f ca="1">IFERROR(INDEX(INDIRECT("'"&amp;P$3&amp;"'!X:X"),MATCH($D$1,INDIRECT("'"&amp;P$3&amp;"'!A:A"),0)),"")</f>
        <v/>
      </c>
      <c r="Q15" s="385"/>
      <c r="R15" s="385"/>
      <c r="S15" s="385" t="str">
        <f ca="1">IFERROR(INDEX(INDIRECT("'"&amp;S$3&amp;"'!X:X"),MATCH($D$1,INDIRECT("'"&amp;S$3&amp;"'!A:A"),0)),"")</f>
        <v/>
      </c>
      <c r="T15" s="385"/>
      <c r="U15" s="385"/>
      <c r="V15" s="386" t="s">
        <v>266</v>
      </c>
      <c r="W15" s="387"/>
      <c r="X15" s="388">
        <f ca="1">AVERAGE(G15:U15)</f>
        <v>704212.59200000006</v>
      </c>
      <c r="Y15" s="388"/>
      <c r="Z15" s="388"/>
      <c r="AA15" s="389"/>
      <c r="AB15" s="162"/>
      <c r="BE15" s="187">
        <v>13</v>
      </c>
      <c r="BF15" s="317"/>
      <c r="BG15" s="317"/>
      <c r="BH15" s="317"/>
      <c r="BI15" s="317"/>
      <c r="BJ15" s="317"/>
      <c r="BK15" s="318"/>
      <c r="BL15" s="215"/>
      <c r="BM15" s="209"/>
      <c r="BN15" s="209"/>
      <c r="BO15" s="209"/>
      <c r="BP15" s="209"/>
      <c r="BQ15" s="210"/>
      <c r="BR15" s="362"/>
      <c r="BS15" s="319"/>
      <c r="BT15" s="317"/>
      <c r="BU15" s="320"/>
      <c r="BW15" s="285" t="b">
        <v>0</v>
      </c>
      <c r="BX15" s="192" t="s">
        <v>80</v>
      </c>
      <c r="BY15" s="178"/>
      <c r="BZ15" s="178"/>
      <c r="CA15" s="178"/>
      <c r="CB15" s="178"/>
      <c r="CC15" s="178"/>
      <c r="CD15" s="178"/>
      <c r="CE15" s="178"/>
      <c r="CF15" s="178"/>
      <c r="CG15" s="178"/>
      <c r="CH15" s="178"/>
    </row>
    <row r="16" spans="1:97" s="164" customFormat="1" ht="22.5" customHeight="1" thickBot="1">
      <c r="V16" s="220"/>
      <c r="W16" s="220"/>
      <c r="X16" s="220"/>
      <c r="Y16" s="220"/>
      <c r="Z16" s="220"/>
      <c r="AA16" s="220"/>
      <c r="AB16" s="162"/>
      <c r="AC16" s="722" t="s">
        <v>236</v>
      </c>
      <c r="AD16" s="723"/>
      <c r="AE16" s="723"/>
      <c r="AF16" s="723"/>
      <c r="AG16" s="723"/>
      <c r="AH16" s="723"/>
      <c r="AI16" s="723"/>
      <c r="AJ16" s="724"/>
      <c r="AK16" s="377" t="s">
        <v>254</v>
      </c>
      <c r="AL16" s="378"/>
      <c r="AM16" s="379"/>
      <c r="AN16" s="380" t="s">
        <v>27</v>
      </c>
      <c r="AO16" s="378"/>
      <c r="AP16" s="381"/>
      <c r="AQ16" s="377" t="s">
        <v>226</v>
      </c>
      <c r="AR16" s="378"/>
      <c r="AS16" s="379"/>
      <c r="AT16" s="380" t="s">
        <v>14</v>
      </c>
      <c r="AU16" s="378"/>
      <c r="AV16" s="381"/>
      <c r="AW16" s="377" t="s">
        <v>22</v>
      </c>
      <c r="AX16" s="378"/>
      <c r="AY16" s="379"/>
      <c r="AZ16" s="380" t="s">
        <v>1</v>
      </c>
      <c r="BA16" s="378"/>
      <c r="BB16" s="379"/>
      <c r="BE16" s="187">
        <v>14</v>
      </c>
      <c r="BF16" s="317" t="s">
        <v>382</v>
      </c>
      <c r="BG16" s="317" t="s">
        <v>269</v>
      </c>
      <c r="BH16" s="317" t="s">
        <v>405</v>
      </c>
      <c r="BI16" s="317" t="s">
        <v>317</v>
      </c>
      <c r="BJ16" s="317" t="s">
        <v>317</v>
      </c>
      <c r="BK16" s="318" t="s">
        <v>317</v>
      </c>
      <c r="BL16" s="215"/>
      <c r="BM16" s="209"/>
      <c r="BN16" s="209"/>
      <c r="BO16" s="209"/>
      <c r="BP16" s="209"/>
      <c r="BQ16" s="210"/>
      <c r="BR16" s="319" t="s">
        <v>228</v>
      </c>
      <c r="BS16" s="317" t="s">
        <v>267</v>
      </c>
      <c r="BT16" s="317"/>
      <c r="BU16" s="320"/>
      <c r="BW16" s="285" t="b">
        <v>0</v>
      </c>
      <c r="BX16" s="192" t="s">
        <v>81</v>
      </c>
      <c r="BY16" s="194"/>
      <c r="BZ16" s="194"/>
      <c r="CA16" s="194"/>
      <c r="CB16" s="194"/>
      <c r="CC16" s="194"/>
      <c r="CD16" s="194"/>
      <c r="CE16" s="194"/>
      <c r="CF16" s="194"/>
      <c r="CG16" s="194"/>
      <c r="CH16" s="194"/>
      <c r="CJ16" s="161"/>
    </row>
    <row r="17" spans="2:86" ht="22.5" customHeight="1" thickBot="1">
      <c r="B17" s="761">
        <f ca="1">NOW()</f>
        <v>46202.751855324073</v>
      </c>
      <c r="C17" s="762"/>
      <c r="D17" s="762"/>
      <c r="E17" s="762"/>
      <c r="F17" s="763"/>
      <c r="G17" s="764" t="s">
        <v>777</v>
      </c>
      <c r="H17" s="764"/>
      <c r="I17" s="765"/>
      <c r="J17" s="766" t="s">
        <v>778</v>
      </c>
      <c r="K17" s="764"/>
      <c r="L17" s="765"/>
      <c r="M17" s="766" t="s">
        <v>779</v>
      </c>
      <c r="N17" s="764"/>
      <c r="O17" s="765"/>
      <c r="P17" s="766" t="s">
        <v>780</v>
      </c>
      <c r="Q17" s="764"/>
      <c r="R17" s="765"/>
      <c r="S17" s="766" t="s">
        <v>781</v>
      </c>
      <c r="T17" s="764"/>
      <c r="U17" s="767"/>
      <c r="V17" s="304" t="s">
        <v>782</v>
      </c>
      <c r="W17" s="304"/>
      <c r="X17" s="305"/>
      <c r="Y17" s="249"/>
      <c r="Z17" s="249"/>
      <c r="AA17" s="250"/>
      <c r="AB17" s="165"/>
      <c r="AC17" s="392" t="s">
        <v>234</v>
      </c>
      <c r="AD17" s="393"/>
      <c r="AE17" s="393"/>
      <c r="AF17" s="394"/>
      <c r="AG17" s="398" t="s">
        <v>262</v>
      </c>
      <c r="AH17" s="399"/>
      <c r="AI17" s="399"/>
      <c r="AJ17" s="400"/>
      <c r="AK17" s="401">
        <v>11.4</v>
      </c>
      <c r="AL17" s="402"/>
      <c r="AM17" s="403"/>
      <c r="AN17" s="404">
        <v>11.2</v>
      </c>
      <c r="AO17" s="402"/>
      <c r="AP17" s="405"/>
      <c r="AQ17" s="401">
        <v>11.2</v>
      </c>
      <c r="AR17" s="402"/>
      <c r="AS17" s="403"/>
      <c r="AT17" s="404">
        <v>11.2</v>
      </c>
      <c r="AU17" s="402"/>
      <c r="AV17" s="405"/>
      <c r="AW17" s="401"/>
      <c r="AX17" s="402"/>
      <c r="AY17" s="403"/>
      <c r="AZ17" s="404"/>
      <c r="BA17" s="402"/>
      <c r="BB17" s="403"/>
      <c r="BE17" s="187">
        <v>15</v>
      </c>
      <c r="BF17" s="317" t="s">
        <v>382</v>
      </c>
      <c r="BG17" s="317" t="s">
        <v>269</v>
      </c>
      <c r="BH17" s="317" t="s">
        <v>406</v>
      </c>
      <c r="BI17" s="317" t="s">
        <v>318</v>
      </c>
      <c r="BJ17" s="317" t="s">
        <v>318</v>
      </c>
      <c r="BK17" s="318" t="s">
        <v>318</v>
      </c>
      <c r="BL17" s="215"/>
      <c r="BM17" s="209"/>
      <c r="BN17" s="209"/>
      <c r="BO17" s="209"/>
      <c r="BP17" s="209"/>
      <c r="BQ17" s="210"/>
      <c r="BR17" s="319"/>
      <c r="BS17" s="317"/>
      <c r="BT17" s="317"/>
      <c r="BU17" s="320"/>
      <c r="BX17" s="178"/>
      <c r="BY17" s="178"/>
      <c r="BZ17" s="178"/>
      <c r="CA17" s="178"/>
      <c r="CB17" s="178"/>
      <c r="CC17" s="178"/>
      <c r="CD17" s="178"/>
      <c r="CE17" s="178"/>
      <c r="CF17" s="178"/>
      <c r="CG17" s="178"/>
      <c r="CH17" s="178"/>
    </row>
    <row r="18" spans="2:86" ht="22.5" customHeight="1">
      <c r="B18" s="768" t="s">
        <v>32</v>
      </c>
      <c r="C18" s="769"/>
      <c r="D18" s="769"/>
      <c r="E18" s="769"/>
      <c r="F18" s="770"/>
      <c r="G18" s="771">
        <v>20</v>
      </c>
      <c r="H18" s="772"/>
      <c r="I18" s="772"/>
      <c r="J18" s="772">
        <v>20</v>
      </c>
      <c r="K18" s="772"/>
      <c r="L18" s="772"/>
      <c r="M18" s="772">
        <v>20</v>
      </c>
      <c r="N18" s="772"/>
      <c r="O18" s="772"/>
      <c r="P18" s="772">
        <v>20</v>
      </c>
      <c r="Q18" s="772"/>
      <c r="R18" s="772"/>
      <c r="S18" s="772"/>
      <c r="T18" s="772"/>
      <c r="U18" s="773"/>
      <c r="V18" s="781"/>
      <c r="W18" s="782"/>
      <c r="X18" s="782"/>
      <c r="Y18" s="251"/>
      <c r="Z18" s="251"/>
      <c r="AA18" s="252"/>
      <c r="AB18" s="162"/>
      <c r="AC18" s="395"/>
      <c r="AD18" s="396"/>
      <c r="AE18" s="396"/>
      <c r="AF18" s="397"/>
      <c r="AG18" s="407" t="s">
        <v>50</v>
      </c>
      <c r="AH18" s="408"/>
      <c r="AI18" s="408"/>
      <c r="AJ18" s="409"/>
      <c r="AK18" s="410">
        <f>89/160</f>
        <v>0.55625000000000002</v>
      </c>
      <c r="AL18" s="411"/>
      <c r="AM18" s="412"/>
      <c r="AN18" s="413">
        <v>0.51</v>
      </c>
      <c r="AO18" s="411"/>
      <c r="AP18" s="414"/>
      <c r="AQ18" s="410">
        <v>0.8</v>
      </c>
      <c r="AR18" s="411"/>
      <c r="AS18" s="412"/>
      <c r="AT18" s="413">
        <v>0.3</v>
      </c>
      <c r="AU18" s="411"/>
      <c r="AV18" s="414"/>
      <c r="AW18" s="410"/>
      <c r="AX18" s="411"/>
      <c r="AY18" s="412"/>
      <c r="AZ18" s="413"/>
      <c r="BA18" s="411"/>
      <c r="BB18" s="412"/>
      <c r="BE18" s="187">
        <v>16</v>
      </c>
      <c r="BF18" s="317" t="s">
        <v>382</v>
      </c>
      <c r="BG18" s="317" t="s">
        <v>269</v>
      </c>
      <c r="BH18" s="317" t="s">
        <v>407</v>
      </c>
      <c r="BI18" s="317" t="s">
        <v>319</v>
      </c>
      <c r="BJ18" s="317" t="s">
        <v>319</v>
      </c>
      <c r="BK18" s="318" t="s">
        <v>319</v>
      </c>
      <c r="BL18" s="215" t="s">
        <v>724</v>
      </c>
      <c r="BM18" s="209" t="s">
        <v>724</v>
      </c>
      <c r="BN18" s="209"/>
      <c r="BO18" s="209"/>
      <c r="BP18" s="209"/>
      <c r="BQ18" s="210"/>
      <c r="BR18" s="319" t="s">
        <v>228</v>
      </c>
      <c r="BS18" s="317" t="s">
        <v>267</v>
      </c>
      <c r="BT18" s="317"/>
      <c r="BU18" s="320"/>
      <c r="BW18" s="181" t="s">
        <v>949</v>
      </c>
      <c r="BX18" s="179"/>
      <c r="BY18" s="179"/>
      <c r="BZ18" s="179"/>
      <c r="CA18" s="179"/>
      <c r="CB18" s="179"/>
      <c r="CC18" s="179"/>
      <c r="CD18" s="179"/>
      <c r="CE18" s="179"/>
      <c r="CF18" s="179"/>
      <c r="CG18" s="179"/>
      <c r="CH18" s="179"/>
    </row>
    <row r="19" spans="2:86" ht="22.5" customHeight="1">
      <c r="B19" s="774" t="s" ph="1">
        <v>225</v>
      </c>
      <c r="C19" s="775" ph="1"/>
      <c r="D19" s="775" ph="1"/>
      <c r="E19" s="775" ph="1"/>
      <c r="F19" s="776" ph="1"/>
      <c r="G19" s="777">
        <v>520</v>
      </c>
      <c r="H19" s="334"/>
      <c r="I19" s="334"/>
      <c r="J19" s="334">
        <v>520</v>
      </c>
      <c r="K19" s="334"/>
      <c r="L19" s="334"/>
      <c r="M19" s="334">
        <v>526</v>
      </c>
      <c r="N19" s="334"/>
      <c r="O19" s="334"/>
      <c r="P19" s="334">
        <v>516</v>
      </c>
      <c r="Q19" s="334"/>
      <c r="R19" s="334"/>
      <c r="S19" s="334"/>
      <c r="T19" s="334"/>
      <c r="U19" s="778"/>
      <c r="V19" s="783"/>
      <c r="W19" s="784"/>
      <c r="X19" s="784"/>
      <c r="Y19" s="220"/>
      <c r="Z19" s="220"/>
      <c r="AA19" s="253"/>
      <c r="AB19" s="162"/>
      <c r="AC19" s="446">
        <v>11.2</v>
      </c>
      <c r="AD19" s="447"/>
      <c r="AE19" s="447"/>
      <c r="AF19" s="448"/>
      <c r="AG19" s="452" t="s">
        <v>51</v>
      </c>
      <c r="AH19" s="453"/>
      <c r="AI19" s="453"/>
      <c r="AJ19" s="454"/>
      <c r="AK19" s="421">
        <f>635/160</f>
        <v>3.96875</v>
      </c>
      <c r="AL19" s="416"/>
      <c r="AM19" s="417"/>
      <c r="AN19" s="415">
        <v>1.99</v>
      </c>
      <c r="AO19" s="416"/>
      <c r="AP19" s="442"/>
      <c r="AQ19" s="421">
        <v>1.47</v>
      </c>
      <c r="AR19" s="416"/>
      <c r="AS19" s="417"/>
      <c r="AT19" s="415">
        <v>1.27</v>
      </c>
      <c r="AU19" s="416"/>
      <c r="AV19" s="442"/>
      <c r="AW19" s="421"/>
      <c r="AX19" s="416"/>
      <c r="AY19" s="417"/>
      <c r="AZ19" s="415"/>
      <c r="BA19" s="416"/>
      <c r="BB19" s="417"/>
      <c r="BE19" s="187">
        <v>17</v>
      </c>
      <c r="BF19" s="317" t="s">
        <v>382</v>
      </c>
      <c r="BG19" s="317" t="s">
        <v>269</v>
      </c>
      <c r="BH19" s="317" t="s">
        <v>408</v>
      </c>
      <c r="BI19" s="317" t="s">
        <v>320</v>
      </c>
      <c r="BJ19" s="317" t="s">
        <v>320</v>
      </c>
      <c r="BK19" s="318" t="s">
        <v>320</v>
      </c>
      <c r="BL19" s="215"/>
      <c r="BM19" s="209"/>
      <c r="BN19" s="209"/>
      <c r="BO19" s="209"/>
      <c r="BP19" s="209"/>
      <c r="BQ19" s="210"/>
      <c r="BR19" s="319"/>
      <c r="BS19" s="317"/>
      <c r="BT19" s="317"/>
      <c r="BU19" s="320"/>
      <c r="BW19" s="285" t="b">
        <v>0</v>
      </c>
      <c r="BX19" s="178" t="s">
        <v>100</v>
      </c>
      <c r="BY19" s="178"/>
      <c r="BZ19" s="178"/>
      <c r="CA19" s="178"/>
      <c r="CB19" s="178"/>
      <c r="CC19" s="178"/>
      <c r="CD19" s="178"/>
      <c r="CE19" s="178"/>
      <c r="CF19" s="178"/>
      <c r="CG19" s="178"/>
      <c r="CH19" s="178"/>
    </row>
    <row r="20" spans="2:86" ht="22.5" customHeight="1" thickBot="1">
      <c r="B20" s="755" t="s">
        <v>33</v>
      </c>
      <c r="C20" s="756"/>
      <c r="D20" s="756"/>
      <c r="E20" s="756"/>
      <c r="F20" s="757"/>
      <c r="G20" s="758">
        <f>G19/600</f>
        <v>0.8666666666666667</v>
      </c>
      <c r="H20" s="759"/>
      <c r="I20" s="759"/>
      <c r="J20" s="759">
        <f>J19/600</f>
        <v>0.8666666666666667</v>
      </c>
      <c r="K20" s="759"/>
      <c r="L20" s="759"/>
      <c r="M20" s="759">
        <f>M19/600</f>
        <v>0.87666666666666671</v>
      </c>
      <c r="N20" s="759"/>
      <c r="O20" s="759"/>
      <c r="P20" s="759">
        <f>P19/600</f>
        <v>0.86</v>
      </c>
      <c r="Q20" s="759"/>
      <c r="R20" s="759"/>
      <c r="S20" s="759"/>
      <c r="T20" s="759"/>
      <c r="U20" s="760"/>
      <c r="V20" s="785"/>
      <c r="W20" s="786"/>
      <c r="X20" s="786"/>
      <c r="Y20" s="254"/>
      <c r="Z20" s="254"/>
      <c r="AA20" s="255"/>
      <c r="AB20" s="162"/>
      <c r="AC20" s="446"/>
      <c r="AD20" s="447"/>
      <c r="AE20" s="447"/>
      <c r="AF20" s="448"/>
      <c r="AG20" s="439" t="s">
        <v>232</v>
      </c>
      <c r="AH20" s="440"/>
      <c r="AI20" s="440"/>
      <c r="AJ20" s="441"/>
      <c r="AK20" s="410">
        <f>140/160</f>
        <v>0.875</v>
      </c>
      <c r="AL20" s="411"/>
      <c r="AM20" s="412"/>
      <c r="AN20" s="413">
        <v>0.7</v>
      </c>
      <c r="AO20" s="411"/>
      <c r="AP20" s="414"/>
      <c r="AQ20" s="410">
        <v>0.68</v>
      </c>
      <c r="AR20" s="411"/>
      <c r="AS20" s="412"/>
      <c r="AT20" s="413">
        <v>0.77</v>
      </c>
      <c r="AU20" s="411"/>
      <c r="AV20" s="414"/>
      <c r="AW20" s="410"/>
      <c r="AX20" s="411"/>
      <c r="AY20" s="412"/>
      <c r="AZ20" s="413"/>
      <c r="BA20" s="411"/>
      <c r="BB20" s="412"/>
      <c r="BE20" s="187">
        <v>18</v>
      </c>
      <c r="BF20" s="317" t="s">
        <v>382</v>
      </c>
      <c r="BG20" s="317" t="s">
        <v>269</v>
      </c>
      <c r="BH20" s="317" t="s">
        <v>409</v>
      </c>
      <c r="BI20" s="317" t="s">
        <v>321</v>
      </c>
      <c r="BJ20" s="317" t="s">
        <v>321</v>
      </c>
      <c r="BK20" s="318" t="s">
        <v>321</v>
      </c>
      <c r="BL20" s="215"/>
      <c r="BM20" s="209"/>
      <c r="BN20" s="209"/>
      <c r="BO20" s="209"/>
      <c r="BP20" s="209"/>
      <c r="BQ20" s="210"/>
      <c r="BR20" s="319" t="s">
        <v>228</v>
      </c>
      <c r="BS20" s="317" t="s">
        <v>267</v>
      </c>
      <c r="BT20" s="317"/>
      <c r="BU20" s="320"/>
      <c r="BW20" s="285" t="b">
        <v>0</v>
      </c>
      <c r="BX20" s="178" t="s">
        <v>98</v>
      </c>
      <c r="BY20" s="178"/>
      <c r="BZ20" s="178"/>
      <c r="CA20" s="194"/>
      <c r="CB20" s="193"/>
      <c r="CC20" s="178"/>
      <c r="CD20" s="178"/>
      <c r="CE20" s="178"/>
      <c r="CF20" s="178"/>
      <c r="CG20" s="178"/>
      <c r="CH20" s="178"/>
    </row>
    <row r="21" spans="2:86" ht="22.5" customHeight="1" thickBot="1">
      <c r="B21" s="749" t="s">
        <v>783</v>
      </c>
      <c r="C21" s="750"/>
      <c r="D21" s="750"/>
      <c r="E21" s="750"/>
      <c r="F21" s="751"/>
      <c r="G21" s="752">
        <v>520</v>
      </c>
      <c r="H21" s="753"/>
      <c r="I21" s="753"/>
      <c r="J21" s="753">
        <v>520</v>
      </c>
      <c r="K21" s="753"/>
      <c r="L21" s="753"/>
      <c r="M21" s="753">
        <v>520</v>
      </c>
      <c r="N21" s="753"/>
      <c r="O21" s="753"/>
      <c r="P21" s="753">
        <v>520</v>
      </c>
      <c r="Q21" s="753"/>
      <c r="R21" s="753"/>
      <c r="S21" s="753"/>
      <c r="T21" s="753"/>
      <c r="U21" s="754"/>
      <c r="V21" s="787"/>
      <c r="W21" s="788"/>
      <c r="X21" s="788"/>
      <c r="Y21" s="251"/>
      <c r="Z21" s="251"/>
      <c r="AA21" s="252"/>
      <c r="AB21" s="162"/>
      <c r="AC21" s="446"/>
      <c r="AD21" s="447"/>
      <c r="AE21" s="447"/>
      <c r="AF21" s="448"/>
      <c r="AG21" s="443" t="s">
        <v>233</v>
      </c>
      <c r="AH21" s="444"/>
      <c r="AI21" s="444"/>
      <c r="AJ21" s="445"/>
      <c r="AK21" s="421">
        <f>278/160</f>
        <v>1.7375</v>
      </c>
      <c r="AL21" s="416"/>
      <c r="AM21" s="417"/>
      <c r="AN21" s="415">
        <v>0.5</v>
      </c>
      <c r="AO21" s="416"/>
      <c r="AP21" s="442"/>
      <c r="AQ21" s="421">
        <v>0.5</v>
      </c>
      <c r="AR21" s="416"/>
      <c r="AS21" s="417"/>
      <c r="AT21" s="415">
        <v>0.51</v>
      </c>
      <c r="AU21" s="416"/>
      <c r="AV21" s="442"/>
      <c r="AW21" s="421"/>
      <c r="AX21" s="416"/>
      <c r="AY21" s="417"/>
      <c r="AZ21" s="415"/>
      <c r="BA21" s="416"/>
      <c r="BB21" s="417"/>
      <c r="BE21" s="187">
        <v>19</v>
      </c>
      <c r="BF21" s="317"/>
      <c r="BG21" s="317"/>
      <c r="BH21" s="317"/>
      <c r="BI21" s="317"/>
      <c r="BJ21" s="317"/>
      <c r="BK21" s="318"/>
      <c r="BL21" s="215"/>
      <c r="BM21" s="209"/>
      <c r="BN21" s="209"/>
      <c r="BO21" s="209"/>
      <c r="BP21" s="209"/>
      <c r="BQ21" s="210"/>
      <c r="BR21" s="319"/>
      <c r="BS21" s="317"/>
      <c r="BT21" s="317"/>
      <c r="BU21" s="320"/>
      <c r="BW21" s="285" t="b">
        <v>0</v>
      </c>
      <c r="BX21" s="178" t="s">
        <v>99</v>
      </c>
      <c r="BY21" s="178"/>
      <c r="BZ21" s="178"/>
      <c r="CA21" s="194"/>
      <c r="CB21" s="193"/>
      <c r="CC21" s="178"/>
      <c r="CD21" s="178"/>
      <c r="CE21" s="178"/>
      <c r="CF21" s="178"/>
      <c r="CG21" s="178"/>
      <c r="CH21" s="178"/>
    </row>
    <row r="22" spans="2:86" ht="22.5" customHeight="1" thickTop="1" thickBot="1">
      <c r="B22" s="755" t="s">
        <v>784</v>
      </c>
      <c r="C22" s="756"/>
      <c r="D22" s="756"/>
      <c r="E22" s="756"/>
      <c r="F22" s="757"/>
      <c r="G22" s="758">
        <f>G21/600</f>
        <v>0.8666666666666667</v>
      </c>
      <c r="H22" s="759"/>
      <c r="I22" s="759"/>
      <c r="J22" s="759">
        <f>J21/600</f>
        <v>0.8666666666666667</v>
      </c>
      <c r="K22" s="759"/>
      <c r="L22" s="759"/>
      <c r="M22" s="759">
        <f>M21/600</f>
        <v>0.8666666666666667</v>
      </c>
      <c r="N22" s="759"/>
      <c r="O22" s="759"/>
      <c r="P22" s="759">
        <f>P21/600</f>
        <v>0.8666666666666667</v>
      </c>
      <c r="Q22" s="759"/>
      <c r="R22" s="759"/>
      <c r="S22" s="759"/>
      <c r="T22" s="759"/>
      <c r="U22" s="760"/>
      <c r="V22" s="785"/>
      <c r="W22" s="786"/>
      <c r="X22" s="786"/>
      <c r="Y22" s="254"/>
      <c r="Z22" s="254"/>
      <c r="AA22" s="255"/>
      <c r="AB22" s="162"/>
      <c r="AC22" s="449"/>
      <c r="AD22" s="450"/>
      <c r="AE22" s="450"/>
      <c r="AF22" s="451"/>
      <c r="AG22" s="418" t="s">
        <v>235</v>
      </c>
      <c r="AH22" s="419"/>
      <c r="AI22" s="419"/>
      <c r="AJ22" s="420"/>
      <c r="AK22" s="462">
        <f>IFERROR((AK20+AK21)/AK17,"")</f>
        <v>0.22916666666666666</v>
      </c>
      <c r="AL22" s="463"/>
      <c r="AM22" s="464"/>
      <c r="AN22" s="462">
        <f>IFERROR((AN20+AN21)/AN17,"")</f>
        <v>0.10714285714285715</v>
      </c>
      <c r="AO22" s="463"/>
      <c r="AP22" s="464"/>
      <c r="AQ22" s="462">
        <f>IFERROR((AQ20+AQ21)/AQ17,"")</f>
        <v>0.10535714285714287</v>
      </c>
      <c r="AR22" s="463"/>
      <c r="AS22" s="464"/>
      <c r="AT22" s="462">
        <f>IFERROR((AT20+AT21)/AT17,"")</f>
        <v>0.1142857142857143</v>
      </c>
      <c r="AU22" s="463"/>
      <c r="AV22" s="464"/>
      <c r="AW22" s="462" t="str">
        <f>IFERROR((AW20+AW21)/AW17,"")</f>
        <v/>
      </c>
      <c r="AX22" s="463"/>
      <c r="AY22" s="464"/>
      <c r="AZ22" s="462" t="str">
        <f>IFERROR((AZ20+AZ21)/AZ17,"")</f>
        <v/>
      </c>
      <c r="BA22" s="463"/>
      <c r="BB22" s="464"/>
      <c r="BE22" s="187">
        <v>20</v>
      </c>
      <c r="BF22" s="317"/>
      <c r="BG22" s="317"/>
      <c r="BH22" s="317"/>
      <c r="BI22" s="317"/>
      <c r="BJ22" s="317"/>
      <c r="BK22" s="318"/>
      <c r="BL22" s="215"/>
      <c r="BM22" s="209"/>
      <c r="BN22" s="209"/>
      <c r="BO22" s="209"/>
      <c r="BP22" s="209"/>
      <c r="BQ22" s="210"/>
      <c r="BR22" s="319"/>
      <c r="BS22" s="317"/>
      <c r="BT22" s="317"/>
      <c r="BU22" s="320"/>
      <c r="BW22" s="285" t="b">
        <v>0</v>
      </c>
      <c r="BX22" s="192" t="s">
        <v>95</v>
      </c>
      <c r="BY22" s="178"/>
      <c r="BZ22" s="178"/>
      <c r="CA22" s="194"/>
      <c r="CB22" s="193"/>
      <c r="CC22" s="178"/>
      <c r="CD22" s="178"/>
      <c r="CE22" s="178"/>
      <c r="CF22" s="178"/>
      <c r="CG22" s="178"/>
      <c r="CH22" s="178"/>
    </row>
    <row r="23" spans="2:86" ht="22.5" customHeight="1">
      <c r="B23" s="749" t="s">
        <v>224</v>
      </c>
      <c r="C23" s="750"/>
      <c r="D23" s="750"/>
      <c r="E23" s="750"/>
      <c r="F23" s="751"/>
      <c r="G23" s="771">
        <v>62</v>
      </c>
      <c r="H23" s="772"/>
      <c r="I23" s="772"/>
      <c r="J23" s="772">
        <v>68</v>
      </c>
      <c r="K23" s="772"/>
      <c r="L23" s="772"/>
      <c r="M23" s="772">
        <v>68</v>
      </c>
      <c r="N23" s="772"/>
      <c r="O23" s="772"/>
      <c r="P23" s="772">
        <v>68</v>
      </c>
      <c r="Q23" s="772"/>
      <c r="R23" s="772"/>
      <c r="S23" s="772" t="str">
        <f ca="1">IFERROR(INDEX(INDIRECT("'"&amp;S$3&amp;"'!L:L"),MATCH($D$1,INDIRECT("'"&amp;S$3&amp;"'!A:A"),0)),"")</f>
        <v/>
      </c>
      <c r="T23" s="772"/>
      <c r="U23" s="773"/>
      <c r="V23" s="781" t="str">
        <f ca="1">IFERROR(INDEX(INDIRECT("'"&amp;#REF!&amp;"'!L:L"),MATCH($D$1,INDIRECT("'"&amp;#REF!&amp;"'!A:A"),0)),"")</f>
        <v/>
      </c>
      <c r="W23" s="782"/>
      <c r="X23" s="782"/>
      <c r="Y23" s="251"/>
      <c r="Z23" s="251"/>
      <c r="AA23" s="252"/>
      <c r="AB23" s="162"/>
      <c r="BE23" s="187">
        <v>21</v>
      </c>
      <c r="BF23" s="317"/>
      <c r="BG23" s="317"/>
      <c r="BH23" s="317"/>
      <c r="BI23" s="317"/>
      <c r="BJ23" s="317"/>
      <c r="BK23" s="318"/>
      <c r="BL23" s="215"/>
      <c r="BM23" s="209"/>
      <c r="BN23" s="209"/>
      <c r="BO23" s="209"/>
      <c r="BP23" s="209"/>
      <c r="BQ23" s="210"/>
      <c r="BR23" s="319"/>
      <c r="BS23" s="317"/>
      <c r="BT23" s="317"/>
      <c r="BU23" s="320"/>
      <c r="BW23" s="285" t="b">
        <v>0</v>
      </c>
      <c r="BX23" s="192" t="s">
        <v>94</v>
      </c>
      <c r="BY23" s="178"/>
      <c r="BZ23" s="178"/>
      <c r="CA23" s="194"/>
      <c r="CB23" s="193"/>
      <c r="CC23" s="178"/>
      <c r="CD23" s="178"/>
      <c r="CE23" s="178"/>
      <c r="CF23" s="178"/>
      <c r="CG23" s="178"/>
      <c r="CH23" s="178"/>
    </row>
    <row r="24" spans="2:86" ht="22.5" customHeight="1" thickBot="1">
      <c r="B24" s="755" t="s">
        <v>34</v>
      </c>
      <c r="C24" s="756"/>
      <c r="D24" s="756"/>
      <c r="E24" s="756"/>
      <c r="F24" s="757"/>
      <c r="G24" s="758">
        <f>G23/60</f>
        <v>1.0333333333333334</v>
      </c>
      <c r="H24" s="759"/>
      <c r="I24" s="759"/>
      <c r="J24" s="758">
        <f t="shared" ref="J24" si="20">J23/60</f>
        <v>1.1333333333333333</v>
      </c>
      <c r="K24" s="759"/>
      <c r="L24" s="759"/>
      <c r="M24" s="758">
        <f t="shared" ref="M24" si="21">M23/60</f>
        <v>1.1333333333333333</v>
      </c>
      <c r="N24" s="759"/>
      <c r="O24" s="759"/>
      <c r="P24" s="758">
        <f>P23/60</f>
        <v>1.1333333333333333</v>
      </c>
      <c r="Q24" s="759"/>
      <c r="R24" s="759"/>
      <c r="S24" s="759"/>
      <c r="T24" s="759"/>
      <c r="U24" s="760"/>
      <c r="V24" s="785"/>
      <c r="W24" s="786"/>
      <c r="X24" s="786"/>
      <c r="Y24" s="254"/>
      <c r="Z24" s="254"/>
      <c r="AA24" s="255"/>
      <c r="AC24" s="182" t="s">
        <v>240</v>
      </c>
      <c r="AD24" s="182"/>
      <c r="AE24" s="182"/>
      <c r="AF24" s="182"/>
      <c r="AG24" s="182"/>
      <c r="AH24" s="182"/>
      <c r="AI24" s="183"/>
      <c r="AJ24" s="183"/>
      <c r="AK24" s="183"/>
      <c r="AL24" s="183"/>
      <c r="AM24" s="183"/>
      <c r="AN24" s="183"/>
      <c r="AO24" s="184"/>
      <c r="AP24" s="184"/>
      <c r="AQ24" s="184"/>
      <c r="AR24" s="184"/>
      <c r="AS24" s="185"/>
      <c r="AT24" s="185"/>
      <c r="AU24" s="185"/>
      <c r="AV24" s="185"/>
      <c r="AW24" s="186"/>
      <c r="AX24" s="186"/>
      <c r="AY24" s="186"/>
      <c r="AZ24" s="186"/>
      <c r="BA24" s="179"/>
      <c r="BB24" s="179"/>
      <c r="BE24" s="187">
        <v>22</v>
      </c>
      <c r="BF24" s="317"/>
      <c r="BG24" s="317"/>
      <c r="BH24" s="317"/>
      <c r="BI24" s="317"/>
      <c r="BJ24" s="317"/>
      <c r="BK24" s="318"/>
      <c r="BL24" s="215"/>
      <c r="BM24" s="209"/>
      <c r="BN24" s="209"/>
      <c r="BO24" s="209"/>
      <c r="BP24" s="209"/>
      <c r="BQ24" s="210"/>
      <c r="BR24" s="319"/>
      <c r="BS24" s="317"/>
      <c r="BT24" s="317"/>
      <c r="BU24" s="320"/>
      <c r="BW24" s="285" t="b">
        <v>0</v>
      </c>
      <c r="BX24" s="192" t="s">
        <v>93</v>
      </c>
      <c r="BY24" s="178"/>
      <c r="BZ24" s="178"/>
      <c r="CA24" s="194"/>
      <c r="CB24" s="193"/>
      <c r="CC24" s="178"/>
      <c r="CD24" s="178"/>
      <c r="CE24" s="178"/>
      <c r="CF24" s="178"/>
      <c r="CG24" s="178"/>
      <c r="CH24" s="178"/>
    </row>
    <row r="25" spans="2:86" ht="22.5" customHeight="1">
      <c r="B25" s="779"/>
      <c r="C25" s="779"/>
      <c r="D25" s="779"/>
      <c r="E25" s="779"/>
      <c r="F25" s="779"/>
      <c r="G25" s="780"/>
      <c r="H25" s="780"/>
      <c r="I25" s="780"/>
      <c r="J25" s="780"/>
      <c r="K25" s="780"/>
      <c r="L25" s="780"/>
      <c r="M25" s="780"/>
      <c r="N25" s="780"/>
      <c r="O25" s="780"/>
      <c r="P25" s="780"/>
      <c r="Q25" s="780"/>
      <c r="R25" s="780"/>
      <c r="S25" s="780"/>
      <c r="T25" s="780"/>
      <c r="U25" s="780"/>
      <c r="V25" s="713"/>
      <c r="W25" s="713"/>
      <c r="X25" s="713"/>
      <c r="AB25" s="167"/>
      <c r="AC25" s="473"/>
      <c r="AD25" s="474"/>
      <c r="AE25" s="377" t="s">
        <v>254</v>
      </c>
      <c r="AF25" s="378"/>
      <c r="AG25" s="378"/>
      <c r="AH25" s="379"/>
      <c r="AI25" s="380" t="s">
        <v>255</v>
      </c>
      <c r="AJ25" s="378"/>
      <c r="AK25" s="378"/>
      <c r="AL25" s="381"/>
      <c r="AM25" s="377" t="s">
        <v>58</v>
      </c>
      <c r="AN25" s="378"/>
      <c r="AO25" s="378"/>
      <c r="AP25" s="379"/>
      <c r="AQ25" s="380" t="s">
        <v>14</v>
      </c>
      <c r="AR25" s="378"/>
      <c r="AS25" s="378"/>
      <c r="AT25" s="381"/>
      <c r="AU25" s="377" t="s">
        <v>22</v>
      </c>
      <c r="AV25" s="378"/>
      <c r="AW25" s="378"/>
      <c r="AX25" s="379"/>
      <c r="AY25" s="380" t="s">
        <v>1</v>
      </c>
      <c r="AZ25" s="378"/>
      <c r="BA25" s="378"/>
      <c r="BB25" s="379"/>
      <c r="BE25" s="187">
        <v>23</v>
      </c>
      <c r="BF25" s="317"/>
      <c r="BG25" s="317"/>
      <c r="BH25" s="317"/>
      <c r="BI25" s="317"/>
      <c r="BJ25" s="317"/>
      <c r="BK25" s="318"/>
      <c r="BL25" s="215"/>
      <c r="BM25" s="209"/>
      <c r="BN25" s="209"/>
      <c r="BO25" s="209"/>
      <c r="BP25" s="209"/>
      <c r="BQ25" s="210"/>
      <c r="BR25" s="319"/>
      <c r="BS25" s="317"/>
      <c r="BT25" s="317"/>
      <c r="BU25" s="320"/>
      <c r="BW25" s="285" t="b">
        <v>0</v>
      </c>
      <c r="BX25" s="192" t="s">
        <v>92</v>
      </c>
      <c r="BY25" s="178"/>
      <c r="BZ25" s="178"/>
      <c r="CA25" s="194"/>
      <c r="CB25" s="193"/>
      <c r="CC25" s="178"/>
      <c r="CD25" s="178"/>
      <c r="CE25" s="178"/>
      <c r="CF25" s="178"/>
      <c r="CG25" s="178"/>
      <c r="CH25" s="178"/>
    </row>
    <row r="26" spans="2:86" ht="22.5" customHeight="1">
      <c r="B26" s="374" t="s">
        <v>787</v>
      </c>
      <c r="C26" s="375"/>
      <c r="D26" s="375"/>
      <c r="E26" s="375"/>
      <c r="F26" s="375"/>
      <c r="G26" s="375"/>
      <c r="H26" s="375"/>
      <c r="I26" s="376"/>
      <c r="J26" s="377" t="s">
        <v>254</v>
      </c>
      <c r="K26" s="378"/>
      <c r="L26" s="379"/>
      <c r="M26" s="380" t="s">
        <v>27</v>
      </c>
      <c r="N26" s="378"/>
      <c r="O26" s="381"/>
      <c r="P26" s="377" t="s">
        <v>226</v>
      </c>
      <c r="Q26" s="378"/>
      <c r="R26" s="379"/>
      <c r="S26" s="380" t="s">
        <v>14</v>
      </c>
      <c r="T26" s="378"/>
      <c r="U26" s="381"/>
      <c r="V26" s="377" t="s">
        <v>22</v>
      </c>
      <c r="W26" s="378"/>
      <c r="X26" s="379"/>
      <c r="Y26" s="380" t="s">
        <v>1</v>
      </c>
      <c r="Z26" s="378"/>
      <c r="AA26" s="379"/>
      <c r="AB26" s="167"/>
      <c r="AC26" s="475"/>
      <c r="AD26" s="476"/>
      <c r="AE26" s="458" t="s">
        <v>120</v>
      </c>
      <c r="AF26" s="459"/>
      <c r="AG26" s="459" t="s">
        <v>121</v>
      </c>
      <c r="AH26" s="460"/>
      <c r="AI26" s="470" t="s">
        <v>120</v>
      </c>
      <c r="AJ26" s="459"/>
      <c r="AK26" s="459" t="s">
        <v>121</v>
      </c>
      <c r="AL26" s="471"/>
      <c r="AM26" s="458" t="s">
        <v>120</v>
      </c>
      <c r="AN26" s="459"/>
      <c r="AO26" s="459" t="s">
        <v>121</v>
      </c>
      <c r="AP26" s="460"/>
      <c r="AQ26" s="470" t="s">
        <v>120</v>
      </c>
      <c r="AR26" s="459"/>
      <c r="AS26" s="459" t="s">
        <v>121</v>
      </c>
      <c r="AT26" s="471"/>
      <c r="AU26" s="458" t="s">
        <v>120</v>
      </c>
      <c r="AV26" s="459"/>
      <c r="AW26" s="459" t="s">
        <v>121</v>
      </c>
      <c r="AX26" s="460"/>
      <c r="AY26" s="470" t="s">
        <v>120</v>
      </c>
      <c r="AZ26" s="459"/>
      <c r="BA26" s="459" t="s">
        <v>121</v>
      </c>
      <c r="BB26" s="460"/>
      <c r="BE26" s="187">
        <v>24</v>
      </c>
      <c r="BF26" s="317"/>
      <c r="BG26" s="317"/>
      <c r="BH26" s="317"/>
      <c r="BI26" s="317"/>
      <c r="BJ26" s="317"/>
      <c r="BK26" s="318"/>
      <c r="BL26" s="215"/>
      <c r="BM26" s="209"/>
      <c r="BN26" s="209"/>
      <c r="BO26" s="209"/>
      <c r="BP26" s="209"/>
      <c r="BQ26" s="210"/>
      <c r="BR26" s="319"/>
      <c r="BS26" s="317"/>
      <c r="BT26" s="317"/>
      <c r="BU26" s="320"/>
      <c r="BW26" s="285" t="b">
        <v>0</v>
      </c>
      <c r="BX26" s="192" t="s">
        <v>91</v>
      </c>
      <c r="BY26" s="178"/>
      <c r="BZ26" s="178"/>
      <c r="CA26" s="194"/>
      <c r="CB26" s="193"/>
      <c r="CC26" s="178"/>
      <c r="CD26" s="178"/>
      <c r="CE26" s="178"/>
      <c r="CF26" s="178"/>
      <c r="CG26" s="178"/>
      <c r="CH26" s="178"/>
    </row>
    <row r="27" spans="2:86" ht="22.5" customHeight="1">
      <c r="B27" s="819" t="s">
        <v>790</v>
      </c>
      <c r="C27" s="820"/>
      <c r="D27" s="820"/>
      <c r="E27" s="821"/>
      <c r="F27" s="808" t="s">
        <v>50</v>
      </c>
      <c r="G27" s="809"/>
      <c r="H27" s="809"/>
      <c r="I27" s="810"/>
      <c r="J27" s="798">
        <v>88</v>
      </c>
      <c r="K27" s="799"/>
      <c r="L27" s="800"/>
      <c r="M27" s="801">
        <v>88</v>
      </c>
      <c r="N27" s="802"/>
      <c r="O27" s="803"/>
      <c r="P27" s="801">
        <v>136</v>
      </c>
      <c r="Q27" s="802"/>
      <c r="R27" s="803"/>
      <c r="S27" s="804"/>
      <c r="T27" s="790"/>
      <c r="U27" s="805"/>
      <c r="V27" s="789"/>
      <c r="W27" s="790"/>
      <c r="X27" s="791"/>
      <c r="Y27" s="804"/>
      <c r="Z27" s="790"/>
      <c r="AA27" s="791"/>
      <c r="AB27" s="167"/>
      <c r="AC27" s="324" t="s">
        <v>117</v>
      </c>
      <c r="AD27" s="467"/>
      <c r="AE27" s="468">
        <v>14</v>
      </c>
      <c r="AF27" s="469"/>
      <c r="AG27" s="469">
        <v>0</v>
      </c>
      <c r="AH27" s="489"/>
      <c r="AI27" s="482"/>
      <c r="AJ27" s="469"/>
      <c r="AK27" s="469"/>
      <c r="AL27" s="488"/>
      <c r="AM27" s="468"/>
      <c r="AN27" s="469"/>
      <c r="AO27" s="469"/>
      <c r="AP27" s="489"/>
      <c r="AQ27" s="482"/>
      <c r="AR27" s="469"/>
      <c r="AS27" s="469"/>
      <c r="AT27" s="488"/>
      <c r="AU27" s="468"/>
      <c r="AV27" s="469"/>
      <c r="AW27" s="469"/>
      <c r="AX27" s="489"/>
      <c r="AY27" s="482"/>
      <c r="AZ27" s="469"/>
      <c r="BA27" s="469"/>
      <c r="BB27" s="489"/>
      <c r="BE27" s="187">
        <v>25</v>
      </c>
      <c r="BF27" s="317"/>
      <c r="BG27" s="317"/>
      <c r="BH27" s="317"/>
      <c r="BI27" s="317"/>
      <c r="BJ27" s="317"/>
      <c r="BK27" s="318"/>
      <c r="BL27" s="215"/>
      <c r="BM27" s="209"/>
      <c r="BN27" s="209"/>
      <c r="BO27" s="209"/>
      <c r="BP27" s="209"/>
      <c r="BQ27" s="210"/>
      <c r="BR27" s="319"/>
      <c r="BS27" s="317"/>
      <c r="BT27" s="317"/>
      <c r="BU27" s="320"/>
      <c r="BW27" s="285" t="b">
        <v>0</v>
      </c>
      <c r="BX27" s="178" t="s">
        <v>90</v>
      </c>
      <c r="BY27" s="178"/>
      <c r="BZ27" s="178"/>
      <c r="CA27" s="194"/>
      <c r="CB27" s="193"/>
      <c r="CC27" s="178"/>
      <c r="CD27" s="178"/>
      <c r="CE27" s="178"/>
      <c r="CF27" s="178"/>
      <c r="CG27" s="178"/>
      <c r="CH27" s="178"/>
    </row>
    <row r="28" spans="2:86" ht="22.5" customHeight="1">
      <c r="B28" s="822"/>
      <c r="C28" s="823"/>
      <c r="D28" s="823"/>
      <c r="E28" s="824"/>
      <c r="F28" s="808" t="s">
        <v>51</v>
      </c>
      <c r="G28" s="809"/>
      <c r="H28" s="809"/>
      <c r="I28" s="810"/>
      <c r="J28" s="801">
        <v>634</v>
      </c>
      <c r="K28" s="802"/>
      <c r="L28" s="803"/>
      <c r="M28" s="801">
        <v>692</v>
      </c>
      <c r="N28" s="802"/>
      <c r="O28" s="803"/>
      <c r="P28" s="801">
        <v>539</v>
      </c>
      <c r="Q28" s="802"/>
      <c r="R28" s="803"/>
      <c r="S28" s="806"/>
      <c r="T28" s="793"/>
      <c r="U28" s="807"/>
      <c r="V28" s="792"/>
      <c r="W28" s="793"/>
      <c r="X28" s="794"/>
      <c r="Y28" s="806"/>
      <c r="Z28" s="793"/>
      <c r="AA28" s="794"/>
      <c r="AC28" s="486" t="s">
        <v>118</v>
      </c>
      <c r="AD28" s="487"/>
      <c r="AE28" s="427">
        <v>24</v>
      </c>
      <c r="AF28" s="426"/>
      <c r="AG28" s="426">
        <v>3</v>
      </c>
      <c r="AH28" s="428"/>
      <c r="AI28" s="423"/>
      <c r="AJ28" s="426"/>
      <c r="AK28" s="426"/>
      <c r="AL28" s="424"/>
      <c r="AM28" s="427"/>
      <c r="AN28" s="426"/>
      <c r="AO28" s="426"/>
      <c r="AP28" s="428"/>
      <c r="AQ28" s="423"/>
      <c r="AR28" s="426"/>
      <c r="AS28" s="426"/>
      <c r="AT28" s="424"/>
      <c r="AU28" s="427"/>
      <c r="AV28" s="426"/>
      <c r="AW28" s="426"/>
      <c r="AX28" s="428"/>
      <c r="AY28" s="423"/>
      <c r="AZ28" s="426"/>
      <c r="BA28" s="426"/>
      <c r="BB28" s="428"/>
      <c r="BE28" s="187">
        <v>26</v>
      </c>
      <c r="BF28" s="317"/>
      <c r="BG28" s="317"/>
      <c r="BH28" s="317"/>
      <c r="BI28" s="317"/>
      <c r="BJ28" s="317"/>
      <c r="BK28" s="318"/>
      <c r="BL28" s="215"/>
      <c r="BM28" s="209"/>
      <c r="BN28" s="209"/>
      <c r="BO28" s="209"/>
      <c r="BP28" s="209"/>
      <c r="BQ28" s="210"/>
      <c r="BR28" s="319"/>
      <c r="BS28" s="317"/>
      <c r="BT28" s="317"/>
      <c r="BU28" s="320"/>
      <c r="BW28" s="285" t="b">
        <v>0</v>
      </c>
      <c r="BX28" s="192" t="s">
        <v>101</v>
      </c>
      <c r="BY28" s="178"/>
      <c r="BZ28" s="178"/>
      <c r="CA28" s="194"/>
      <c r="CB28" s="193"/>
      <c r="CC28" s="178"/>
      <c r="CD28" s="178"/>
      <c r="CE28" s="178"/>
      <c r="CF28" s="178"/>
      <c r="CG28" s="178"/>
      <c r="CH28" s="178"/>
    </row>
    <row r="29" spans="2:86" ht="22.5" customHeight="1" thickBot="1">
      <c r="B29" s="825"/>
      <c r="C29" s="826"/>
      <c r="D29" s="826"/>
      <c r="E29" s="827"/>
      <c r="F29" s="811" t="s">
        <v>789</v>
      </c>
      <c r="G29" s="812"/>
      <c r="H29" s="812"/>
      <c r="I29" s="813"/>
      <c r="J29" s="795">
        <f>SUM(J27:L28)</f>
        <v>722</v>
      </c>
      <c r="K29" s="796"/>
      <c r="L29" s="797"/>
      <c r="M29" s="795">
        <f t="shared" ref="M29" si="22">SUM(M27:O28)</f>
        <v>780</v>
      </c>
      <c r="N29" s="796"/>
      <c r="O29" s="797"/>
      <c r="P29" s="795">
        <f t="shared" ref="P29" si="23">SUM(P27:R28)</f>
        <v>675</v>
      </c>
      <c r="Q29" s="796"/>
      <c r="R29" s="797"/>
      <c r="S29" s="814"/>
      <c r="T29" s="796"/>
      <c r="U29" s="830"/>
      <c r="V29" s="795"/>
      <c r="W29" s="796"/>
      <c r="X29" s="797"/>
      <c r="Y29" s="814"/>
      <c r="Z29" s="796"/>
      <c r="AA29" s="797"/>
      <c r="AC29" s="508" t="s">
        <v>119</v>
      </c>
      <c r="AD29" s="509"/>
      <c r="AE29" s="507">
        <v>2</v>
      </c>
      <c r="AF29" s="499"/>
      <c r="AG29" s="499">
        <v>0</v>
      </c>
      <c r="AH29" s="500"/>
      <c r="AI29" s="505"/>
      <c r="AJ29" s="499"/>
      <c r="AK29" s="499"/>
      <c r="AL29" s="506"/>
      <c r="AM29" s="507"/>
      <c r="AN29" s="499"/>
      <c r="AO29" s="499"/>
      <c r="AP29" s="500"/>
      <c r="AQ29" s="505"/>
      <c r="AR29" s="499"/>
      <c r="AS29" s="499"/>
      <c r="AT29" s="506"/>
      <c r="AU29" s="507"/>
      <c r="AV29" s="499"/>
      <c r="AW29" s="499"/>
      <c r="AX29" s="500"/>
      <c r="AY29" s="505"/>
      <c r="AZ29" s="499"/>
      <c r="BA29" s="499"/>
      <c r="BB29" s="500"/>
      <c r="BE29" s="187">
        <v>27</v>
      </c>
      <c r="BF29" s="317"/>
      <c r="BG29" s="317"/>
      <c r="BH29" s="317"/>
      <c r="BI29" s="317"/>
      <c r="BJ29" s="317"/>
      <c r="BK29" s="318"/>
      <c r="BL29" s="215"/>
      <c r="BM29" s="209"/>
      <c r="BN29" s="209"/>
      <c r="BO29" s="209"/>
      <c r="BP29" s="209"/>
      <c r="BQ29" s="210"/>
      <c r="BR29" s="319"/>
      <c r="BS29" s="317"/>
      <c r="BT29" s="317"/>
      <c r="BU29" s="320"/>
      <c r="BW29" s="285" t="b">
        <v>0</v>
      </c>
      <c r="BX29" s="192" t="s">
        <v>83</v>
      </c>
      <c r="BY29" s="178"/>
      <c r="BZ29" s="178"/>
      <c r="CA29" s="178"/>
      <c r="CB29" s="178"/>
      <c r="CC29" s="178"/>
      <c r="CD29" s="178"/>
      <c r="CE29" s="178"/>
      <c r="CF29" s="178"/>
      <c r="CG29" s="178"/>
      <c r="CH29" s="178"/>
    </row>
    <row r="30" spans="2:86" ht="22.5" customHeight="1" thickTop="1" thickBot="1">
      <c r="B30" s="818" t="s">
        <v>788</v>
      </c>
      <c r="C30" s="818"/>
      <c r="D30" s="818"/>
      <c r="E30" s="818"/>
      <c r="F30" s="439" t="s">
        <v>785</v>
      </c>
      <c r="G30" s="440"/>
      <c r="H30" s="440"/>
      <c r="I30" s="441"/>
      <c r="J30" s="792">
        <v>414</v>
      </c>
      <c r="K30" s="793"/>
      <c r="L30" s="794"/>
      <c r="M30" s="806">
        <v>327</v>
      </c>
      <c r="N30" s="793"/>
      <c r="O30" s="807"/>
      <c r="P30" s="792">
        <v>323</v>
      </c>
      <c r="Q30" s="793"/>
      <c r="R30" s="794"/>
      <c r="S30" s="806"/>
      <c r="T30" s="793"/>
      <c r="U30" s="807"/>
      <c r="V30" s="792"/>
      <c r="W30" s="793"/>
      <c r="X30" s="794"/>
      <c r="Y30" s="806"/>
      <c r="Z30" s="793"/>
      <c r="AA30" s="794"/>
      <c r="AC30" s="501" t="s">
        <v>108</v>
      </c>
      <c r="AD30" s="502"/>
      <c r="AE30" s="497">
        <f>IF(SUM(AE27:AE29)=0,"",SUM(AE27:AE29))</f>
        <v>40</v>
      </c>
      <c r="AF30" s="495"/>
      <c r="AG30" s="495">
        <f>IF(SUM(AG27:AG29)=0,"",SUM(AG27:AG29))</f>
        <v>3</v>
      </c>
      <c r="AH30" s="498"/>
      <c r="AI30" s="497" t="str">
        <f>IF(SUM(AI27:AI29)=0,"",SUM(AI27:AI29))</f>
        <v/>
      </c>
      <c r="AJ30" s="495"/>
      <c r="AK30" s="495" t="str">
        <f>IF(SUM(AK27:AK29)=0,"",SUM(AK27:AK29))</f>
        <v/>
      </c>
      <c r="AL30" s="498"/>
      <c r="AM30" s="497" t="str">
        <f>IF(SUM(AM27:AM29)=0,"",SUM(AM27:AM29))</f>
        <v/>
      </c>
      <c r="AN30" s="495"/>
      <c r="AO30" s="495" t="str">
        <f>IF(SUM(AO27:AO29)=0,"",SUM(AO27:AO29))</f>
        <v/>
      </c>
      <c r="AP30" s="498"/>
      <c r="AQ30" s="494" t="str">
        <f>IF(SUM(AQ27:AQ29)=0,"",SUM(AQ27:AQ29))</f>
        <v/>
      </c>
      <c r="AR30" s="495"/>
      <c r="AS30" s="495" t="str">
        <f>IF(SUM(AS27:AS29)=0,"",SUM(AS27:AS29))</f>
        <v/>
      </c>
      <c r="AT30" s="496"/>
      <c r="AU30" s="497" t="str">
        <f>IF(SUM(AU27:AU29)=0,"",SUM(AU27:AU29))</f>
        <v/>
      </c>
      <c r="AV30" s="495"/>
      <c r="AW30" s="495" t="str">
        <f>IF(SUM(AW27:AW29)=0,"",SUM(AW27:AW29))</f>
        <v/>
      </c>
      <c r="AX30" s="498"/>
      <c r="AY30" s="494" t="str">
        <f>IF(SUM(AY27:AY29)=0,"",SUM(AY27:AY29))</f>
        <v/>
      </c>
      <c r="AZ30" s="495"/>
      <c r="BA30" s="495" t="str">
        <f>IF(SUM(BA27:BA29)=0,"",SUM(BA27:BA29))</f>
        <v/>
      </c>
      <c r="BB30" s="498"/>
      <c r="BE30" s="187">
        <v>28</v>
      </c>
      <c r="BF30" s="317"/>
      <c r="BG30" s="317"/>
      <c r="BH30" s="317"/>
      <c r="BI30" s="317"/>
      <c r="BJ30" s="317"/>
      <c r="BK30" s="318"/>
      <c r="BL30" s="215"/>
      <c r="BM30" s="209"/>
      <c r="BN30" s="209"/>
      <c r="BO30" s="209"/>
      <c r="BP30" s="209"/>
      <c r="BQ30" s="210"/>
      <c r="BR30" s="319"/>
      <c r="BS30" s="317"/>
      <c r="BT30" s="317"/>
      <c r="BU30" s="320"/>
      <c r="BW30" s="285" t="b">
        <v>0</v>
      </c>
      <c r="BX30" s="192" t="s">
        <v>84</v>
      </c>
      <c r="BY30" s="195"/>
      <c r="BZ30" s="196"/>
      <c r="CA30" s="196"/>
      <c r="CB30" s="196"/>
      <c r="CC30" s="196"/>
      <c r="CD30" s="196"/>
      <c r="CE30" s="196"/>
      <c r="CF30" s="196"/>
      <c r="CG30" s="196"/>
      <c r="CH30" s="178"/>
    </row>
    <row r="31" spans="2:86" ht="22.5" customHeight="1" thickBot="1">
      <c r="B31" s="818"/>
      <c r="C31" s="818"/>
      <c r="D31" s="818"/>
      <c r="E31" s="818"/>
      <c r="F31" s="443" t="s">
        <v>786</v>
      </c>
      <c r="G31" s="444"/>
      <c r="H31" s="444"/>
      <c r="I31" s="445"/>
      <c r="J31" s="828">
        <v>34</v>
      </c>
      <c r="K31" s="816"/>
      <c r="L31" s="817"/>
      <c r="M31" s="815"/>
      <c r="N31" s="816"/>
      <c r="O31" s="829"/>
      <c r="P31" s="828"/>
      <c r="Q31" s="816"/>
      <c r="R31" s="817"/>
      <c r="S31" s="815"/>
      <c r="T31" s="816"/>
      <c r="U31" s="829"/>
      <c r="V31" s="828"/>
      <c r="W31" s="816"/>
      <c r="X31" s="817"/>
      <c r="Y31" s="815"/>
      <c r="Z31" s="816"/>
      <c r="AA31" s="817"/>
      <c r="AC31" s="550" t="s">
        <v>122</v>
      </c>
      <c r="AD31" s="551"/>
      <c r="AE31" s="536">
        <f>IFERROR(AG30/AE30,"")</f>
        <v>7.4999999999999997E-2</v>
      </c>
      <c r="AF31" s="537"/>
      <c r="AG31" s="537"/>
      <c r="AH31" s="538"/>
      <c r="AI31" s="539" t="str">
        <f>IFERROR(AK30/AI30,"")</f>
        <v/>
      </c>
      <c r="AJ31" s="537"/>
      <c r="AK31" s="537"/>
      <c r="AL31" s="540"/>
      <c r="AM31" s="536" t="str">
        <f t="shared" ref="AM31" si="24">IFERROR(AO30/AM30,"")</f>
        <v/>
      </c>
      <c r="AN31" s="537"/>
      <c r="AO31" s="537"/>
      <c r="AP31" s="538"/>
      <c r="AQ31" s="539" t="str">
        <f>IFERROR(AS30/AQ30,"")</f>
        <v/>
      </c>
      <c r="AR31" s="537"/>
      <c r="AS31" s="537"/>
      <c r="AT31" s="540"/>
      <c r="AU31" s="536" t="str">
        <f t="shared" ref="AU31" si="25">IFERROR(AW30/AU30,"")</f>
        <v/>
      </c>
      <c r="AV31" s="537"/>
      <c r="AW31" s="537"/>
      <c r="AX31" s="538"/>
      <c r="AY31" s="539" t="str">
        <f t="shared" ref="AY31" si="26">IFERROR(BA30/AY30,"")</f>
        <v/>
      </c>
      <c r="AZ31" s="537"/>
      <c r="BA31" s="537"/>
      <c r="BB31" s="538"/>
      <c r="BE31" s="187">
        <v>29</v>
      </c>
      <c r="BF31" s="317"/>
      <c r="BG31" s="317"/>
      <c r="BH31" s="317"/>
      <c r="BI31" s="317"/>
      <c r="BJ31" s="317"/>
      <c r="BK31" s="318"/>
      <c r="BL31" s="215"/>
      <c r="BM31" s="209"/>
      <c r="BN31" s="209"/>
      <c r="BO31" s="209"/>
      <c r="BP31" s="209"/>
      <c r="BQ31" s="210"/>
      <c r="BR31" s="319"/>
      <c r="BS31" s="317"/>
      <c r="BT31" s="317"/>
      <c r="BU31" s="320"/>
      <c r="BW31" s="285" t="b">
        <v>0</v>
      </c>
      <c r="BX31" s="192" t="s">
        <v>85</v>
      </c>
      <c r="BY31" s="195"/>
      <c r="BZ31" s="196"/>
      <c r="CA31" s="196"/>
      <c r="CB31" s="196"/>
      <c r="CC31" s="196"/>
      <c r="CD31" s="196"/>
      <c r="CE31" s="196"/>
      <c r="CF31" s="196"/>
      <c r="CG31" s="196"/>
      <c r="CH31" s="178"/>
    </row>
    <row r="32" spans="2:86" ht="22.5" customHeight="1" thickTop="1">
      <c r="B32" s="257"/>
      <c r="C32" s="258"/>
      <c r="D32" s="258"/>
      <c r="E32" s="259"/>
      <c r="F32" s="418"/>
      <c r="G32" s="419"/>
      <c r="H32" s="419"/>
      <c r="I32" s="420"/>
      <c r="J32" s="462"/>
      <c r="K32" s="463"/>
      <c r="L32" s="464"/>
      <c r="M32" s="462"/>
      <c r="N32" s="463"/>
      <c r="O32" s="464"/>
      <c r="P32" s="462"/>
      <c r="Q32" s="463"/>
      <c r="R32" s="464"/>
      <c r="S32" s="462"/>
      <c r="T32" s="463"/>
      <c r="U32" s="464"/>
      <c r="V32" s="462"/>
      <c r="W32" s="463"/>
      <c r="X32" s="464"/>
      <c r="Y32" s="462"/>
      <c r="Z32" s="463"/>
      <c r="AA32" s="464"/>
      <c r="AC32" s="486" t="s">
        <v>124</v>
      </c>
      <c r="AD32" s="487"/>
      <c r="AE32" s="580"/>
      <c r="AF32" s="581"/>
      <c r="AG32" s="581"/>
      <c r="AH32" s="582"/>
      <c r="AI32" s="583"/>
      <c r="AJ32" s="581"/>
      <c r="AK32" s="581"/>
      <c r="AL32" s="584"/>
      <c r="AM32" s="580"/>
      <c r="AN32" s="581"/>
      <c r="AO32" s="581"/>
      <c r="AP32" s="582"/>
      <c r="AQ32" s="583"/>
      <c r="AR32" s="581"/>
      <c r="AS32" s="581"/>
      <c r="AT32" s="584"/>
      <c r="AU32" s="580"/>
      <c r="AV32" s="581"/>
      <c r="AW32" s="581"/>
      <c r="AX32" s="582"/>
      <c r="AY32" s="583"/>
      <c r="AZ32" s="581"/>
      <c r="BA32" s="581"/>
      <c r="BB32" s="582"/>
      <c r="BE32" s="188">
        <v>30</v>
      </c>
      <c r="BF32" s="534"/>
      <c r="BG32" s="534"/>
      <c r="BH32" s="534"/>
      <c r="BI32" s="534"/>
      <c r="BJ32" s="534"/>
      <c r="BK32" s="742"/>
      <c r="BL32" s="216"/>
      <c r="BM32" s="213"/>
      <c r="BN32" s="213"/>
      <c r="BO32" s="213"/>
      <c r="BP32" s="213"/>
      <c r="BQ32" s="214"/>
      <c r="BR32" s="707"/>
      <c r="BS32" s="534"/>
      <c r="BT32" s="534"/>
      <c r="BU32" s="535"/>
      <c r="BW32" s="285" t="b">
        <v>0</v>
      </c>
      <c r="BX32" s="178" t="s">
        <v>65</v>
      </c>
      <c r="BY32" s="195"/>
      <c r="BZ32" s="196"/>
      <c r="CA32" s="196"/>
      <c r="CB32" s="196"/>
      <c r="CC32" s="196"/>
      <c r="CD32" s="196"/>
      <c r="CE32" s="196"/>
      <c r="CF32" s="196"/>
      <c r="CG32" s="196"/>
      <c r="CH32" s="178"/>
    </row>
    <row r="33" spans="2:87" ht="22.5" customHeight="1">
      <c r="B33" s="178"/>
      <c r="C33" s="178"/>
      <c r="D33" s="178"/>
      <c r="E33" s="178"/>
      <c r="F33" s="178"/>
      <c r="G33" s="588"/>
      <c r="H33" s="588"/>
      <c r="I33" s="588"/>
      <c r="J33" s="588"/>
      <c r="K33" s="588"/>
      <c r="L33" s="588"/>
      <c r="M33" s="588"/>
      <c r="N33" s="588"/>
      <c r="O33" s="588"/>
      <c r="P33" s="588"/>
      <c r="Q33" s="588"/>
      <c r="R33" s="588"/>
      <c r="S33" s="588"/>
      <c r="T33" s="588"/>
      <c r="U33" s="588"/>
      <c r="V33" s="588"/>
      <c r="W33" s="588"/>
      <c r="X33" s="588"/>
      <c r="AC33" s="575" t="s">
        <v>123</v>
      </c>
      <c r="AD33" s="576"/>
      <c r="AE33" s="552">
        <f>IFERROR(AE32/AG30,"")</f>
        <v>0</v>
      </c>
      <c r="AF33" s="553"/>
      <c r="AG33" s="553"/>
      <c r="AH33" s="554"/>
      <c r="AI33" s="552" t="str">
        <f>IFERROR(AI32/AK30,"")</f>
        <v/>
      </c>
      <c r="AJ33" s="553"/>
      <c r="AK33" s="553"/>
      <c r="AL33" s="554"/>
      <c r="AM33" s="552" t="str">
        <f>IFERROR(AM32/AO30,"")</f>
        <v/>
      </c>
      <c r="AN33" s="553"/>
      <c r="AO33" s="553"/>
      <c r="AP33" s="554"/>
      <c r="AQ33" s="552" t="str">
        <f>IFERROR(AQ32/AS30,"")</f>
        <v/>
      </c>
      <c r="AR33" s="553"/>
      <c r="AS33" s="553"/>
      <c r="AT33" s="554"/>
      <c r="AU33" s="552" t="str">
        <f>IFERROR(AU32/AW30,"")</f>
        <v/>
      </c>
      <c r="AV33" s="553"/>
      <c r="AW33" s="553"/>
      <c r="AX33" s="554"/>
      <c r="AY33" s="552" t="str">
        <f>IFERROR(AY32/BA30,"")</f>
        <v/>
      </c>
      <c r="AZ33" s="553"/>
      <c r="BA33" s="553"/>
      <c r="BB33" s="554"/>
      <c r="BL33" s="589" t="s">
        <v>125</v>
      </c>
      <c r="BM33" s="590"/>
      <c r="BN33" s="591"/>
      <c r="BO33" s="555" t="str">
        <f>IF(COUNTA(BH3:BH32)=0,"",
IF(COUNTIF(BN3:BN32,"完")/COUNTA(BH3:BH32)&gt;=0.8,"A",
IF(COUNTIF(BN3:BN32,"完")/COUNTA(BH3:BH32)&gt;=0.5,"B",
IF(COUNTIF(BN3:BN32,"完")/COUNTA(BH3:BH32)&gt;=0.3,"C",
IF(COUNTIF(BN3:BN32,"完")/COUNTA(BH3:BH32)&gt;=0.1,"D","E")))))</f>
        <v>C</v>
      </c>
      <c r="BP33" s="556"/>
      <c r="BQ33" s="556"/>
      <c r="BR33" s="557"/>
      <c r="BS33" s="561">
        <f>IF(COUNTA(BH3:BH32)=0,"",COUNTIF(BN3:BN32,"完")/COUNTA(BH3:BH32))</f>
        <v>0.375</v>
      </c>
      <c r="BT33" s="562"/>
      <c r="BU33" s="563"/>
      <c r="BW33" s="285" t="b">
        <v>0</v>
      </c>
      <c r="BX33" s="178" t="s">
        <v>96</v>
      </c>
      <c r="BY33" s="178"/>
      <c r="BZ33" s="178"/>
      <c r="CA33" s="178"/>
      <c r="CB33" s="178"/>
      <c r="CC33" s="178"/>
      <c r="CD33" s="196"/>
      <c r="CE33" s="196"/>
      <c r="CF33" s="196"/>
      <c r="CG33" s="196"/>
      <c r="CH33" s="178"/>
    </row>
    <row r="34" spans="2:87" ht="22.5" customHeight="1">
      <c r="BL34" s="592"/>
      <c r="BM34" s="593"/>
      <c r="BN34" s="594"/>
      <c r="BO34" s="558"/>
      <c r="BP34" s="559"/>
      <c r="BQ34" s="559"/>
      <c r="BR34" s="560"/>
      <c r="BS34" s="564"/>
      <c r="BT34" s="565"/>
      <c r="BU34" s="566"/>
      <c r="BY34" s="178"/>
      <c r="BZ34" s="178"/>
      <c r="CA34" s="178"/>
      <c r="CB34" s="178"/>
      <c r="CC34" s="178"/>
      <c r="CD34" s="178"/>
      <c r="CE34" s="178"/>
      <c r="CF34" s="178"/>
      <c r="CG34" s="196"/>
      <c r="CH34" s="196"/>
      <c r="CI34" s="178"/>
    </row>
    <row r="35" spans="2:87" ht="22.5" customHeight="1">
      <c r="B35" s="567" t="s">
        <v>38</v>
      </c>
      <c r="C35" s="568"/>
      <c r="D35" s="568"/>
      <c r="E35" s="568"/>
      <c r="F35" s="568"/>
      <c r="G35" s="568"/>
      <c r="H35" s="568"/>
      <c r="I35" s="568"/>
      <c r="J35" s="568"/>
      <c r="K35" s="568"/>
      <c r="L35" s="568"/>
      <c r="M35" s="568"/>
      <c r="N35" s="568"/>
      <c r="O35" s="568"/>
      <c r="P35" s="568"/>
      <c r="Q35" s="568"/>
      <c r="R35" s="568"/>
      <c r="S35" s="568"/>
      <c r="T35" s="568"/>
      <c r="U35" s="569"/>
      <c r="V35" s="570">
        <f>IF(COUNT(J37:J66)=0,"",AVERAGE(J37:J66))</f>
        <v>4.5999999999999996</v>
      </c>
      <c r="W35" s="571"/>
      <c r="X35" s="572"/>
      <c r="Y35" s="573" t="s">
        <v>39</v>
      </c>
      <c r="Z35" s="568"/>
      <c r="AA35" s="568"/>
      <c r="AB35" s="568"/>
      <c r="AC35" s="568"/>
      <c r="AD35" s="568"/>
      <c r="AE35" s="568"/>
      <c r="AF35" s="568"/>
      <c r="AG35" s="569"/>
      <c r="AH35" s="574" t="s">
        <v>736</v>
      </c>
      <c r="AI35" s="436"/>
      <c r="AJ35" s="438"/>
      <c r="AL35" s="160" t="s">
        <v>59</v>
      </c>
      <c r="BW35" s="181" t="s">
        <v>950</v>
      </c>
      <c r="BX35" s="179"/>
      <c r="BY35" s="179"/>
      <c r="BZ35" s="179"/>
      <c r="CA35" s="179"/>
      <c r="CB35" s="179"/>
      <c r="CC35" s="179"/>
      <c r="CD35" s="179"/>
      <c r="CE35" s="179"/>
      <c r="CF35" s="186"/>
      <c r="CG35" s="186"/>
      <c r="CH35" s="179"/>
    </row>
    <row r="36" spans="2:87" ht="22.5" customHeight="1">
      <c r="B36" s="458" t="s">
        <v>41</v>
      </c>
      <c r="C36" s="459"/>
      <c r="D36" s="459"/>
      <c r="E36" s="459"/>
      <c r="F36" s="459"/>
      <c r="G36" s="459"/>
      <c r="H36" s="459"/>
      <c r="I36" s="459"/>
      <c r="J36" s="459" t="s">
        <v>42</v>
      </c>
      <c r="K36" s="459"/>
      <c r="L36" s="459" t="s">
        <v>43</v>
      </c>
      <c r="M36" s="459"/>
      <c r="N36" s="459"/>
      <c r="O36" s="459"/>
      <c r="P36" s="459"/>
      <c r="Q36" s="459"/>
      <c r="R36" s="459"/>
      <c r="S36" s="459" t="s">
        <v>44</v>
      </c>
      <c r="T36" s="459"/>
      <c r="U36" s="459"/>
      <c r="V36" s="459"/>
      <c r="W36" s="459"/>
      <c r="X36" s="460"/>
      <c r="Y36" s="598" t="s">
        <v>45</v>
      </c>
      <c r="Z36" s="599"/>
      <c r="AA36" s="599"/>
      <c r="AB36" s="599"/>
      <c r="AC36" s="599"/>
      <c r="AD36" s="459" t="s">
        <v>260</v>
      </c>
      <c r="AE36" s="459"/>
      <c r="AF36" s="459" t="s">
        <v>46</v>
      </c>
      <c r="AG36" s="459"/>
      <c r="AH36" s="459"/>
      <c r="AI36" s="459"/>
      <c r="AJ36" s="460"/>
      <c r="AL36" s="182" t="s">
        <v>247</v>
      </c>
      <c r="AM36" s="182"/>
      <c r="AN36" s="182"/>
      <c r="AO36" s="182"/>
      <c r="AP36" s="182"/>
      <c r="AQ36" s="182"/>
      <c r="AR36" s="183"/>
      <c r="AS36" s="183"/>
      <c r="AT36" s="183"/>
      <c r="AU36" s="183"/>
      <c r="AV36" s="183"/>
      <c r="AW36" s="183"/>
      <c r="AX36" s="183"/>
      <c r="AY36" s="179"/>
      <c r="AZ36" s="179"/>
      <c r="BA36" s="179"/>
      <c r="BB36" s="179"/>
      <c r="BC36" s="179"/>
      <c r="BD36" s="179"/>
      <c r="BE36" s="179"/>
      <c r="BF36" s="179"/>
      <c r="BG36" s="179"/>
      <c r="BH36" s="179"/>
      <c r="BI36" s="179"/>
      <c r="BK36" s="406" t="s">
        <v>244</v>
      </c>
      <c r="BL36" s="406"/>
      <c r="BM36" s="406"/>
      <c r="BN36" s="406"/>
      <c r="BO36" s="406"/>
      <c r="BP36" s="406"/>
      <c r="BQ36" s="406" t="s">
        <v>64</v>
      </c>
      <c r="BR36" s="406"/>
      <c r="BS36" s="406"/>
      <c r="BT36" s="406"/>
      <c r="BU36" s="406"/>
      <c r="BW36" s="285" t="b">
        <v>0</v>
      </c>
      <c r="BX36" s="192" t="s">
        <v>102</v>
      </c>
      <c r="BY36" s="178"/>
      <c r="BZ36" s="178"/>
      <c r="CA36" s="178"/>
      <c r="CB36" s="178"/>
      <c r="CC36" s="178"/>
      <c r="CD36" s="196"/>
      <c r="CE36" s="196"/>
      <c r="CF36" s="196"/>
      <c r="CG36" s="196"/>
      <c r="CH36" s="178"/>
    </row>
    <row r="37" spans="2:87" ht="22.5" customHeight="1">
      <c r="B37" s="324">
        <v>101</v>
      </c>
      <c r="C37" s="325"/>
      <c r="D37" s="531" t="s">
        <v>438</v>
      </c>
      <c r="E37" s="531" t="s">
        <v>322</v>
      </c>
      <c r="F37" s="531" t="s">
        <v>322</v>
      </c>
      <c r="G37" s="531" t="s">
        <v>322</v>
      </c>
      <c r="H37" s="531" t="s">
        <v>322</v>
      </c>
      <c r="I37" s="531" t="s">
        <v>322</v>
      </c>
      <c r="J37" s="469">
        <v>4</v>
      </c>
      <c r="K37" s="469">
        <v>4</v>
      </c>
      <c r="L37" s="595"/>
      <c r="M37" s="595"/>
      <c r="N37" s="595"/>
      <c r="O37" s="595"/>
      <c r="P37" s="595"/>
      <c r="Q37" s="595"/>
      <c r="R37" s="595"/>
      <c r="S37" s="208"/>
      <c r="T37" s="595"/>
      <c r="U37" s="595"/>
      <c r="V37" s="595"/>
      <c r="W37" s="595"/>
      <c r="X37" s="596"/>
      <c r="Y37" s="597"/>
      <c r="Z37" s="531"/>
      <c r="AA37" s="531"/>
      <c r="AB37" s="531"/>
      <c r="AC37" s="531"/>
      <c r="AD37" s="531"/>
      <c r="AE37" s="531"/>
      <c r="AF37" s="531"/>
      <c r="AG37" s="531"/>
      <c r="AH37" s="531"/>
      <c r="AI37" s="531"/>
      <c r="AJ37" s="532"/>
      <c r="AL37" s="600" t="s">
        <v>27</v>
      </c>
      <c r="AM37" s="600"/>
      <c r="AN37" s="600" t="s">
        <v>58</v>
      </c>
      <c r="AO37" s="600"/>
      <c r="AP37" s="600" t="s">
        <v>14</v>
      </c>
      <c r="AQ37" s="600"/>
      <c r="AR37" s="600" t="s">
        <v>22</v>
      </c>
      <c r="AS37" s="600"/>
      <c r="AT37" s="600" t="s">
        <v>1</v>
      </c>
      <c r="AU37" s="600"/>
      <c r="AV37" s="600" t="s">
        <v>18</v>
      </c>
      <c r="AW37" s="600"/>
      <c r="AX37" s="600" t="s">
        <v>28</v>
      </c>
      <c r="AY37" s="600"/>
      <c r="AZ37" s="600" t="s">
        <v>24</v>
      </c>
      <c r="BA37" s="600"/>
      <c r="BB37" s="600" t="s">
        <v>16</v>
      </c>
      <c r="BC37" s="600"/>
      <c r="BD37" s="600" t="s">
        <v>67</v>
      </c>
      <c r="BE37" s="600"/>
      <c r="BF37" s="600" t="s">
        <v>20</v>
      </c>
      <c r="BG37" s="600"/>
      <c r="BH37" s="600" t="s">
        <v>68</v>
      </c>
      <c r="BI37" s="600"/>
      <c r="BK37" s="601"/>
      <c r="BL37" s="601"/>
      <c r="BM37" s="601"/>
      <c r="BN37" s="601"/>
      <c r="BO37" s="601"/>
      <c r="BP37" s="601"/>
      <c r="BQ37" s="602" t="b">
        <v>0</v>
      </c>
      <c r="BR37" s="603"/>
      <c r="BS37" s="603"/>
      <c r="BT37" s="603"/>
      <c r="BU37" s="604"/>
      <c r="BV37" s="170"/>
      <c r="BW37" s="285" t="b">
        <v>0</v>
      </c>
      <c r="BX37" s="192" t="s">
        <v>86</v>
      </c>
      <c r="BY37" s="178"/>
      <c r="BZ37" s="178"/>
      <c r="CA37" s="178"/>
      <c r="CB37" s="178"/>
      <c r="CC37" s="178"/>
      <c r="CD37" s="196"/>
      <c r="CE37" s="196"/>
      <c r="CF37" s="196"/>
      <c r="CG37" s="196"/>
      <c r="CH37" s="178"/>
    </row>
    <row r="38" spans="2:87" ht="22.5" customHeight="1">
      <c r="B38" s="486">
        <v>102</v>
      </c>
      <c r="C38" s="606"/>
      <c r="D38" s="317" t="s">
        <v>439</v>
      </c>
      <c r="E38" s="317" t="s">
        <v>323</v>
      </c>
      <c r="F38" s="317" t="s">
        <v>323</v>
      </c>
      <c r="G38" s="317" t="s">
        <v>323</v>
      </c>
      <c r="H38" s="317" t="s">
        <v>323</v>
      </c>
      <c r="I38" s="317" t="s">
        <v>323</v>
      </c>
      <c r="J38" s="426">
        <v>4</v>
      </c>
      <c r="K38" s="426">
        <v>4</v>
      </c>
      <c r="L38" s="607"/>
      <c r="M38" s="607"/>
      <c r="N38" s="607"/>
      <c r="O38" s="607"/>
      <c r="P38" s="607"/>
      <c r="Q38" s="607"/>
      <c r="R38" s="607"/>
      <c r="S38" s="209"/>
      <c r="T38" s="607"/>
      <c r="U38" s="607"/>
      <c r="V38" s="607"/>
      <c r="W38" s="607"/>
      <c r="X38" s="608"/>
      <c r="Y38" s="319"/>
      <c r="Z38" s="317"/>
      <c r="AA38" s="317"/>
      <c r="AB38" s="317"/>
      <c r="AC38" s="317"/>
      <c r="AD38" s="317"/>
      <c r="AE38" s="317"/>
      <c r="AF38" s="317"/>
      <c r="AG38" s="317"/>
      <c r="AH38" s="317"/>
      <c r="AI38" s="317"/>
      <c r="AJ38" s="320"/>
      <c r="AL38" s="330">
        <v>0</v>
      </c>
      <c r="AM38" s="330"/>
      <c r="AN38" s="330">
        <v>0</v>
      </c>
      <c r="AO38" s="330"/>
      <c r="AP38" s="330">
        <v>0</v>
      </c>
      <c r="AQ38" s="330"/>
      <c r="AR38" s="330"/>
      <c r="AS38" s="330"/>
      <c r="AT38" s="330"/>
      <c r="AU38" s="330"/>
      <c r="AV38" s="330"/>
      <c r="AW38" s="330"/>
      <c r="AX38" s="330"/>
      <c r="AY38" s="330"/>
      <c r="AZ38" s="330"/>
      <c r="BA38" s="330"/>
      <c r="BB38" s="330"/>
      <c r="BC38" s="330"/>
      <c r="BD38" s="330"/>
      <c r="BE38" s="330"/>
      <c r="BF38" s="330"/>
      <c r="BG38" s="330"/>
      <c r="BH38" s="330">
        <v>18</v>
      </c>
      <c r="BI38" s="330"/>
      <c r="BK38" s="605"/>
      <c r="BL38" s="605"/>
      <c r="BM38" s="605"/>
      <c r="BN38" s="605"/>
      <c r="BO38" s="605"/>
      <c r="BP38" s="605"/>
      <c r="BQ38" s="609" t="b">
        <v>0</v>
      </c>
      <c r="BR38" s="610"/>
      <c r="BS38" s="610"/>
      <c r="BT38" s="610"/>
      <c r="BU38" s="611"/>
      <c r="BV38" s="170"/>
      <c r="BW38" s="285" t="b">
        <v>0</v>
      </c>
      <c r="BX38" s="192" t="s">
        <v>87</v>
      </c>
      <c r="BY38" s="178"/>
      <c r="BZ38" s="178"/>
      <c r="CA38" s="178"/>
      <c r="CB38" s="178"/>
      <c r="CC38" s="178"/>
      <c r="CD38" s="196"/>
      <c r="CE38" s="196"/>
      <c r="CF38" s="196"/>
      <c r="CG38" s="196"/>
      <c r="CH38" s="178"/>
    </row>
    <row r="39" spans="2:87" ht="22.5" customHeight="1">
      <c r="B39" s="486">
        <v>103</v>
      </c>
      <c r="C39" s="606"/>
      <c r="D39" s="317" t="s">
        <v>440</v>
      </c>
      <c r="E39" s="317" t="s">
        <v>324</v>
      </c>
      <c r="F39" s="317" t="s">
        <v>324</v>
      </c>
      <c r="G39" s="317" t="s">
        <v>324</v>
      </c>
      <c r="H39" s="317" t="s">
        <v>324</v>
      </c>
      <c r="I39" s="317" t="s">
        <v>324</v>
      </c>
      <c r="J39" s="426">
        <v>4</v>
      </c>
      <c r="K39" s="426">
        <v>4</v>
      </c>
      <c r="L39" s="607"/>
      <c r="M39" s="607"/>
      <c r="N39" s="607"/>
      <c r="O39" s="607"/>
      <c r="P39" s="607"/>
      <c r="Q39" s="607"/>
      <c r="R39" s="607"/>
      <c r="S39" s="209"/>
      <c r="T39" s="607"/>
      <c r="U39" s="607"/>
      <c r="V39" s="607"/>
      <c r="W39" s="607"/>
      <c r="X39" s="608"/>
      <c r="Y39" s="319"/>
      <c r="Z39" s="317"/>
      <c r="AA39" s="317"/>
      <c r="AB39" s="317"/>
      <c r="AC39" s="317"/>
      <c r="AD39" s="317"/>
      <c r="AE39" s="317"/>
      <c r="AF39" s="317"/>
      <c r="AG39" s="317"/>
      <c r="AH39" s="317"/>
      <c r="AI39" s="317"/>
      <c r="AJ39" s="320"/>
      <c r="BK39" s="605"/>
      <c r="BL39" s="605"/>
      <c r="BM39" s="605"/>
      <c r="BN39" s="605"/>
      <c r="BO39" s="605"/>
      <c r="BP39" s="605"/>
      <c r="BQ39" s="609" t="b">
        <v>0</v>
      </c>
      <c r="BR39" s="610"/>
      <c r="BS39" s="610"/>
      <c r="BT39" s="610"/>
      <c r="BU39" s="611"/>
      <c r="BW39" s="285" t="b">
        <v>0</v>
      </c>
      <c r="BX39" s="192" t="s">
        <v>88</v>
      </c>
      <c r="BY39" s="178"/>
      <c r="BZ39" s="178"/>
      <c r="CA39" s="178"/>
      <c r="CB39" s="178"/>
      <c r="CC39" s="178"/>
      <c r="CD39" s="196"/>
      <c r="CE39" s="196"/>
      <c r="CF39" s="196"/>
      <c r="CG39" s="196"/>
      <c r="CH39" s="178"/>
    </row>
    <row r="40" spans="2:87" ht="22.5" customHeight="1">
      <c r="B40" s="486">
        <v>104</v>
      </c>
      <c r="C40" s="606"/>
      <c r="D40" s="317" t="s">
        <v>441</v>
      </c>
      <c r="E40" s="317" t="s">
        <v>325</v>
      </c>
      <c r="F40" s="317" t="s">
        <v>325</v>
      </c>
      <c r="G40" s="317" t="s">
        <v>325</v>
      </c>
      <c r="H40" s="317" t="s">
        <v>325</v>
      </c>
      <c r="I40" s="317" t="s">
        <v>325</v>
      </c>
      <c r="J40" s="426">
        <v>4</v>
      </c>
      <c r="K40" s="426">
        <v>4</v>
      </c>
      <c r="L40" s="607"/>
      <c r="M40" s="607"/>
      <c r="N40" s="607"/>
      <c r="O40" s="607"/>
      <c r="P40" s="607"/>
      <c r="Q40" s="607"/>
      <c r="R40" s="607"/>
      <c r="S40" s="209"/>
      <c r="T40" s="607"/>
      <c r="U40" s="607"/>
      <c r="V40" s="607"/>
      <c r="W40" s="607"/>
      <c r="X40" s="608"/>
      <c r="Y40" s="319"/>
      <c r="Z40" s="317"/>
      <c r="AA40" s="317"/>
      <c r="AB40" s="317"/>
      <c r="AC40" s="317"/>
      <c r="AD40" s="317"/>
      <c r="AE40" s="317"/>
      <c r="AF40" s="317"/>
      <c r="AG40" s="317"/>
      <c r="AH40" s="317"/>
      <c r="AI40" s="317"/>
      <c r="AJ40" s="320"/>
      <c r="AL40" s="182" t="s">
        <v>248</v>
      </c>
      <c r="AM40" s="182"/>
      <c r="AN40" s="182"/>
      <c r="AO40" s="182"/>
      <c r="AP40" s="182"/>
      <c r="AQ40" s="182"/>
      <c r="AR40" s="183"/>
      <c r="AS40" s="183"/>
      <c r="AT40" s="183"/>
      <c r="AU40" s="183"/>
      <c r="AV40" s="183"/>
      <c r="AW40" s="183"/>
      <c r="AX40" s="183"/>
      <c r="AY40" s="179"/>
      <c r="AZ40" s="179"/>
      <c r="BA40" s="179"/>
      <c r="BB40" s="179"/>
      <c r="BC40" s="179"/>
      <c r="BD40" s="179"/>
      <c r="BE40" s="179"/>
      <c r="BF40" s="179"/>
      <c r="BG40" s="179"/>
      <c r="BH40" s="179"/>
      <c r="BI40" s="179"/>
      <c r="BK40" s="605"/>
      <c r="BL40" s="605"/>
      <c r="BM40" s="605"/>
      <c r="BN40" s="605"/>
      <c r="BO40" s="605"/>
      <c r="BP40" s="605"/>
      <c r="BQ40" s="609" t="b">
        <v>0</v>
      </c>
      <c r="BR40" s="610"/>
      <c r="BS40" s="610"/>
      <c r="BT40" s="610"/>
      <c r="BU40" s="611"/>
      <c r="BW40" s="285" t="b">
        <v>0</v>
      </c>
      <c r="BX40" s="192" t="s">
        <v>89</v>
      </c>
      <c r="BY40" s="178"/>
      <c r="BZ40" s="178"/>
      <c r="CA40" s="178"/>
      <c r="CB40" s="178"/>
      <c r="CC40" s="178"/>
      <c r="CD40" s="196"/>
      <c r="CE40" s="196"/>
      <c r="CF40" s="196"/>
      <c r="CG40" s="196"/>
      <c r="CH40" s="178"/>
    </row>
    <row r="41" spans="2:87" ht="22.5" customHeight="1">
      <c r="B41" s="486">
        <v>105</v>
      </c>
      <c r="C41" s="606"/>
      <c r="D41" s="317" t="s">
        <v>442</v>
      </c>
      <c r="E41" s="317" t="s">
        <v>326</v>
      </c>
      <c r="F41" s="317" t="s">
        <v>326</v>
      </c>
      <c r="G41" s="317" t="s">
        <v>326</v>
      </c>
      <c r="H41" s="317" t="s">
        <v>326</v>
      </c>
      <c r="I41" s="317" t="s">
        <v>326</v>
      </c>
      <c r="J41" s="426">
        <v>4</v>
      </c>
      <c r="K41" s="426">
        <v>4</v>
      </c>
      <c r="L41" s="607"/>
      <c r="M41" s="607"/>
      <c r="N41" s="607"/>
      <c r="O41" s="607"/>
      <c r="P41" s="607"/>
      <c r="Q41" s="607"/>
      <c r="R41" s="607"/>
      <c r="S41" s="209"/>
      <c r="T41" s="607"/>
      <c r="U41" s="607"/>
      <c r="V41" s="607"/>
      <c r="W41" s="607"/>
      <c r="X41" s="608"/>
      <c r="Y41" s="319"/>
      <c r="Z41" s="317"/>
      <c r="AA41" s="317"/>
      <c r="AB41" s="317"/>
      <c r="AC41" s="317"/>
      <c r="AD41" s="317"/>
      <c r="AE41" s="317"/>
      <c r="AF41" s="317"/>
      <c r="AG41" s="317"/>
      <c r="AH41" s="317"/>
      <c r="AI41" s="317"/>
      <c r="AJ41" s="320"/>
      <c r="AL41" s="600" t="s">
        <v>27</v>
      </c>
      <c r="AM41" s="600"/>
      <c r="AN41" s="600" t="s">
        <v>58</v>
      </c>
      <c r="AO41" s="600"/>
      <c r="AP41" s="600" t="s">
        <v>14</v>
      </c>
      <c r="AQ41" s="600"/>
      <c r="AR41" s="600" t="s">
        <v>22</v>
      </c>
      <c r="AS41" s="600"/>
      <c r="AT41" s="600" t="s">
        <v>1</v>
      </c>
      <c r="AU41" s="600"/>
      <c r="AV41" s="600" t="s">
        <v>18</v>
      </c>
      <c r="AW41" s="600"/>
      <c r="AX41" s="600" t="s">
        <v>28</v>
      </c>
      <c r="AY41" s="600"/>
      <c r="AZ41" s="600" t="s">
        <v>24</v>
      </c>
      <c r="BA41" s="600"/>
      <c r="BB41" s="600" t="s">
        <v>16</v>
      </c>
      <c r="BC41" s="600"/>
      <c r="BD41" s="600" t="s">
        <v>67</v>
      </c>
      <c r="BE41" s="600"/>
      <c r="BF41" s="600" t="s">
        <v>20</v>
      </c>
      <c r="BG41" s="600"/>
      <c r="BH41" s="600" t="s">
        <v>68</v>
      </c>
      <c r="BI41" s="600"/>
      <c r="BK41" s="605"/>
      <c r="BL41" s="605"/>
      <c r="BM41" s="605"/>
      <c r="BN41" s="605"/>
      <c r="BO41" s="605"/>
      <c r="BP41" s="605"/>
      <c r="BQ41" s="609" t="b">
        <v>0</v>
      </c>
      <c r="BR41" s="610"/>
      <c r="BS41" s="610"/>
      <c r="BT41" s="610"/>
      <c r="BU41" s="611"/>
      <c r="BW41" s="285" t="b">
        <v>0</v>
      </c>
      <c r="BX41" s="192" t="s">
        <v>103</v>
      </c>
      <c r="BY41" s="178"/>
      <c r="BZ41" s="178"/>
      <c r="CA41" s="178"/>
      <c r="CB41" s="178"/>
      <c r="CC41" s="178"/>
      <c r="CD41" s="196"/>
      <c r="CE41" s="196"/>
      <c r="CF41" s="196"/>
      <c r="CG41" s="196"/>
      <c r="CH41" s="178"/>
    </row>
    <row r="42" spans="2:87" ht="22.5" customHeight="1">
      <c r="B42" s="486">
        <v>106</v>
      </c>
      <c r="C42" s="606"/>
      <c r="D42" s="317" t="s">
        <v>443</v>
      </c>
      <c r="E42" s="317" t="s">
        <v>327</v>
      </c>
      <c r="F42" s="317" t="s">
        <v>327</v>
      </c>
      <c r="G42" s="317" t="s">
        <v>327</v>
      </c>
      <c r="H42" s="317" t="s">
        <v>327</v>
      </c>
      <c r="I42" s="317" t="s">
        <v>327</v>
      </c>
      <c r="J42" s="426">
        <v>6</v>
      </c>
      <c r="K42" s="426">
        <v>6</v>
      </c>
      <c r="L42" s="607"/>
      <c r="M42" s="607"/>
      <c r="N42" s="607"/>
      <c r="O42" s="607"/>
      <c r="P42" s="607"/>
      <c r="Q42" s="607"/>
      <c r="R42" s="607"/>
      <c r="S42" s="209"/>
      <c r="T42" s="607"/>
      <c r="U42" s="607"/>
      <c r="V42" s="607"/>
      <c r="W42" s="607"/>
      <c r="X42" s="608"/>
      <c r="Y42" s="319" t="s">
        <v>580</v>
      </c>
      <c r="Z42" s="317" t="s">
        <v>272</v>
      </c>
      <c r="AA42" s="317" t="s">
        <v>272</v>
      </c>
      <c r="AB42" s="317" t="s">
        <v>272</v>
      </c>
      <c r="AC42" s="317" t="s">
        <v>272</v>
      </c>
      <c r="AD42" s="317" t="s">
        <v>723</v>
      </c>
      <c r="AE42" s="317"/>
      <c r="AF42" s="317"/>
      <c r="AG42" s="317"/>
      <c r="AH42" s="317"/>
      <c r="AI42" s="317"/>
      <c r="AJ42" s="320"/>
      <c r="AL42" s="330">
        <v>0</v>
      </c>
      <c r="AM42" s="330"/>
      <c r="AN42" s="330">
        <v>3</v>
      </c>
      <c r="AO42" s="330"/>
      <c r="AP42" s="330">
        <v>0</v>
      </c>
      <c r="AQ42" s="330"/>
      <c r="AR42" s="330"/>
      <c r="AS42" s="330"/>
      <c r="AT42" s="330"/>
      <c r="AU42" s="330"/>
      <c r="AV42" s="330"/>
      <c r="AW42" s="330"/>
      <c r="AX42" s="330"/>
      <c r="AY42" s="330"/>
      <c r="AZ42" s="330"/>
      <c r="BA42" s="330"/>
      <c r="BB42" s="330"/>
      <c r="BC42" s="330"/>
      <c r="BD42" s="330"/>
      <c r="BE42" s="330"/>
      <c r="BF42" s="330"/>
      <c r="BG42" s="330"/>
      <c r="BH42" s="330"/>
      <c r="BI42" s="330"/>
      <c r="BK42" s="612"/>
      <c r="BL42" s="612"/>
      <c r="BM42" s="612"/>
      <c r="BN42" s="612"/>
      <c r="BO42" s="612"/>
      <c r="BP42" s="612"/>
      <c r="BQ42" s="613" t="b">
        <v>0</v>
      </c>
      <c r="BR42" s="614"/>
      <c r="BS42" s="614"/>
      <c r="BT42" s="614"/>
      <c r="BU42" s="615"/>
      <c r="BW42" s="285" t="b">
        <v>0</v>
      </c>
      <c r="BX42" s="192" t="s">
        <v>82</v>
      </c>
      <c r="BY42" s="178"/>
      <c r="BZ42" s="178"/>
      <c r="CA42" s="178"/>
      <c r="CB42" s="178"/>
      <c r="CC42" s="178"/>
      <c r="CD42" s="196"/>
      <c r="CE42" s="196"/>
      <c r="CF42" s="196"/>
      <c r="CG42" s="196"/>
      <c r="CH42" s="178"/>
    </row>
    <row r="43" spans="2:87" ht="22.5" customHeight="1">
      <c r="B43" s="486">
        <v>107</v>
      </c>
      <c r="C43" s="606"/>
      <c r="D43" s="317" t="s">
        <v>444</v>
      </c>
      <c r="E43" s="317" t="s">
        <v>328</v>
      </c>
      <c r="F43" s="317" t="s">
        <v>328</v>
      </c>
      <c r="G43" s="317" t="s">
        <v>328</v>
      </c>
      <c r="H43" s="317" t="s">
        <v>328</v>
      </c>
      <c r="I43" s="317" t="s">
        <v>328</v>
      </c>
      <c r="J43" s="426">
        <v>4</v>
      </c>
      <c r="K43" s="426">
        <v>4</v>
      </c>
      <c r="L43" s="607"/>
      <c r="M43" s="607"/>
      <c r="N43" s="607"/>
      <c r="O43" s="607"/>
      <c r="P43" s="607"/>
      <c r="Q43" s="607"/>
      <c r="R43" s="607"/>
      <c r="S43" s="209"/>
      <c r="T43" s="607"/>
      <c r="U43" s="607"/>
      <c r="V43" s="607"/>
      <c r="W43" s="607"/>
      <c r="X43" s="608"/>
      <c r="Y43" s="319"/>
      <c r="Z43" s="317"/>
      <c r="AA43" s="317"/>
      <c r="AB43" s="317"/>
      <c r="AC43" s="317"/>
      <c r="AD43" s="317"/>
      <c r="AE43" s="317"/>
      <c r="AF43" s="317"/>
      <c r="AG43" s="317"/>
      <c r="AH43" s="317"/>
      <c r="AI43" s="317"/>
      <c r="AJ43" s="320"/>
      <c r="AL43" s="171"/>
      <c r="AM43" s="171"/>
      <c r="AN43" s="171"/>
      <c r="AO43" s="171"/>
      <c r="AP43" s="171"/>
      <c r="AQ43" s="171"/>
      <c r="AR43" s="171"/>
      <c r="AS43" s="171"/>
      <c r="AT43" s="171"/>
      <c r="AU43" s="171"/>
      <c r="AV43" s="171"/>
      <c r="AW43" s="171"/>
      <c r="AX43" s="171"/>
      <c r="AY43" s="171"/>
      <c r="AZ43" s="171"/>
      <c r="BA43" s="171"/>
      <c r="BB43" s="171"/>
      <c r="BC43" s="171"/>
      <c r="BD43" s="171"/>
      <c r="BE43" s="171"/>
      <c r="BF43" s="171"/>
      <c r="BG43" s="171"/>
      <c r="BH43" s="171"/>
      <c r="BI43" s="171"/>
      <c r="BV43" s="164"/>
    </row>
    <row r="44" spans="2:87" ht="22.5" customHeight="1">
      <c r="B44" s="486">
        <v>108</v>
      </c>
      <c r="C44" s="606"/>
      <c r="D44" s="317" t="s">
        <v>445</v>
      </c>
      <c r="E44" s="317" t="s">
        <v>329</v>
      </c>
      <c r="F44" s="317" t="s">
        <v>329</v>
      </c>
      <c r="G44" s="317" t="s">
        <v>329</v>
      </c>
      <c r="H44" s="317" t="s">
        <v>329</v>
      </c>
      <c r="I44" s="317" t="s">
        <v>329</v>
      </c>
      <c r="J44" s="426">
        <v>6</v>
      </c>
      <c r="K44" s="426">
        <v>6</v>
      </c>
      <c r="L44" s="607"/>
      <c r="M44" s="607"/>
      <c r="N44" s="607"/>
      <c r="O44" s="607"/>
      <c r="P44" s="607"/>
      <c r="Q44" s="607"/>
      <c r="R44" s="607"/>
      <c r="S44" s="209"/>
      <c r="T44" s="607"/>
      <c r="U44" s="607"/>
      <c r="V44" s="607"/>
      <c r="W44" s="607"/>
      <c r="X44" s="608"/>
      <c r="Y44" s="319"/>
      <c r="Z44" s="317"/>
      <c r="AA44" s="317"/>
      <c r="AB44" s="317"/>
      <c r="AC44" s="317"/>
      <c r="AD44" s="317"/>
      <c r="AE44" s="317"/>
      <c r="AF44" s="317"/>
      <c r="AG44" s="317"/>
      <c r="AH44" s="317"/>
      <c r="AI44" s="317"/>
      <c r="AJ44" s="320"/>
      <c r="AL44" s="179" t="s">
        <v>246</v>
      </c>
      <c r="AM44" s="179"/>
      <c r="AN44" s="179"/>
      <c r="AO44" s="179"/>
      <c r="AP44" s="179"/>
      <c r="AQ44" s="179"/>
      <c r="AR44" s="179"/>
      <c r="AS44" s="179"/>
      <c r="AT44" s="179"/>
      <c r="AU44" s="179"/>
      <c r="AV44" s="179"/>
      <c r="AW44" s="179"/>
      <c r="AX44" s="179"/>
      <c r="AY44" s="179"/>
      <c r="AZ44" s="179"/>
      <c r="BA44" s="179"/>
      <c r="BB44" s="179"/>
      <c r="BC44" s="179"/>
      <c r="BD44" s="179"/>
      <c r="BE44" s="179"/>
      <c r="BF44" s="179"/>
      <c r="BG44" s="179"/>
      <c r="BH44" s="179"/>
      <c r="BI44" s="179"/>
      <c r="BJ44" s="163"/>
      <c r="BK44" s="163"/>
      <c r="BL44" s="163"/>
      <c r="BM44" s="163"/>
      <c r="BN44" s="163"/>
      <c r="BO44" s="163"/>
      <c r="BP44" s="163"/>
      <c r="BQ44" s="163"/>
      <c r="BR44" s="163"/>
      <c r="BS44" s="163"/>
      <c r="BT44" s="163"/>
      <c r="BU44" s="163"/>
      <c r="BV44" s="164"/>
      <c r="BW44" s="179" t="s">
        <v>75</v>
      </c>
      <c r="BX44" s="179"/>
      <c r="BY44" s="179"/>
      <c r="BZ44" s="179"/>
      <c r="CA44" s="179"/>
      <c r="CB44" s="179"/>
      <c r="CC44" s="179"/>
      <c r="CD44" s="179"/>
      <c r="CE44" s="179"/>
      <c r="CF44" s="179"/>
      <c r="CG44" s="179"/>
      <c r="CH44" s="179"/>
    </row>
    <row r="45" spans="2:87" ht="22.5" customHeight="1">
      <c r="B45" s="486">
        <v>109</v>
      </c>
      <c r="C45" s="606"/>
      <c r="D45" s="317" t="s">
        <v>446</v>
      </c>
      <c r="E45" s="317" t="s">
        <v>330</v>
      </c>
      <c r="F45" s="317" t="s">
        <v>330</v>
      </c>
      <c r="G45" s="317" t="s">
        <v>330</v>
      </c>
      <c r="H45" s="317" t="s">
        <v>330</v>
      </c>
      <c r="I45" s="317" t="s">
        <v>330</v>
      </c>
      <c r="J45" s="426">
        <v>5</v>
      </c>
      <c r="K45" s="426">
        <v>5</v>
      </c>
      <c r="L45" s="607"/>
      <c r="M45" s="607"/>
      <c r="N45" s="607"/>
      <c r="O45" s="607"/>
      <c r="P45" s="607"/>
      <c r="Q45" s="607"/>
      <c r="R45" s="607"/>
      <c r="S45" s="209"/>
      <c r="T45" s="607"/>
      <c r="U45" s="607"/>
      <c r="V45" s="607"/>
      <c r="W45" s="607"/>
      <c r="X45" s="608"/>
      <c r="Y45" s="616"/>
      <c r="Z45" s="617"/>
      <c r="AA45" s="617"/>
      <c r="AB45" s="617"/>
      <c r="AC45" s="617"/>
      <c r="AD45" s="317"/>
      <c r="AE45" s="317"/>
      <c r="AF45" s="317"/>
      <c r="AG45" s="317"/>
      <c r="AH45" s="317"/>
      <c r="AI45" s="317"/>
      <c r="AJ45" s="320"/>
      <c r="AL45" s="618" t="s">
        <v>27</v>
      </c>
      <c r="AM45" s="618"/>
      <c r="AN45" s="618" t="s">
        <v>58</v>
      </c>
      <c r="AO45" s="618"/>
      <c r="AP45" s="618" t="s">
        <v>14</v>
      </c>
      <c r="AQ45" s="618"/>
      <c r="AR45" s="618" t="s">
        <v>22</v>
      </c>
      <c r="AS45" s="618"/>
      <c r="AT45" s="618" t="s">
        <v>1</v>
      </c>
      <c r="AU45" s="618"/>
      <c r="AV45" s="618" t="s">
        <v>18</v>
      </c>
      <c r="AW45" s="618"/>
      <c r="AX45" s="618" t="s">
        <v>28</v>
      </c>
      <c r="AY45" s="618"/>
      <c r="AZ45" s="618" t="s">
        <v>24</v>
      </c>
      <c r="BA45" s="618"/>
      <c r="BB45" s="618" t="s">
        <v>16</v>
      </c>
      <c r="BC45" s="618"/>
      <c r="BD45" s="618" t="s">
        <v>67</v>
      </c>
      <c r="BE45" s="618"/>
      <c r="BF45" s="618" t="s">
        <v>20</v>
      </c>
      <c r="BG45" s="618"/>
      <c r="BH45" s="618" t="s">
        <v>68</v>
      </c>
      <c r="BI45" s="618"/>
      <c r="BK45" s="630" t="s">
        <v>108</v>
      </c>
      <c r="BL45" s="631"/>
      <c r="BM45" s="634">
        <f>SUM(AL46:BI46)</f>
        <v>7</v>
      </c>
      <c r="BN45" s="635"/>
      <c r="BO45" s="636"/>
      <c r="BP45" s="640" t="s">
        <v>107</v>
      </c>
      <c r="BQ45" s="641"/>
      <c r="BR45" s="631"/>
      <c r="BS45" s="642" t="str">
        <f>IF(OR(BP46="",ISBLANK(BP46)),"",
IF(BP46&gt;=5,"A",
IF(BP46&gt;=4,"B",
IF(BP46&gt;=3,"C",
IF(BP46&gt;=1,"D","E")))))</f>
        <v>D</v>
      </c>
      <c r="BT45" s="556"/>
      <c r="BU45" s="557"/>
      <c r="BV45" s="164"/>
      <c r="BW45" s="619"/>
      <c r="BX45" s="620"/>
      <c r="BY45" s="620"/>
      <c r="BZ45" s="620"/>
      <c r="CA45" s="620"/>
      <c r="CB45" s="620"/>
      <c r="CC45" s="620"/>
      <c r="CD45" s="620"/>
      <c r="CE45" s="620"/>
      <c r="CF45" s="620"/>
      <c r="CG45" s="620"/>
      <c r="CH45" s="621"/>
    </row>
    <row r="46" spans="2:87" ht="22.5" customHeight="1" thickBot="1">
      <c r="B46" s="622">
        <v>110</v>
      </c>
      <c r="C46" s="623"/>
      <c r="D46" s="624" t="s">
        <v>447</v>
      </c>
      <c r="E46" s="624" t="s">
        <v>331</v>
      </c>
      <c r="F46" s="624" t="s">
        <v>331</v>
      </c>
      <c r="G46" s="624" t="s">
        <v>331</v>
      </c>
      <c r="H46" s="624" t="s">
        <v>331</v>
      </c>
      <c r="I46" s="624" t="s">
        <v>331</v>
      </c>
      <c r="J46" s="625">
        <v>6</v>
      </c>
      <c r="K46" s="625">
        <v>6</v>
      </c>
      <c r="L46" s="626" t="s">
        <v>933</v>
      </c>
      <c r="M46" s="626"/>
      <c r="N46" s="626"/>
      <c r="O46" s="626"/>
      <c r="P46" s="626"/>
      <c r="Q46" s="626"/>
      <c r="R46" s="626"/>
      <c r="S46" s="211"/>
      <c r="T46" s="626"/>
      <c r="U46" s="626"/>
      <c r="V46" s="626"/>
      <c r="W46" s="626"/>
      <c r="X46" s="627"/>
      <c r="Y46" s="628"/>
      <c r="Z46" s="624"/>
      <c r="AA46" s="624"/>
      <c r="AB46" s="624"/>
      <c r="AC46" s="624"/>
      <c r="AD46" s="624"/>
      <c r="AE46" s="624"/>
      <c r="AF46" s="624"/>
      <c r="AG46" s="624"/>
      <c r="AH46" s="624"/>
      <c r="AI46" s="624"/>
      <c r="AJ46" s="629"/>
      <c r="AL46" s="330">
        <v>2</v>
      </c>
      <c r="AM46" s="330"/>
      <c r="AN46" s="330">
        <v>2</v>
      </c>
      <c r="AO46" s="330"/>
      <c r="AP46" s="330">
        <v>3</v>
      </c>
      <c r="AQ46" s="330"/>
      <c r="AR46" s="330"/>
      <c r="AS46" s="330"/>
      <c r="AT46" s="330"/>
      <c r="AU46" s="330"/>
      <c r="AV46" s="330"/>
      <c r="AW46" s="330"/>
      <c r="AX46" s="330"/>
      <c r="AY46" s="330"/>
      <c r="AZ46" s="330"/>
      <c r="BA46" s="330"/>
      <c r="BB46" s="330"/>
      <c r="BC46" s="330"/>
      <c r="BD46" s="330"/>
      <c r="BE46" s="330"/>
      <c r="BF46" s="330"/>
      <c r="BG46" s="330"/>
      <c r="BH46" s="330"/>
      <c r="BI46" s="330"/>
      <c r="BK46" s="632"/>
      <c r="BL46" s="633"/>
      <c r="BM46" s="637"/>
      <c r="BN46" s="638"/>
      <c r="BO46" s="639"/>
      <c r="BP46" s="652">
        <f>IF(COUNT(AL46:BI46)=0,"",ROUND(AVERAGE(AL46:BI46),1))</f>
        <v>2.2999999999999998</v>
      </c>
      <c r="BQ46" s="653"/>
      <c r="BR46" s="654"/>
      <c r="BS46" s="643"/>
      <c r="BT46" s="559"/>
      <c r="BU46" s="560"/>
      <c r="BV46" s="164"/>
      <c r="BW46" s="644"/>
      <c r="BX46" s="607"/>
      <c r="BY46" s="607"/>
      <c r="BZ46" s="607"/>
      <c r="CA46" s="607"/>
      <c r="CB46" s="607"/>
      <c r="CC46" s="607"/>
      <c r="CD46" s="607"/>
      <c r="CE46" s="607"/>
      <c r="CF46" s="607"/>
      <c r="CG46" s="607"/>
      <c r="CH46" s="608"/>
    </row>
    <row r="47" spans="2:87" ht="22.5" customHeight="1">
      <c r="B47" s="550">
        <v>201</v>
      </c>
      <c r="C47" s="645"/>
      <c r="D47" s="646" t="s">
        <v>448</v>
      </c>
      <c r="E47" s="646" t="s">
        <v>332</v>
      </c>
      <c r="F47" s="646" t="s">
        <v>332</v>
      </c>
      <c r="G47" s="646" t="s">
        <v>332</v>
      </c>
      <c r="H47" s="646" t="s">
        <v>332</v>
      </c>
      <c r="I47" s="646" t="s">
        <v>332</v>
      </c>
      <c r="J47" s="647">
        <v>5</v>
      </c>
      <c r="K47" s="647">
        <v>5</v>
      </c>
      <c r="L47" s="648"/>
      <c r="M47" s="648"/>
      <c r="N47" s="648"/>
      <c r="O47" s="648"/>
      <c r="P47" s="648"/>
      <c r="Q47" s="648"/>
      <c r="R47" s="648"/>
      <c r="S47" s="212"/>
      <c r="T47" s="648"/>
      <c r="U47" s="648"/>
      <c r="V47" s="648"/>
      <c r="W47" s="648"/>
      <c r="X47" s="649"/>
      <c r="Y47" s="650"/>
      <c r="Z47" s="646"/>
      <c r="AA47" s="646"/>
      <c r="AB47" s="646"/>
      <c r="AC47" s="646"/>
      <c r="AD47" s="646"/>
      <c r="AE47" s="646"/>
      <c r="AF47" s="646"/>
      <c r="AG47" s="646"/>
      <c r="AH47" s="646"/>
      <c r="AI47" s="646"/>
      <c r="AJ47" s="651"/>
      <c r="BV47" s="164"/>
      <c r="BW47" s="644"/>
      <c r="BX47" s="607"/>
      <c r="BY47" s="607"/>
      <c r="BZ47" s="607"/>
      <c r="CA47" s="607"/>
      <c r="CB47" s="607"/>
      <c r="CC47" s="607"/>
      <c r="CD47" s="607"/>
      <c r="CE47" s="607"/>
      <c r="CF47" s="607"/>
      <c r="CG47" s="607"/>
      <c r="CH47" s="608"/>
    </row>
    <row r="48" spans="2:87" ht="22.5" customHeight="1">
      <c r="B48" s="486">
        <v>202</v>
      </c>
      <c r="C48" s="606"/>
      <c r="D48" s="317" t="s">
        <v>449</v>
      </c>
      <c r="E48" s="317" t="s">
        <v>333</v>
      </c>
      <c r="F48" s="317" t="s">
        <v>333</v>
      </c>
      <c r="G48" s="317" t="s">
        <v>333</v>
      </c>
      <c r="H48" s="317" t="s">
        <v>333</v>
      </c>
      <c r="I48" s="317" t="s">
        <v>333</v>
      </c>
      <c r="J48" s="426">
        <v>5</v>
      </c>
      <c r="K48" s="426">
        <v>5</v>
      </c>
      <c r="L48" s="607"/>
      <c r="M48" s="607"/>
      <c r="N48" s="607"/>
      <c r="O48" s="607"/>
      <c r="P48" s="607"/>
      <c r="Q48" s="607"/>
      <c r="R48" s="607"/>
      <c r="S48" s="209"/>
      <c r="T48" s="607"/>
      <c r="U48" s="607"/>
      <c r="V48" s="607"/>
      <c r="W48" s="607"/>
      <c r="X48" s="608"/>
      <c r="Y48" s="319"/>
      <c r="Z48" s="317"/>
      <c r="AA48" s="317"/>
      <c r="AB48" s="317"/>
      <c r="AC48" s="317"/>
      <c r="AD48" s="317"/>
      <c r="AE48" s="317"/>
      <c r="AF48" s="317"/>
      <c r="AG48" s="317"/>
      <c r="AH48" s="317"/>
      <c r="AI48" s="317"/>
      <c r="AJ48" s="320"/>
      <c r="AL48" s="182" t="s">
        <v>241</v>
      </c>
      <c r="AM48" s="182"/>
      <c r="AN48" s="182"/>
      <c r="AO48" s="182"/>
      <c r="AP48" s="182"/>
      <c r="AQ48" s="182"/>
      <c r="AR48" s="183"/>
      <c r="AS48" s="183"/>
      <c r="AT48" s="183"/>
      <c r="AU48" s="183"/>
      <c r="AV48" s="183"/>
      <c r="AW48" s="183"/>
      <c r="AX48" s="184"/>
      <c r="AY48" s="184"/>
      <c r="AZ48" s="184"/>
      <c r="BA48" s="184"/>
      <c r="BB48" s="185"/>
      <c r="BC48" s="185"/>
      <c r="BD48" s="185"/>
      <c r="BE48" s="185"/>
      <c r="BF48" s="186"/>
      <c r="BG48" s="186"/>
      <c r="BH48" s="186"/>
      <c r="BI48" s="186"/>
      <c r="BJ48" s="163"/>
      <c r="BK48" s="163"/>
      <c r="BL48" s="163"/>
      <c r="BM48" s="163"/>
      <c r="BN48" s="163"/>
      <c r="BO48" s="163"/>
      <c r="BP48" s="163"/>
      <c r="BQ48" s="163"/>
      <c r="BR48" s="163"/>
      <c r="BS48" s="163"/>
      <c r="BT48" s="163"/>
      <c r="BU48" s="163"/>
      <c r="BV48" s="164"/>
      <c r="BW48" s="644"/>
      <c r="BX48" s="607"/>
      <c r="BY48" s="607"/>
      <c r="BZ48" s="607"/>
      <c r="CA48" s="607"/>
      <c r="CB48" s="607"/>
      <c r="CC48" s="607"/>
      <c r="CD48" s="607"/>
      <c r="CE48" s="607"/>
      <c r="CF48" s="607"/>
      <c r="CG48" s="607"/>
      <c r="CH48" s="608"/>
    </row>
    <row r="49" spans="2:86" ht="22.5" customHeight="1">
      <c r="B49" s="486">
        <v>203</v>
      </c>
      <c r="C49" s="606"/>
      <c r="D49" s="317" t="s">
        <v>450</v>
      </c>
      <c r="E49" s="317" t="s">
        <v>334</v>
      </c>
      <c r="F49" s="317" t="s">
        <v>334</v>
      </c>
      <c r="G49" s="317" t="s">
        <v>334</v>
      </c>
      <c r="H49" s="317" t="s">
        <v>334</v>
      </c>
      <c r="I49" s="317" t="s">
        <v>334</v>
      </c>
      <c r="J49" s="426">
        <v>6</v>
      </c>
      <c r="K49" s="426">
        <v>6</v>
      </c>
      <c r="L49" s="607"/>
      <c r="M49" s="607"/>
      <c r="N49" s="607"/>
      <c r="O49" s="607"/>
      <c r="P49" s="607"/>
      <c r="Q49" s="607"/>
      <c r="R49" s="607"/>
      <c r="S49" s="209"/>
      <c r="T49" s="607"/>
      <c r="U49" s="607"/>
      <c r="V49" s="607"/>
      <c r="W49" s="607"/>
      <c r="X49" s="608"/>
      <c r="Y49" s="319"/>
      <c r="Z49" s="317"/>
      <c r="AA49" s="317"/>
      <c r="AB49" s="317"/>
      <c r="AC49" s="317"/>
      <c r="AD49" s="317"/>
      <c r="AE49" s="317"/>
      <c r="AF49" s="317"/>
      <c r="AG49" s="317"/>
      <c r="AH49" s="317"/>
      <c r="AI49" s="317"/>
      <c r="AJ49" s="320"/>
      <c r="AL49" s="600" t="s">
        <v>27</v>
      </c>
      <c r="AM49" s="600"/>
      <c r="AN49" s="600" t="s">
        <v>58</v>
      </c>
      <c r="AO49" s="600"/>
      <c r="AP49" s="600" t="s">
        <v>14</v>
      </c>
      <c r="AQ49" s="600"/>
      <c r="AR49" s="600" t="s">
        <v>22</v>
      </c>
      <c r="AS49" s="600"/>
      <c r="AT49" s="600" t="s">
        <v>1</v>
      </c>
      <c r="AU49" s="600"/>
      <c r="AV49" s="600" t="s">
        <v>18</v>
      </c>
      <c r="AW49" s="600"/>
      <c r="AX49" s="600" t="s">
        <v>28</v>
      </c>
      <c r="AY49" s="600"/>
      <c r="AZ49" s="600" t="s">
        <v>24</v>
      </c>
      <c r="BA49" s="600"/>
      <c r="BB49" s="600" t="s">
        <v>16</v>
      </c>
      <c r="BC49" s="600"/>
      <c r="BD49" s="600" t="s">
        <v>67</v>
      </c>
      <c r="BE49" s="600"/>
      <c r="BF49" s="600" t="s">
        <v>20</v>
      </c>
      <c r="BG49" s="600"/>
      <c r="BH49" s="600" t="s">
        <v>68</v>
      </c>
      <c r="BI49" s="600"/>
      <c r="BK49" s="658" t="s">
        <v>108</v>
      </c>
      <c r="BL49" s="326"/>
      <c r="BM49" s="659">
        <f>SUM(AL50:BI50)</f>
        <v>5</v>
      </c>
      <c r="BN49" s="660"/>
      <c r="BO49" s="661"/>
      <c r="BP49" s="327" t="s">
        <v>107</v>
      </c>
      <c r="BQ49" s="328"/>
      <c r="BR49" s="326"/>
      <c r="BS49" s="665"/>
      <c r="BT49" s="666"/>
      <c r="BU49" s="667"/>
      <c r="BV49" s="164"/>
      <c r="BW49" s="655"/>
      <c r="BX49" s="656"/>
      <c r="BY49" s="656"/>
      <c r="BZ49" s="656"/>
      <c r="CA49" s="656"/>
      <c r="CB49" s="656"/>
      <c r="CC49" s="656"/>
      <c r="CD49" s="656"/>
      <c r="CE49" s="656"/>
      <c r="CF49" s="656"/>
      <c r="CG49" s="656"/>
      <c r="CH49" s="657"/>
    </row>
    <row r="50" spans="2:86" ht="22.5" customHeight="1">
      <c r="B50" s="486">
        <v>204</v>
      </c>
      <c r="C50" s="606"/>
      <c r="D50" s="317" t="s">
        <v>451</v>
      </c>
      <c r="E50" s="317" t="s">
        <v>335</v>
      </c>
      <c r="F50" s="317" t="s">
        <v>335</v>
      </c>
      <c r="G50" s="317" t="s">
        <v>335</v>
      </c>
      <c r="H50" s="317" t="s">
        <v>335</v>
      </c>
      <c r="I50" s="317" t="s">
        <v>335</v>
      </c>
      <c r="J50" s="426">
        <v>3</v>
      </c>
      <c r="K50" s="426">
        <v>3</v>
      </c>
      <c r="L50" s="607"/>
      <c r="M50" s="607"/>
      <c r="N50" s="607"/>
      <c r="O50" s="607"/>
      <c r="P50" s="607"/>
      <c r="Q50" s="607"/>
      <c r="R50" s="607"/>
      <c r="S50" s="209"/>
      <c r="T50" s="607"/>
      <c r="U50" s="607"/>
      <c r="V50" s="607"/>
      <c r="W50" s="607"/>
      <c r="X50" s="608"/>
      <c r="Y50" s="319"/>
      <c r="Z50" s="317"/>
      <c r="AA50" s="317"/>
      <c r="AB50" s="317"/>
      <c r="AC50" s="317"/>
      <c r="AD50" s="317"/>
      <c r="AE50" s="317"/>
      <c r="AF50" s="317"/>
      <c r="AG50" s="317"/>
      <c r="AH50" s="317"/>
      <c r="AI50" s="317"/>
      <c r="AJ50" s="320"/>
      <c r="AL50" s="330">
        <v>3</v>
      </c>
      <c r="AM50" s="330"/>
      <c r="AN50" s="330">
        <v>2</v>
      </c>
      <c r="AO50" s="330"/>
      <c r="AP50" s="330"/>
      <c r="AQ50" s="330"/>
      <c r="AR50" s="330"/>
      <c r="AS50" s="330"/>
      <c r="AT50" s="330"/>
      <c r="AU50" s="330"/>
      <c r="AV50" s="330"/>
      <c r="AW50" s="330"/>
      <c r="AX50" s="330"/>
      <c r="AY50" s="330"/>
      <c r="AZ50" s="330"/>
      <c r="BA50" s="330"/>
      <c r="BB50" s="330"/>
      <c r="BC50" s="330"/>
      <c r="BD50" s="330"/>
      <c r="BE50" s="330"/>
      <c r="BF50" s="330"/>
      <c r="BG50" s="330"/>
      <c r="BH50" s="330"/>
      <c r="BI50" s="330"/>
      <c r="BK50" s="575"/>
      <c r="BL50" s="576"/>
      <c r="BM50" s="662"/>
      <c r="BN50" s="663"/>
      <c r="BO50" s="664"/>
      <c r="BP50" s="652">
        <f>IF(COUNT(AL50:BI50)=0,"",ROUND(AVERAGE(AL50:BI50),1))</f>
        <v>2.5</v>
      </c>
      <c r="BQ50" s="653"/>
      <c r="BR50" s="654"/>
      <c r="BS50" s="668"/>
      <c r="BT50" s="669"/>
      <c r="BU50" s="670"/>
      <c r="BV50" s="164"/>
    </row>
    <row r="51" spans="2:86" ht="22.5" customHeight="1">
      <c r="B51" s="486">
        <v>205</v>
      </c>
      <c r="C51" s="606"/>
      <c r="D51" s="317" t="s">
        <v>452</v>
      </c>
      <c r="E51" s="317" t="s">
        <v>336</v>
      </c>
      <c r="F51" s="317" t="s">
        <v>336</v>
      </c>
      <c r="G51" s="317" t="s">
        <v>336</v>
      </c>
      <c r="H51" s="317" t="s">
        <v>336</v>
      </c>
      <c r="I51" s="317" t="s">
        <v>336</v>
      </c>
      <c r="J51" s="426">
        <v>3</v>
      </c>
      <c r="K51" s="426">
        <v>3</v>
      </c>
      <c r="L51" s="607"/>
      <c r="M51" s="607"/>
      <c r="N51" s="607"/>
      <c r="O51" s="607"/>
      <c r="P51" s="607"/>
      <c r="Q51" s="607"/>
      <c r="R51" s="607"/>
      <c r="S51" s="209"/>
      <c r="T51" s="607"/>
      <c r="U51" s="607"/>
      <c r="V51" s="607"/>
      <c r="W51" s="607"/>
      <c r="X51" s="608"/>
      <c r="Y51" s="319"/>
      <c r="Z51" s="317"/>
      <c r="AA51" s="317"/>
      <c r="AB51" s="317"/>
      <c r="AC51" s="317"/>
      <c r="AD51" s="317"/>
      <c r="AE51" s="317"/>
      <c r="AF51" s="317"/>
      <c r="AG51" s="317"/>
      <c r="AH51" s="317"/>
      <c r="AI51" s="317"/>
      <c r="AJ51" s="320"/>
      <c r="AQ51" s="169"/>
      <c r="AR51" s="168"/>
      <c r="AS51" s="168"/>
      <c r="AT51" s="168"/>
      <c r="AU51" s="168"/>
      <c r="AV51" s="168"/>
      <c r="AW51" s="169"/>
      <c r="AX51" s="172"/>
      <c r="AY51" s="172"/>
      <c r="AZ51" s="172"/>
      <c r="BA51" s="172"/>
      <c r="BB51" s="168"/>
      <c r="BC51" s="168"/>
      <c r="BD51" s="168"/>
      <c r="BE51" s="168"/>
      <c r="BF51" s="169"/>
      <c r="BG51" s="169"/>
      <c r="BH51" s="169"/>
      <c r="BI51" s="169"/>
      <c r="BW51" s="179" t="s">
        <v>259</v>
      </c>
      <c r="BX51" s="179"/>
      <c r="BY51" s="179"/>
      <c r="BZ51" s="179"/>
      <c r="CA51" s="179"/>
      <c r="CB51" s="179"/>
      <c r="CC51" s="179"/>
      <c r="CD51" s="179"/>
      <c r="CE51" s="179"/>
      <c r="CF51" s="179"/>
      <c r="CG51" s="179"/>
      <c r="CH51" s="179"/>
    </row>
    <row r="52" spans="2:86" ht="22.5" customHeight="1">
      <c r="B52" s="486">
        <v>206</v>
      </c>
      <c r="C52" s="606"/>
      <c r="D52" s="317" t="s">
        <v>453</v>
      </c>
      <c r="E52" s="317" t="s">
        <v>337</v>
      </c>
      <c r="F52" s="317" t="s">
        <v>337</v>
      </c>
      <c r="G52" s="317" t="s">
        <v>337</v>
      </c>
      <c r="H52" s="317" t="s">
        <v>337</v>
      </c>
      <c r="I52" s="317" t="s">
        <v>337</v>
      </c>
      <c r="J52" s="426">
        <v>3</v>
      </c>
      <c r="K52" s="426">
        <v>3</v>
      </c>
      <c r="L52" s="607"/>
      <c r="M52" s="607"/>
      <c r="N52" s="607"/>
      <c r="O52" s="607"/>
      <c r="P52" s="607"/>
      <c r="Q52" s="607"/>
      <c r="R52" s="607"/>
      <c r="S52" s="209"/>
      <c r="T52" s="607"/>
      <c r="U52" s="607"/>
      <c r="V52" s="607"/>
      <c r="W52" s="607"/>
      <c r="X52" s="608"/>
      <c r="Y52" s="319"/>
      <c r="Z52" s="317"/>
      <c r="AA52" s="317"/>
      <c r="AB52" s="317"/>
      <c r="AC52" s="317"/>
      <c r="AD52" s="317"/>
      <c r="AE52" s="317"/>
      <c r="AF52" s="317"/>
      <c r="AG52" s="317"/>
      <c r="AH52" s="317"/>
      <c r="AI52" s="317"/>
      <c r="AJ52" s="320"/>
      <c r="AL52" s="182" t="s">
        <v>242</v>
      </c>
      <c r="AM52" s="182"/>
      <c r="AN52" s="182"/>
      <c r="AO52" s="182"/>
      <c r="AP52" s="182"/>
      <c r="AQ52" s="182"/>
      <c r="AR52" s="183"/>
      <c r="AS52" s="183"/>
      <c r="AT52" s="183"/>
      <c r="AU52" s="183"/>
      <c r="AV52" s="183"/>
      <c r="AW52" s="183"/>
      <c r="AX52" s="184"/>
      <c r="AY52" s="184"/>
      <c r="AZ52" s="184"/>
      <c r="BA52" s="184"/>
      <c r="BB52" s="185"/>
      <c r="BC52" s="185"/>
      <c r="BD52" s="185"/>
      <c r="BE52" s="185"/>
      <c r="BF52" s="186"/>
      <c r="BG52" s="186"/>
      <c r="BH52" s="186"/>
      <c r="BI52" s="186"/>
      <c r="BJ52" s="163"/>
      <c r="BK52" s="163"/>
      <c r="BL52" s="163"/>
      <c r="BM52" s="163"/>
      <c r="BN52" s="163"/>
      <c r="BO52" s="163"/>
      <c r="BP52" s="163"/>
      <c r="BQ52" s="163"/>
      <c r="BR52" s="163"/>
      <c r="BS52" s="163"/>
      <c r="BT52" s="163"/>
      <c r="BU52" s="163"/>
      <c r="BW52" s="678"/>
      <c r="BX52" s="679"/>
      <c r="BY52" s="679"/>
      <c r="BZ52" s="679"/>
      <c r="CA52" s="679"/>
      <c r="CB52" s="679"/>
      <c r="CC52" s="679"/>
      <c r="CD52" s="679"/>
      <c r="CE52" s="679"/>
      <c r="CF52" s="679"/>
      <c r="CG52" s="679"/>
      <c r="CH52" s="680"/>
    </row>
    <row r="53" spans="2:86" ht="22.5" customHeight="1">
      <c r="B53" s="486">
        <v>207</v>
      </c>
      <c r="C53" s="606"/>
      <c r="D53" s="317" t="s">
        <v>454</v>
      </c>
      <c r="E53" s="317" t="s">
        <v>338</v>
      </c>
      <c r="F53" s="317" t="s">
        <v>338</v>
      </c>
      <c r="G53" s="317" t="s">
        <v>338</v>
      </c>
      <c r="H53" s="317" t="s">
        <v>338</v>
      </c>
      <c r="I53" s="317" t="s">
        <v>338</v>
      </c>
      <c r="J53" s="426">
        <v>5</v>
      </c>
      <c r="K53" s="426">
        <v>5</v>
      </c>
      <c r="L53" s="607"/>
      <c r="M53" s="607"/>
      <c r="N53" s="607"/>
      <c r="O53" s="607"/>
      <c r="P53" s="607"/>
      <c r="Q53" s="607"/>
      <c r="R53" s="607"/>
      <c r="S53" s="209"/>
      <c r="T53" s="607"/>
      <c r="U53" s="607"/>
      <c r="V53" s="607"/>
      <c r="W53" s="607"/>
      <c r="X53" s="608"/>
      <c r="Y53" s="319"/>
      <c r="Z53" s="317"/>
      <c r="AA53" s="317"/>
      <c r="AB53" s="317"/>
      <c r="AC53" s="317"/>
      <c r="AD53" s="317"/>
      <c r="AE53" s="317"/>
      <c r="AF53" s="317"/>
      <c r="AG53" s="317"/>
      <c r="AH53" s="317"/>
      <c r="AI53" s="317"/>
      <c r="AJ53" s="320"/>
      <c r="AL53" s="671" t="s">
        <v>27</v>
      </c>
      <c r="AM53" s="671"/>
      <c r="AN53" s="671" t="s">
        <v>58</v>
      </c>
      <c r="AO53" s="671"/>
      <c r="AP53" s="671" t="s">
        <v>14</v>
      </c>
      <c r="AQ53" s="671"/>
      <c r="AR53" s="671" t="s">
        <v>22</v>
      </c>
      <c r="AS53" s="671"/>
      <c r="AT53" s="671" t="s">
        <v>1</v>
      </c>
      <c r="AU53" s="671"/>
      <c r="AV53" s="671" t="s">
        <v>18</v>
      </c>
      <c r="AW53" s="671"/>
      <c r="AX53" s="671" t="s">
        <v>28</v>
      </c>
      <c r="AY53" s="671"/>
      <c r="AZ53" s="671" t="s">
        <v>24</v>
      </c>
      <c r="BA53" s="671"/>
      <c r="BB53" s="671" t="s">
        <v>16</v>
      </c>
      <c r="BC53" s="671"/>
      <c r="BD53" s="671" t="s">
        <v>67</v>
      </c>
      <c r="BE53" s="671"/>
      <c r="BF53" s="671" t="s">
        <v>20</v>
      </c>
      <c r="BG53" s="671"/>
      <c r="BH53" s="671" t="s">
        <v>68</v>
      </c>
      <c r="BI53" s="671"/>
      <c r="BK53" s="672" t="s">
        <v>108</v>
      </c>
      <c r="BL53" s="673"/>
      <c r="BM53" s="659">
        <f>SUM(AL54:BI54)</f>
        <v>3</v>
      </c>
      <c r="BN53" s="660"/>
      <c r="BO53" s="661"/>
      <c r="BP53" s="676" t="s">
        <v>107</v>
      </c>
      <c r="BQ53" s="677"/>
      <c r="BR53" s="673"/>
      <c r="BS53" s="665"/>
      <c r="BT53" s="666"/>
      <c r="BU53" s="667"/>
      <c r="BW53" s="681"/>
      <c r="BX53" s="682"/>
      <c r="BY53" s="682"/>
      <c r="BZ53" s="682"/>
      <c r="CA53" s="682"/>
      <c r="CB53" s="682"/>
      <c r="CC53" s="682"/>
      <c r="CD53" s="682"/>
      <c r="CE53" s="682"/>
      <c r="CF53" s="682"/>
      <c r="CG53" s="682"/>
      <c r="CH53" s="683"/>
    </row>
    <row r="54" spans="2:86" ht="22.5" customHeight="1">
      <c r="B54" s="486">
        <v>208</v>
      </c>
      <c r="C54" s="606"/>
      <c r="D54" s="317" t="s">
        <v>455</v>
      </c>
      <c r="E54" s="317" t="s">
        <v>339</v>
      </c>
      <c r="F54" s="317" t="s">
        <v>339</v>
      </c>
      <c r="G54" s="317" t="s">
        <v>339</v>
      </c>
      <c r="H54" s="317" t="s">
        <v>339</v>
      </c>
      <c r="I54" s="317" t="s">
        <v>339</v>
      </c>
      <c r="J54" s="426">
        <v>6</v>
      </c>
      <c r="K54" s="426">
        <v>6</v>
      </c>
      <c r="L54" s="607"/>
      <c r="M54" s="607"/>
      <c r="N54" s="607"/>
      <c r="O54" s="607"/>
      <c r="P54" s="607"/>
      <c r="Q54" s="607"/>
      <c r="R54" s="607"/>
      <c r="S54" s="209"/>
      <c r="T54" s="607"/>
      <c r="U54" s="607"/>
      <c r="V54" s="607"/>
      <c r="W54" s="607"/>
      <c r="X54" s="608"/>
      <c r="Y54" s="319" t="s">
        <v>579</v>
      </c>
      <c r="Z54" s="317" t="s">
        <v>271</v>
      </c>
      <c r="AA54" s="317" t="s">
        <v>271</v>
      </c>
      <c r="AB54" s="317" t="s">
        <v>271</v>
      </c>
      <c r="AC54" s="317" t="s">
        <v>271</v>
      </c>
      <c r="AD54" s="317" t="s">
        <v>723</v>
      </c>
      <c r="AE54" s="317"/>
      <c r="AF54" s="317"/>
      <c r="AG54" s="317"/>
      <c r="AH54" s="317"/>
      <c r="AI54" s="317"/>
      <c r="AJ54" s="320"/>
      <c r="AL54" s="330">
        <v>1</v>
      </c>
      <c r="AM54" s="330"/>
      <c r="AN54" s="330">
        <v>2</v>
      </c>
      <c r="AO54" s="330"/>
      <c r="AP54" s="330"/>
      <c r="AQ54" s="330"/>
      <c r="AR54" s="330"/>
      <c r="AS54" s="330"/>
      <c r="AT54" s="330"/>
      <c r="AU54" s="330"/>
      <c r="AV54" s="330"/>
      <c r="AW54" s="330"/>
      <c r="AX54" s="330"/>
      <c r="AY54" s="330"/>
      <c r="AZ54" s="330"/>
      <c r="BA54" s="330"/>
      <c r="BB54" s="330"/>
      <c r="BC54" s="330"/>
      <c r="BD54" s="330"/>
      <c r="BE54" s="330"/>
      <c r="BF54" s="330"/>
      <c r="BG54" s="330"/>
      <c r="BH54" s="330"/>
      <c r="BI54" s="330"/>
      <c r="BK54" s="674"/>
      <c r="BL54" s="675"/>
      <c r="BM54" s="662"/>
      <c r="BN54" s="663"/>
      <c r="BO54" s="664"/>
      <c r="BP54" s="652">
        <f>IF(COUNT(AL54:BI54)=0,"",ROUND(AVERAGE(AL54:BI54),1))</f>
        <v>1.5</v>
      </c>
      <c r="BQ54" s="653"/>
      <c r="BR54" s="654"/>
      <c r="BS54" s="668"/>
      <c r="BT54" s="669"/>
      <c r="BU54" s="670"/>
      <c r="BW54" s="681"/>
      <c r="BX54" s="682"/>
      <c r="BY54" s="682"/>
      <c r="BZ54" s="682"/>
      <c r="CA54" s="682"/>
      <c r="CB54" s="682"/>
      <c r="CC54" s="682"/>
      <c r="CD54" s="682"/>
      <c r="CE54" s="682"/>
      <c r="CF54" s="682"/>
      <c r="CG54" s="682"/>
      <c r="CH54" s="683"/>
    </row>
    <row r="55" spans="2:86" ht="22.5" customHeight="1">
      <c r="B55" s="486">
        <v>209</v>
      </c>
      <c r="C55" s="606"/>
      <c r="D55" s="317" t="s">
        <v>456</v>
      </c>
      <c r="E55" s="317" t="s">
        <v>340</v>
      </c>
      <c r="F55" s="317" t="s">
        <v>340</v>
      </c>
      <c r="G55" s="317" t="s">
        <v>340</v>
      </c>
      <c r="H55" s="317" t="s">
        <v>340</v>
      </c>
      <c r="I55" s="317" t="s">
        <v>340</v>
      </c>
      <c r="J55" s="426">
        <v>5</v>
      </c>
      <c r="K55" s="426">
        <v>5</v>
      </c>
      <c r="L55" s="607" t="s">
        <v>727</v>
      </c>
      <c r="M55" s="607"/>
      <c r="N55" s="607"/>
      <c r="O55" s="607"/>
      <c r="P55" s="607"/>
      <c r="Q55" s="607"/>
      <c r="R55" s="607"/>
      <c r="S55" s="209" t="s">
        <v>728</v>
      </c>
      <c r="T55" s="607" t="s">
        <v>726</v>
      </c>
      <c r="U55" s="607"/>
      <c r="V55" s="607"/>
      <c r="W55" s="607"/>
      <c r="X55" s="608"/>
      <c r="Y55" s="319" t="s">
        <v>580</v>
      </c>
      <c r="Z55" s="317" t="s">
        <v>272</v>
      </c>
      <c r="AA55" s="317" t="s">
        <v>272</v>
      </c>
      <c r="AB55" s="317" t="s">
        <v>272</v>
      </c>
      <c r="AC55" s="317" t="s">
        <v>272</v>
      </c>
      <c r="AD55" s="317" t="s">
        <v>723</v>
      </c>
      <c r="AE55" s="317"/>
      <c r="AF55" s="317" t="s">
        <v>729</v>
      </c>
      <c r="AG55" s="317"/>
      <c r="AH55" s="317"/>
      <c r="AI55" s="317"/>
      <c r="AJ55" s="320"/>
      <c r="AL55" s="173"/>
      <c r="AM55" s="174"/>
      <c r="AN55" s="174"/>
      <c r="AO55" s="174"/>
      <c r="AQ55" s="169"/>
      <c r="AR55" s="168"/>
      <c r="AS55" s="168"/>
      <c r="AT55" s="168"/>
      <c r="AU55" s="168"/>
      <c r="AV55" s="168"/>
      <c r="AW55" s="169"/>
      <c r="AX55" s="172"/>
      <c r="AY55" s="172"/>
      <c r="AZ55" s="172"/>
      <c r="BA55" s="172"/>
      <c r="BB55" s="168"/>
      <c r="BC55" s="168"/>
      <c r="BD55" s="168"/>
      <c r="BE55" s="168"/>
      <c r="BF55" s="169"/>
      <c r="BG55" s="169"/>
      <c r="BH55" s="169"/>
      <c r="BI55" s="169"/>
      <c r="BW55" s="681"/>
      <c r="BX55" s="682"/>
      <c r="BY55" s="682"/>
      <c r="BZ55" s="682"/>
      <c r="CA55" s="682"/>
      <c r="CB55" s="682"/>
      <c r="CC55" s="682"/>
      <c r="CD55" s="682"/>
      <c r="CE55" s="682"/>
      <c r="CF55" s="682"/>
      <c r="CG55" s="682"/>
      <c r="CH55" s="683"/>
    </row>
    <row r="56" spans="2:86" ht="22.5" customHeight="1" thickBot="1">
      <c r="B56" s="622">
        <v>210</v>
      </c>
      <c r="C56" s="623"/>
      <c r="D56" s="624" t="s">
        <v>457</v>
      </c>
      <c r="E56" s="624" t="s">
        <v>341</v>
      </c>
      <c r="F56" s="624" t="s">
        <v>341</v>
      </c>
      <c r="G56" s="624" t="s">
        <v>341</v>
      </c>
      <c r="H56" s="624" t="s">
        <v>341</v>
      </c>
      <c r="I56" s="624" t="s">
        <v>341</v>
      </c>
      <c r="J56" s="625">
        <v>4</v>
      </c>
      <c r="K56" s="625">
        <v>4</v>
      </c>
      <c r="L56" s="626"/>
      <c r="M56" s="626"/>
      <c r="N56" s="626"/>
      <c r="O56" s="626"/>
      <c r="P56" s="626"/>
      <c r="Q56" s="626"/>
      <c r="R56" s="626"/>
      <c r="S56" s="211"/>
      <c r="T56" s="626"/>
      <c r="U56" s="626"/>
      <c r="V56" s="626"/>
      <c r="W56" s="626"/>
      <c r="X56" s="627"/>
      <c r="Y56" s="628"/>
      <c r="Z56" s="624"/>
      <c r="AA56" s="624"/>
      <c r="AB56" s="624"/>
      <c r="AC56" s="624"/>
      <c r="AD56" s="624"/>
      <c r="AE56" s="624"/>
      <c r="AF56" s="624"/>
      <c r="AG56" s="624"/>
      <c r="AH56" s="624"/>
      <c r="AI56" s="624"/>
      <c r="AJ56" s="629"/>
      <c r="AL56" s="182" t="s">
        <v>243</v>
      </c>
      <c r="AM56" s="182"/>
      <c r="AN56" s="182"/>
      <c r="AO56" s="182"/>
      <c r="AP56" s="182"/>
      <c r="AQ56" s="182"/>
      <c r="AR56" s="183"/>
      <c r="AS56" s="183"/>
      <c r="AT56" s="183"/>
      <c r="AU56" s="183"/>
      <c r="AV56" s="183"/>
      <c r="AW56" s="183"/>
      <c r="AX56" s="179"/>
      <c r="AY56" s="184"/>
      <c r="AZ56" s="184"/>
      <c r="BA56" s="184"/>
      <c r="BB56" s="185"/>
      <c r="BC56" s="185"/>
      <c r="BD56" s="185"/>
      <c r="BE56" s="185"/>
      <c r="BF56" s="186"/>
      <c r="BG56" s="186"/>
      <c r="BH56" s="186"/>
      <c r="BI56" s="186"/>
      <c r="BJ56" s="163"/>
      <c r="BK56" s="163"/>
      <c r="BL56" s="163"/>
      <c r="BM56" s="163"/>
      <c r="BN56" s="163"/>
      <c r="BO56" s="163"/>
      <c r="BP56" s="163"/>
      <c r="BQ56" s="163"/>
      <c r="BR56" s="163"/>
      <c r="BS56" s="163"/>
      <c r="BT56" s="163"/>
      <c r="BU56" s="163"/>
      <c r="BW56" s="681"/>
      <c r="BX56" s="682"/>
      <c r="BY56" s="682"/>
      <c r="BZ56" s="682"/>
      <c r="CA56" s="682"/>
      <c r="CB56" s="682"/>
      <c r="CC56" s="682"/>
      <c r="CD56" s="682"/>
      <c r="CE56" s="682"/>
      <c r="CF56" s="682"/>
      <c r="CG56" s="682"/>
      <c r="CH56" s="683"/>
    </row>
    <row r="57" spans="2:86" ht="22.5" customHeight="1">
      <c r="B57" s="550">
        <v>301</v>
      </c>
      <c r="C57" s="645"/>
      <c r="D57" s="646"/>
      <c r="E57" s="646"/>
      <c r="F57" s="646"/>
      <c r="G57" s="646"/>
      <c r="H57" s="646"/>
      <c r="I57" s="646"/>
      <c r="J57" s="647"/>
      <c r="K57" s="647"/>
      <c r="L57" s="648"/>
      <c r="M57" s="648"/>
      <c r="N57" s="648"/>
      <c r="O57" s="648"/>
      <c r="P57" s="648"/>
      <c r="Q57" s="648"/>
      <c r="R57" s="648"/>
      <c r="S57" s="212"/>
      <c r="T57" s="648"/>
      <c r="U57" s="648"/>
      <c r="V57" s="648"/>
      <c r="W57" s="648"/>
      <c r="X57" s="649"/>
      <c r="Y57" s="650"/>
      <c r="Z57" s="646"/>
      <c r="AA57" s="646"/>
      <c r="AB57" s="646"/>
      <c r="AC57" s="646"/>
      <c r="AD57" s="646"/>
      <c r="AE57" s="646"/>
      <c r="AF57" s="646"/>
      <c r="AG57" s="646"/>
      <c r="AH57" s="646"/>
      <c r="AI57" s="646"/>
      <c r="AJ57" s="651"/>
      <c r="AL57" s="600" t="s">
        <v>27</v>
      </c>
      <c r="AM57" s="600"/>
      <c r="AN57" s="600" t="s">
        <v>58</v>
      </c>
      <c r="AO57" s="600"/>
      <c r="AP57" s="600" t="s">
        <v>14</v>
      </c>
      <c r="AQ57" s="600"/>
      <c r="AR57" s="600" t="s">
        <v>22</v>
      </c>
      <c r="AS57" s="600"/>
      <c r="AT57" s="600" t="s">
        <v>1</v>
      </c>
      <c r="AU57" s="600"/>
      <c r="AV57" s="600" t="s">
        <v>18</v>
      </c>
      <c r="AW57" s="600"/>
      <c r="AX57" s="600" t="s">
        <v>28</v>
      </c>
      <c r="AY57" s="600"/>
      <c r="AZ57" s="600" t="s">
        <v>24</v>
      </c>
      <c r="BA57" s="600"/>
      <c r="BB57" s="600" t="s">
        <v>16</v>
      </c>
      <c r="BC57" s="600"/>
      <c r="BD57" s="600" t="s">
        <v>67</v>
      </c>
      <c r="BE57" s="600"/>
      <c r="BF57" s="600" t="s">
        <v>20</v>
      </c>
      <c r="BG57" s="600"/>
      <c r="BH57" s="600" t="s">
        <v>68</v>
      </c>
      <c r="BI57" s="600"/>
      <c r="BK57" s="658" t="s">
        <v>108</v>
      </c>
      <c r="BL57" s="326"/>
      <c r="BM57" s="659">
        <f>SUM(AL58:BI58)</f>
        <v>0</v>
      </c>
      <c r="BN57" s="660"/>
      <c r="BO57" s="661"/>
      <c r="BP57" s="327" t="s">
        <v>107</v>
      </c>
      <c r="BQ57" s="328"/>
      <c r="BR57" s="326"/>
      <c r="BS57" s="665"/>
      <c r="BT57" s="666"/>
      <c r="BU57" s="667"/>
      <c r="BW57" s="684"/>
      <c r="BX57" s="685"/>
      <c r="BY57" s="685"/>
      <c r="BZ57" s="685"/>
      <c r="CA57" s="685"/>
      <c r="CB57" s="685"/>
      <c r="CC57" s="685"/>
      <c r="CD57" s="685"/>
      <c r="CE57" s="685"/>
      <c r="CF57" s="685"/>
      <c r="CG57" s="685"/>
      <c r="CH57" s="686"/>
    </row>
    <row r="58" spans="2:86" ht="22.5" customHeight="1">
      <c r="B58" s="486">
        <v>302</v>
      </c>
      <c r="C58" s="606"/>
      <c r="D58" s="317"/>
      <c r="E58" s="317"/>
      <c r="F58" s="317"/>
      <c r="G58" s="317"/>
      <c r="H58" s="317"/>
      <c r="I58" s="317"/>
      <c r="J58" s="426"/>
      <c r="K58" s="426"/>
      <c r="L58" s="607"/>
      <c r="M58" s="607"/>
      <c r="N58" s="607"/>
      <c r="O58" s="607"/>
      <c r="P58" s="607"/>
      <c r="Q58" s="607"/>
      <c r="R58" s="607"/>
      <c r="S58" s="209"/>
      <c r="T58" s="607"/>
      <c r="U58" s="607"/>
      <c r="V58" s="607"/>
      <c r="W58" s="607"/>
      <c r="X58" s="608"/>
      <c r="Y58" s="319"/>
      <c r="Z58" s="317"/>
      <c r="AA58" s="317"/>
      <c r="AB58" s="317"/>
      <c r="AC58" s="317"/>
      <c r="AD58" s="317"/>
      <c r="AE58" s="317"/>
      <c r="AF58" s="317"/>
      <c r="AG58" s="317"/>
      <c r="AH58" s="317"/>
      <c r="AI58" s="317"/>
      <c r="AJ58" s="320"/>
      <c r="AL58" s="330">
        <v>0</v>
      </c>
      <c r="AM58" s="330"/>
      <c r="AN58" s="330">
        <v>0</v>
      </c>
      <c r="AO58" s="330"/>
      <c r="AP58" s="330"/>
      <c r="AQ58" s="330"/>
      <c r="AR58" s="330"/>
      <c r="AS58" s="330"/>
      <c r="AT58" s="330"/>
      <c r="AU58" s="330"/>
      <c r="AV58" s="330"/>
      <c r="AW58" s="330"/>
      <c r="AX58" s="330"/>
      <c r="AY58" s="330"/>
      <c r="AZ58" s="330"/>
      <c r="BA58" s="330"/>
      <c r="BB58" s="330"/>
      <c r="BC58" s="330"/>
      <c r="BD58" s="330"/>
      <c r="BE58" s="330"/>
      <c r="BF58" s="330"/>
      <c r="BG58" s="330"/>
      <c r="BH58" s="330"/>
      <c r="BI58" s="330"/>
      <c r="BK58" s="575"/>
      <c r="BL58" s="576"/>
      <c r="BM58" s="662"/>
      <c r="BN58" s="663"/>
      <c r="BO58" s="664"/>
      <c r="BP58" s="652">
        <f>IF(COUNT(AL58:BI58)=0,"",ROUND(AVERAGE(AL58:BI58),1))</f>
        <v>0</v>
      </c>
      <c r="BQ58" s="653"/>
      <c r="BR58" s="654"/>
      <c r="BS58" s="668"/>
      <c r="BT58" s="669"/>
      <c r="BU58" s="670"/>
    </row>
    <row r="59" spans="2:86" ht="22.5" customHeight="1">
      <c r="B59" s="486">
        <v>303</v>
      </c>
      <c r="C59" s="606"/>
      <c r="D59" s="317"/>
      <c r="E59" s="317"/>
      <c r="F59" s="317"/>
      <c r="G59" s="317"/>
      <c r="H59" s="317"/>
      <c r="I59" s="317"/>
      <c r="J59" s="426"/>
      <c r="K59" s="426"/>
      <c r="L59" s="607"/>
      <c r="M59" s="607"/>
      <c r="N59" s="607"/>
      <c r="O59" s="607"/>
      <c r="P59" s="607"/>
      <c r="Q59" s="607"/>
      <c r="R59" s="607"/>
      <c r="S59" s="209"/>
      <c r="T59" s="607"/>
      <c r="U59" s="607"/>
      <c r="V59" s="607"/>
      <c r="W59" s="607"/>
      <c r="X59" s="608"/>
      <c r="Y59" s="319"/>
      <c r="Z59" s="317"/>
      <c r="AA59" s="317"/>
      <c r="AB59" s="317"/>
      <c r="AC59" s="317"/>
      <c r="AD59" s="317"/>
      <c r="AE59" s="317"/>
      <c r="AF59" s="317"/>
      <c r="AG59" s="317"/>
      <c r="AH59" s="317"/>
      <c r="AI59" s="317"/>
      <c r="AJ59" s="320"/>
      <c r="AY59" s="172"/>
      <c r="AZ59" s="172"/>
      <c r="BA59" s="172"/>
      <c r="BB59" s="168"/>
      <c r="BC59" s="168"/>
      <c r="BD59" s="168"/>
      <c r="BE59" s="168"/>
      <c r="BF59" s="169"/>
      <c r="BG59" s="169"/>
      <c r="BH59" s="169"/>
      <c r="BI59" s="169"/>
      <c r="BW59" s="179" t="s">
        <v>259</v>
      </c>
      <c r="BX59" s="179"/>
      <c r="BY59" s="179"/>
      <c r="BZ59" s="179"/>
      <c r="CA59" s="179"/>
      <c r="CB59" s="179"/>
      <c r="CC59" s="179"/>
      <c r="CD59" s="179"/>
      <c r="CE59" s="179"/>
      <c r="CF59" s="179"/>
      <c r="CG59" s="179"/>
      <c r="CH59" s="179"/>
    </row>
    <row r="60" spans="2:86" ht="22.5" customHeight="1">
      <c r="B60" s="486">
        <v>304</v>
      </c>
      <c r="C60" s="606"/>
      <c r="D60" s="317"/>
      <c r="E60" s="317"/>
      <c r="F60" s="317"/>
      <c r="G60" s="317"/>
      <c r="H60" s="317"/>
      <c r="I60" s="317"/>
      <c r="J60" s="426"/>
      <c r="K60" s="426"/>
      <c r="L60" s="607"/>
      <c r="M60" s="607"/>
      <c r="N60" s="607"/>
      <c r="O60" s="607"/>
      <c r="P60" s="607"/>
      <c r="Q60" s="607"/>
      <c r="R60" s="607"/>
      <c r="S60" s="209"/>
      <c r="T60" s="607"/>
      <c r="U60" s="607"/>
      <c r="V60" s="607"/>
      <c r="W60" s="607"/>
      <c r="X60" s="608"/>
      <c r="Y60" s="319"/>
      <c r="Z60" s="317"/>
      <c r="AA60" s="317"/>
      <c r="AB60" s="317"/>
      <c r="AC60" s="317"/>
      <c r="AD60" s="317"/>
      <c r="AE60" s="317"/>
      <c r="AF60" s="317"/>
      <c r="AG60" s="317"/>
      <c r="AH60" s="317"/>
      <c r="AI60" s="317"/>
      <c r="AJ60" s="320"/>
      <c r="AL60" s="182" t="s">
        <v>231</v>
      </c>
      <c r="AM60" s="182"/>
      <c r="AN60" s="182"/>
      <c r="AO60" s="182"/>
      <c r="AP60" s="182"/>
      <c r="AQ60" s="182"/>
      <c r="AR60" s="183"/>
      <c r="AS60" s="183"/>
      <c r="AT60" s="183"/>
      <c r="AU60" s="183"/>
      <c r="AV60" s="183"/>
      <c r="AW60" s="183"/>
      <c r="AX60" s="184"/>
      <c r="AY60" s="184"/>
      <c r="AZ60" s="184"/>
      <c r="BA60" s="184"/>
      <c r="BB60" s="185"/>
      <c r="BC60" s="185"/>
      <c r="BD60" s="185"/>
      <c r="BE60" s="185"/>
      <c r="BF60" s="186"/>
      <c r="BG60" s="186"/>
      <c r="BH60" s="186"/>
      <c r="BI60" s="186"/>
      <c r="BJ60" s="163"/>
      <c r="BK60" s="163"/>
      <c r="BL60" s="163"/>
      <c r="BM60" s="163"/>
      <c r="BN60" s="163"/>
      <c r="BO60" s="163"/>
      <c r="BP60" s="163"/>
      <c r="BQ60" s="163"/>
      <c r="BR60" s="163"/>
      <c r="BS60" s="163"/>
      <c r="BT60" s="163"/>
      <c r="BU60" s="163"/>
      <c r="BW60" s="687"/>
      <c r="BX60" s="688"/>
      <c r="BY60" s="688"/>
      <c r="BZ60" s="688"/>
      <c r="CA60" s="688"/>
      <c r="CB60" s="688"/>
      <c r="CC60" s="688"/>
      <c r="CD60" s="688"/>
      <c r="CE60" s="688"/>
      <c r="CF60" s="688"/>
      <c r="CG60" s="688"/>
      <c r="CH60" s="689"/>
    </row>
    <row r="61" spans="2:86" ht="22.5" customHeight="1">
      <c r="B61" s="486">
        <v>305</v>
      </c>
      <c r="C61" s="606"/>
      <c r="D61" s="317"/>
      <c r="E61" s="317"/>
      <c r="F61" s="317"/>
      <c r="G61" s="317"/>
      <c r="H61" s="317"/>
      <c r="I61" s="317"/>
      <c r="J61" s="426"/>
      <c r="K61" s="426"/>
      <c r="L61" s="607"/>
      <c r="M61" s="607"/>
      <c r="N61" s="607"/>
      <c r="O61" s="607"/>
      <c r="P61" s="607"/>
      <c r="Q61" s="607"/>
      <c r="R61" s="607"/>
      <c r="S61" s="209"/>
      <c r="T61" s="607"/>
      <c r="U61" s="607"/>
      <c r="V61" s="607"/>
      <c r="W61" s="607"/>
      <c r="X61" s="608"/>
      <c r="Y61" s="319"/>
      <c r="Z61" s="317"/>
      <c r="AA61" s="317"/>
      <c r="AB61" s="317"/>
      <c r="AC61" s="317"/>
      <c r="AD61" s="317"/>
      <c r="AE61" s="317"/>
      <c r="AF61" s="317"/>
      <c r="AG61" s="317"/>
      <c r="AH61" s="317"/>
      <c r="AI61" s="317"/>
      <c r="AJ61" s="320"/>
      <c r="AL61" s="600" t="s">
        <v>27</v>
      </c>
      <c r="AM61" s="600"/>
      <c r="AN61" s="600" t="s">
        <v>58</v>
      </c>
      <c r="AO61" s="600"/>
      <c r="AP61" s="600" t="s">
        <v>14</v>
      </c>
      <c r="AQ61" s="600"/>
      <c r="AR61" s="600" t="s">
        <v>22</v>
      </c>
      <c r="AS61" s="600"/>
      <c r="AT61" s="600" t="s">
        <v>1</v>
      </c>
      <c r="AU61" s="600"/>
      <c r="AV61" s="600" t="s">
        <v>18</v>
      </c>
      <c r="AW61" s="600"/>
      <c r="AX61" s="600" t="s">
        <v>28</v>
      </c>
      <c r="AY61" s="600"/>
      <c r="AZ61" s="600" t="s">
        <v>24</v>
      </c>
      <c r="BA61" s="600"/>
      <c r="BB61" s="600" t="s">
        <v>16</v>
      </c>
      <c r="BC61" s="600"/>
      <c r="BD61" s="600" t="s">
        <v>67</v>
      </c>
      <c r="BE61" s="600"/>
      <c r="BF61" s="600" t="s">
        <v>20</v>
      </c>
      <c r="BG61" s="600"/>
      <c r="BH61" s="600" t="s">
        <v>68</v>
      </c>
      <c r="BI61" s="600"/>
      <c r="BK61" s="658" t="s">
        <v>108</v>
      </c>
      <c r="BL61" s="326"/>
      <c r="BM61" s="699">
        <f>SUM(AL62:BI62)</f>
        <v>0</v>
      </c>
      <c r="BN61" s="700"/>
      <c r="BO61" s="701"/>
      <c r="BP61" s="327" t="s">
        <v>107</v>
      </c>
      <c r="BQ61" s="328"/>
      <c r="BR61" s="326"/>
      <c r="BS61" s="665"/>
      <c r="BT61" s="666"/>
      <c r="BU61" s="667"/>
      <c r="BW61" s="690"/>
      <c r="BX61" s="691"/>
      <c r="BY61" s="691"/>
      <c r="BZ61" s="691"/>
      <c r="CA61" s="691"/>
      <c r="CB61" s="691"/>
      <c r="CC61" s="691"/>
      <c r="CD61" s="691"/>
      <c r="CE61" s="691"/>
      <c r="CF61" s="691"/>
      <c r="CG61" s="691"/>
      <c r="CH61" s="692"/>
    </row>
    <row r="62" spans="2:86" ht="22.5" customHeight="1">
      <c r="B62" s="486">
        <v>306</v>
      </c>
      <c r="C62" s="606"/>
      <c r="D62" s="317"/>
      <c r="E62" s="317"/>
      <c r="F62" s="317"/>
      <c r="G62" s="317"/>
      <c r="H62" s="317"/>
      <c r="I62" s="317"/>
      <c r="J62" s="426"/>
      <c r="K62" s="426"/>
      <c r="L62" s="607"/>
      <c r="M62" s="607"/>
      <c r="N62" s="607"/>
      <c r="O62" s="607"/>
      <c r="P62" s="607"/>
      <c r="Q62" s="607"/>
      <c r="R62" s="607"/>
      <c r="S62" s="209"/>
      <c r="T62" s="607"/>
      <c r="U62" s="607"/>
      <c r="V62" s="607"/>
      <c r="W62" s="607"/>
      <c r="X62" s="608"/>
      <c r="Y62" s="319"/>
      <c r="Z62" s="317"/>
      <c r="AA62" s="317"/>
      <c r="AB62" s="317"/>
      <c r="AC62" s="317"/>
      <c r="AD62" s="317"/>
      <c r="AE62" s="317"/>
      <c r="AF62" s="317"/>
      <c r="AG62" s="317"/>
      <c r="AH62" s="317"/>
      <c r="AI62" s="317"/>
      <c r="AJ62" s="320"/>
      <c r="AL62" s="330">
        <v>0</v>
      </c>
      <c r="AM62" s="330"/>
      <c r="AN62" s="330"/>
      <c r="AO62" s="330"/>
      <c r="AP62" s="330"/>
      <c r="AQ62" s="330"/>
      <c r="AR62" s="330"/>
      <c r="AS62" s="330"/>
      <c r="AT62" s="330"/>
      <c r="AU62" s="330"/>
      <c r="AV62" s="330"/>
      <c r="AW62" s="330"/>
      <c r="AX62" s="330"/>
      <c r="AY62" s="330"/>
      <c r="AZ62" s="330"/>
      <c r="BA62" s="330"/>
      <c r="BB62" s="330"/>
      <c r="BC62" s="330"/>
      <c r="BD62" s="330"/>
      <c r="BE62" s="330"/>
      <c r="BF62" s="330"/>
      <c r="BG62" s="330"/>
      <c r="BH62" s="330"/>
      <c r="BI62" s="330"/>
      <c r="BK62" s="575"/>
      <c r="BL62" s="576"/>
      <c r="BM62" s="702"/>
      <c r="BN62" s="703"/>
      <c r="BO62" s="704"/>
      <c r="BP62" s="696">
        <f>IF(COUNT(AL62:BI62)=0,"",ROUND(AVERAGE(AL62:BI62),1))</f>
        <v>0</v>
      </c>
      <c r="BQ62" s="697"/>
      <c r="BR62" s="698"/>
      <c r="BS62" s="668"/>
      <c r="BT62" s="669"/>
      <c r="BU62" s="670"/>
      <c r="BW62" s="690"/>
      <c r="BX62" s="691"/>
      <c r="BY62" s="691"/>
      <c r="BZ62" s="691"/>
      <c r="CA62" s="691"/>
      <c r="CB62" s="691"/>
      <c r="CC62" s="691"/>
      <c r="CD62" s="691"/>
      <c r="CE62" s="691"/>
      <c r="CF62" s="691"/>
      <c r="CG62" s="691"/>
      <c r="CH62" s="692"/>
    </row>
    <row r="63" spans="2:86" ht="22.5" customHeight="1">
      <c r="B63" s="486">
        <v>307</v>
      </c>
      <c r="C63" s="606"/>
      <c r="D63" s="317"/>
      <c r="E63" s="317"/>
      <c r="F63" s="317"/>
      <c r="G63" s="317"/>
      <c r="H63" s="317"/>
      <c r="I63" s="317"/>
      <c r="J63" s="426"/>
      <c r="K63" s="426"/>
      <c r="L63" s="607"/>
      <c r="M63" s="607"/>
      <c r="N63" s="607"/>
      <c r="O63" s="607"/>
      <c r="P63" s="607"/>
      <c r="Q63" s="607"/>
      <c r="R63" s="607"/>
      <c r="S63" s="209"/>
      <c r="T63" s="607"/>
      <c r="U63" s="607"/>
      <c r="V63" s="607"/>
      <c r="W63" s="607"/>
      <c r="X63" s="608"/>
      <c r="Y63" s="319"/>
      <c r="Z63" s="317"/>
      <c r="AA63" s="317"/>
      <c r="AB63" s="317"/>
      <c r="AC63" s="317"/>
      <c r="AD63" s="317"/>
      <c r="AE63" s="317"/>
      <c r="AF63" s="317"/>
      <c r="AG63" s="317"/>
      <c r="AH63" s="317"/>
      <c r="AI63" s="317"/>
      <c r="AJ63" s="320"/>
      <c r="AY63" s="172"/>
      <c r="AZ63" s="172"/>
      <c r="BA63" s="172"/>
      <c r="BB63" s="168"/>
      <c r="BC63" s="168"/>
      <c r="BD63" s="168"/>
      <c r="BE63" s="168"/>
      <c r="BF63" s="169"/>
      <c r="BG63" s="169"/>
      <c r="BH63" s="169"/>
      <c r="BI63" s="169"/>
      <c r="BW63" s="690"/>
      <c r="BX63" s="691"/>
      <c r="BY63" s="691"/>
      <c r="BZ63" s="691"/>
      <c r="CA63" s="691"/>
      <c r="CB63" s="691"/>
      <c r="CC63" s="691"/>
      <c r="CD63" s="691"/>
      <c r="CE63" s="691"/>
      <c r="CF63" s="691"/>
      <c r="CG63" s="691"/>
      <c r="CH63" s="692"/>
    </row>
    <row r="64" spans="2:86" ht="22.5" customHeight="1">
      <c r="B64" s="486">
        <v>308</v>
      </c>
      <c r="C64" s="606"/>
      <c r="D64" s="317"/>
      <c r="E64" s="317"/>
      <c r="F64" s="317"/>
      <c r="G64" s="317"/>
      <c r="H64" s="317"/>
      <c r="I64" s="317"/>
      <c r="J64" s="426"/>
      <c r="K64" s="426"/>
      <c r="L64" s="607"/>
      <c r="M64" s="607"/>
      <c r="N64" s="607"/>
      <c r="O64" s="607"/>
      <c r="P64" s="607"/>
      <c r="Q64" s="607"/>
      <c r="R64" s="607"/>
      <c r="S64" s="209"/>
      <c r="T64" s="607"/>
      <c r="U64" s="607"/>
      <c r="V64" s="607"/>
      <c r="W64" s="607"/>
      <c r="X64" s="608"/>
      <c r="Y64" s="319"/>
      <c r="Z64" s="317"/>
      <c r="AA64" s="317"/>
      <c r="AB64" s="317"/>
      <c r="AC64" s="317"/>
      <c r="AD64" s="317"/>
      <c r="AE64" s="317"/>
      <c r="AF64" s="317"/>
      <c r="AG64" s="317"/>
      <c r="AH64" s="317"/>
      <c r="AI64" s="317"/>
      <c r="AJ64" s="320"/>
      <c r="AL64" s="182" t="s">
        <v>230</v>
      </c>
      <c r="AM64" s="182"/>
      <c r="AN64" s="182"/>
      <c r="AO64" s="182"/>
      <c r="AP64" s="182"/>
      <c r="AQ64" s="182"/>
      <c r="AR64" s="183"/>
      <c r="AS64" s="183"/>
      <c r="AT64" s="183"/>
      <c r="AU64" s="183"/>
      <c r="AV64" s="183"/>
      <c r="AW64" s="183"/>
      <c r="AX64" s="179"/>
      <c r="AY64" s="184"/>
      <c r="AZ64" s="184"/>
      <c r="BA64" s="184"/>
      <c r="BB64" s="185"/>
      <c r="BC64" s="185"/>
      <c r="BD64" s="185"/>
      <c r="BE64" s="185"/>
      <c r="BF64" s="186"/>
      <c r="BG64" s="186"/>
      <c r="BH64" s="186"/>
      <c r="BI64" s="186"/>
      <c r="BJ64" s="163"/>
      <c r="BK64" s="163"/>
      <c r="BL64" s="163"/>
      <c r="BM64" s="163"/>
      <c r="BN64" s="163"/>
      <c r="BO64" s="163"/>
      <c r="BP64" s="163"/>
      <c r="BQ64" s="163"/>
      <c r="BR64" s="163"/>
      <c r="BS64" s="163"/>
      <c r="BT64" s="163"/>
      <c r="BU64" s="163"/>
      <c r="BW64" s="690"/>
      <c r="BX64" s="691"/>
      <c r="BY64" s="691"/>
      <c r="BZ64" s="691"/>
      <c r="CA64" s="691"/>
      <c r="CB64" s="691"/>
      <c r="CC64" s="691"/>
      <c r="CD64" s="691"/>
      <c r="CE64" s="691"/>
      <c r="CF64" s="691"/>
      <c r="CG64" s="691"/>
      <c r="CH64" s="692"/>
    </row>
    <row r="65" spans="2:86" ht="22.5" customHeight="1">
      <c r="B65" s="486">
        <v>309</v>
      </c>
      <c r="C65" s="606"/>
      <c r="D65" s="317"/>
      <c r="E65" s="317"/>
      <c r="F65" s="317"/>
      <c r="G65" s="317"/>
      <c r="H65" s="317"/>
      <c r="I65" s="317"/>
      <c r="J65" s="426"/>
      <c r="K65" s="426"/>
      <c r="L65" s="607"/>
      <c r="M65" s="607"/>
      <c r="N65" s="607"/>
      <c r="O65" s="607"/>
      <c r="P65" s="607"/>
      <c r="Q65" s="607"/>
      <c r="R65" s="607"/>
      <c r="S65" s="209"/>
      <c r="T65" s="607"/>
      <c r="U65" s="607"/>
      <c r="V65" s="607"/>
      <c r="W65" s="607"/>
      <c r="X65" s="608"/>
      <c r="Y65" s="319"/>
      <c r="Z65" s="317"/>
      <c r="AA65" s="317"/>
      <c r="AB65" s="317"/>
      <c r="AC65" s="317"/>
      <c r="AD65" s="317"/>
      <c r="AE65" s="317"/>
      <c r="AF65" s="317"/>
      <c r="AG65" s="317"/>
      <c r="AH65" s="317"/>
      <c r="AI65" s="317"/>
      <c r="AJ65" s="320"/>
      <c r="AL65" s="600" t="s">
        <v>27</v>
      </c>
      <c r="AM65" s="600"/>
      <c r="AN65" s="600" t="s">
        <v>58</v>
      </c>
      <c r="AO65" s="600"/>
      <c r="AP65" s="600" t="s">
        <v>14</v>
      </c>
      <c r="AQ65" s="600"/>
      <c r="AR65" s="600" t="s">
        <v>22</v>
      </c>
      <c r="AS65" s="600"/>
      <c r="AT65" s="600" t="s">
        <v>1</v>
      </c>
      <c r="AU65" s="600"/>
      <c r="AV65" s="600" t="s">
        <v>18</v>
      </c>
      <c r="AW65" s="600"/>
      <c r="AX65" s="600" t="s">
        <v>28</v>
      </c>
      <c r="AY65" s="600"/>
      <c r="AZ65" s="600" t="s">
        <v>24</v>
      </c>
      <c r="BA65" s="600"/>
      <c r="BB65" s="600" t="s">
        <v>16</v>
      </c>
      <c r="BC65" s="600"/>
      <c r="BD65" s="600" t="s">
        <v>67</v>
      </c>
      <c r="BE65" s="600"/>
      <c r="BF65" s="600" t="s">
        <v>20</v>
      </c>
      <c r="BG65" s="600"/>
      <c r="BH65" s="600" t="s">
        <v>68</v>
      </c>
      <c r="BI65" s="600"/>
      <c r="BK65" s="658" t="s">
        <v>108</v>
      </c>
      <c r="BL65" s="326"/>
      <c r="BM65" s="699">
        <f>SUM(AL66:BI66)</f>
        <v>0</v>
      </c>
      <c r="BN65" s="700"/>
      <c r="BO65" s="701"/>
      <c r="BP65" s="327" t="s">
        <v>107</v>
      </c>
      <c r="BQ65" s="328"/>
      <c r="BR65" s="326"/>
      <c r="BS65" s="665"/>
      <c r="BT65" s="666"/>
      <c r="BU65" s="667"/>
      <c r="BW65" s="690"/>
      <c r="BX65" s="691"/>
      <c r="BY65" s="691"/>
      <c r="BZ65" s="691"/>
      <c r="CA65" s="691"/>
      <c r="CB65" s="691"/>
      <c r="CC65" s="691"/>
      <c r="CD65" s="691"/>
      <c r="CE65" s="691"/>
      <c r="CF65" s="691"/>
      <c r="CG65" s="691"/>
      <c r="CH65" s="692"/>
    </row>
    <row r="66" spans="2:86" ht="22.5" customHeight="1">
      <c r="B66" s="575">
        <v>310</v>
      </c>
      <c r="C66" s="705"/>
      <c r="D66" s="534"/>
      <c r="E66" s="534"/>
      <c r="F66" s="534"/>
      <c r="G66" s="534"/>
      <c r="H66" s="534"/>
      <c r="I66" s="534"/>
      <c r="J66" s="706"/>
      <c r="K66" s="706"/>
      <c r="L66" s="656"/>
      <c r="M66" s="656"/>
      <c r="N66" s="656"/>
      <c r="O66" s="656"/>
      <c r="P66" s="656"/>
      <c r="Q66" s="656"/>
      <c r="R66" s="656"/>
      <c r="S66" s="213"/>
      <c r="T66" s="656"/>
      <c r="U66" s="656"/>
      <c r="V66" s="656"/>
      <c r="W66" s="656"/>
      <c r="X66" s="657"/>
      <c r="Y66" s="707"/>
      <c r="Z66" s="534"/>
      <c r="AA66" s="534"/>
      <c r="AB66" s="534"/>
      <c r="AC66" s="534"/>
      <c r="AD66" s="534"/>
      <c r="AE66" s="534"/>
      <c r="AF66" s="534"/>
      <c r="AG66" s="534"/>
      <c r="AH66" s="534"/>
      <c r="AI66" s="534"/>
      <c r="AJ66" s="535"/>
      <c r="AL66" s="330"/>
      <c r="AM66" s="330"/>
      <c r="AN66" s="330"/>
      <c r="AO66" s="330"/>
      <c r="AP66" s="330"/>
      <c r="AQ66" s="330"/>
      <c r="AR66" s="330"/>
      <c r="AS66" s="330"/>
      <c r="AT66" s="330"/>
      <c r="AU66" s="330"/>
      <c r="AV66" s="330"/>
      <c r="AW66" s="330"/>
      <c r="AX66" s="330"/>
      <c r="AY66" s="330"/>
      <c r="AZ66" s="330"/>
      <c r="BA66" s="330"/>
      <c r="BB66" s="330"/>
      <c r="BC66" s="330"/>
      <c r="BD66" s="330"/>
      <c r="BE66" s="330"/>
      <c r="BF66" s="330"/>
      <c r="BG66" s="330"/>
      <c r="BH66" s="330"/>
      <c r="BI66" s="330"/>
      <c r="BK66" s="575"/>
      <c r="BL66" s="576"/>
      <c r="BM66" s="702"/>
      <c r="BN66" s="703"/>
      <c r="BO66" s="704"/>
      <c r="BP66" s="696" t="str">
        <f>IF(COUNT(AL66:BI66)=0,"",ROUND(AVERAGE(AL66:BI66),1))</f>
        <v/>
      </c>
      <c r="BQ66" s="697"/>
      <c r="BR66" s="698"/>
      <c r="BS66" s="668"/>
      <c r="BT66" s="669"/>
      <c r="BU66" s="670"/>
      <c r="BW66" s="693"/>
      <c r="BX66" s="694"/>
      <c r="BY66" s="694"/>
      <c r="BZ66" s="694"/>
      <c r="CA66" s="694"/>
      <c r="CB66" s="694"/>
      <c r="CC66" s="694"/>
      <c r="CD66" s="694"/>
      <c r="CE66" s="694"/>
      <c r="CF66" s="694"/>
      <c r="CG66" s="694"/>
      <c r="CH66" s="695"/>
    </row>
    <row r="68" spans="2:86" ht="22.5" customHeight="1">
      <c r="B68" s="179" t="s">
        <v>40</v>
      </c>
      <c r="C68" s="179"/>
      <c r="D68" s="179"/>
      <c r="E68" s="179"/>
      <c r="F68" s="179"/>
      <c r="G68" s="179"/>
      <c r="H68" s="179"/>
      <c r="I68" s="179"/>
      <c r="J68" s="179"/>
      <c r="K68" s="179"/>
      <c r="L68" s="179"/>
      <c r="M68" s="179"/>
      <c r="N68" s="179"/>
      <c r="O68" s="183"/>
      <c r="P68" s="179"/>
      <c r="Q68" s="179"/>
      <c r="R68" s="179"/>
      <c r="S68" s="179"/>
      <c r="T68" s="179"/>
      <c r="U68" s="179"/>
      <c r="V68" s="179"/>
      <c r="W68" s="179"/>
      <c r="X68" s="179"/>
      <c r="Y68" s="179"/>
      <c r="Z68" s="179"/>
      <c r="AA68" s="179"/>
    </row>
    <row r="69" spans="2:86" ht="22.5" customHeight="1">
      <c r="B69" s="342" t="s">
        <v>48</v>
      </c>
      <c r="C69" s="343"/>
      <c r="D69" s="344"/>
      <c r="E69" s="544" t="s">
        <v>49</v>
      </c>
      <c r="F69" s="545"/>
      <c r="G69" s="546"/>
      <c r="H69" s="547" t="s">
        <v>113</v>
      </c>
      <c r="I69" s="548"/>
      <c r="J69" s="548" t="s">
        <v>114</v>
      </c>
      <c r="K69" s="549"/>
      <c r="L69" s="544" t="s">
        <v>116</v>
      </c>
      <c r="M69" s="545"/>
      <c r="N69" s="545"/>
      <c r="O69" s="545"/>
      <c r="P69" s="545"/>
      <c r="Q69" s="545"/>
      <c r="R69" s="545"/>
      <c r="S69" s="545"/>
      <c r="T69" s="545"/>
      <c r="U69" s="545"/>
      <c r="V69" s="545"/>
      <c r="W69" s="545"/>
      <c r="X69" s="545"/>
      <c r="Y69" s="545"/>
      <c r="Z69" s="545"/>
      <c r="AA69" s="546"/>
    </row>
    <row r="70" spans="2:86" ht="22.5" customHeight="1">
      <c r="B70" s="512"/>
      <c r="C70" s="513"/>
      <c r="D70" s="514"/>
      <c r="E70" s="518"/>
      <c r="F70" s="519"/>
      <c r="G70" s="520"/>
      <c r="H70" s="524" t="str" cm="1">
        <f t="array" ref="H70">IF(SUM(COUNTIF(BF3:BF32,{"月給","常時給"}))=0,"",
IF(SUMPRODUCT((BF3:BF32={"月給","常時給"})*(BR3:BR32="●"))/SUM(COUNTIF(BF3:BF32,{"月給","常時給"}))&gt;=35%,"〇","×"))</f>
        <v>×</v>
      </c>
      <c r="I70" s="525"/>
      <c r="J70" s="525" t="str" cm="1">
        <f t="array" ref="J70">IFERROR(
  IF(
    SUMPRODUCT((BF3:BF32={"月給","常時給"})*(BR3:BR32="●"))/
    SUM(COUNTIF(BF3:BF32,{"月給","常時給"}))&gt;=25%,
    "〇",
    "×"
  ),
"")</f>
        <v>〇</v>
      </c>
      <c r="K70" s="528"/>
      <c r="L70" s="743"/>
      <c r="M70" s="744"/>
      <c r="N70" s="744"/>
      <c r="O70" s="744"/>
      <c r="P70" s="744"/>
      <c r="Q70" s="744"/>
      <c r="R70" s="744"/>
      <c r="S70" s="744"/>
      <c r="T70" s="744"/>
      <c r="U70" s="744"/>
      <c r="V70" s="744"/>
      <c r="W70" s="744"/>
      <c r="X70" s="744"/>
      <c r="Y70" s="744"/>
      <c r="Z70" s="744"/>
      <c r="AA70" s="745"/>
    </row>
    <row r="71" spans="2:86" ht="22.5" customHeight="1">
      <c r="B71" s="515"/>
      <c r="C71" s="516"/>
      <c r="D71" s="517"/>
      <c r="E71" s="521"/>
      <c r="F71" s="522"/>
      <c r="G71" s="523"/>
      <c r="H71" s="526"/>
      <c r="I71" s="527"/>
      <c r="J71" s="527"/>
      <c r="K71" s="529"/>
      <c r="L71" s="746"/>
      <c r="M71" s="747"/>
      <c r="N71" s="747"/>
      <c r="O71" s="747"/>
      <c r="P71" s="747"/>
      <c r="Q71" s="747"/>
      <c r="R71" s="747"/>
      <c r="S71" s="747"/>
      <c r="T71" s="747"/>
      <c r="U71" s="747"/>
      <c r="V71" s="747"/>
      <c r="W71" s="747"/>
      <c r="X71" s="747"/>
      <c r="Y71" s="747"/>
      <c r="Z71" s="747"/>
      <c r="AA71" s="748"/>
    </row>
    <row r="73" spans="2:86" ht="22.5" customHeight="1">
      <c r="B73" s="181" t="s">
        <v>31</v>
      </c>
      <c r="C73" s="179"/>
      <c r="D73" s="179"/>
      <c r="E73" s="179"/>
      <c r="F73" s="179"/>
      <c r="G73" s="179"/>
      <c r="H73" s="179"/>
      <c r="I73" s="179"/>
      <c r="J73" s="179"/>
      <c r="K73" s="179"/>
      <c r="L73" s="179"/>
      <c r="M73" s="179"/>
      <c r="N73" s="179"/>
      <c r="O73" s="179"/>
      <c r="P73" s="179"/>
      <c r="Q73" s="179"/>
      <c r="R73" s="179"/>
      <c r="S73" s="179"/>
      <c r="T73" s="179"/>
      <c r="U73" s="179"/>
      <c r="V73" s="179"/>
      <c r="W73" s="179"/>
      <c r="X73" s="179"/>
      <c r="Y73" s="179"/>
      <c r="Z73" s="179"/>
      <c r="AA73" s="179"/>
    </row>
    <row r="74" spans="2:86" ht="22.5" customHeight="1">
      <c r="B74" s="406" t="s">
        <v>0</v>
      </c>
      <c r="C74" s="406"/>
      <c r="D74" s="406"/>
      <c r="E74" s="406"/>
      <c r="F74" s="406"/>
      <c r="G74" s="406"/>
      <c r="H74" s="406"/>
      <c r="I74" s="406"/>
      <c r="J74" s="406"/>
      <c r="K74" s="406"/>
      <c r="L74" s="346" t="s">
        <v>30</v>
      </c>
      <c r="M74" s="343"/>
      <c r="N74" s="343"/>
      <c r="O74" s="343"/>
      <c r="P74" s="343"/>
      <c r="Q74" s="343"/>
      <c r="R74" s="343"/>
      <c r="S74" s="343"/>
      <c r="T74" s="343"/>
      <c r="U74" s="343"/>
      <c r="V74" s="343"/>
      <c r="W74" s="343"/>
      <c r="X74" s="343"/>
      <c r="Y74" s="343"/>
      <c r="Z74" s="343"/>
      <c r="AA74" s="345"/>
    </row>
    <row r="75" spans="2:86" ht="22.5" customHeight="1">
      <c r="B75" s="166" t="s">
        <v>228</v>
      </c>
      <c r="C75" s="429" t="s">
        <v>5</v>
      </c>
      <c r="D75" s="429"/>
      <c r="E75" s="429"/>
      <c r="F75" s="430" t="s">
        <v>8</v>
      </c>
      <c r="G75" s="430"/>
      <c r="H75" s="430"/>
      <c r="I75" s="430"/>
      <c r="J75" s="430"/>
      <c r="K75" s="430"/>
      <c r="L75" s="431" t="s">
        <v>12</v>
      </c>
      <c r="M75" s="432"/>
      <c r="N75" s="433" t="s">
        <v>11</v>
      </c>
      <c r="O75" s="434"/>
      <c r="P75" s="435"/>
      <c r="Q75" s="436"/>
      <c r="R75" s="436"/>
      <c r="S75" s="437"/>
      <c r="T75" s="431" t="s">
        <v>12</v>
      </c>
      <c r="U75" s="432"/>
      <c r="V75" s="433"/>
      <c r="W75" s="434"/>
      <c r="X75" s="435"/>
      <c r="Y75" s="436"/>
      <c r="Z75" s="436"/>
      <c r="AA75" s="438"/>
    </row>
    <row r="76" spans="2:86" ht="22.5" customHeight="1">
      <c r="B76" s="166" t="s">
        <v>228</v>
      </c>
      <c r="C76" s="429"/>
      <c r="D76" s="429"/>
      <c r="E76" s="429"/>
      <c r="F76" s="430" t="s">
        <v>7</v>
      </c>
      <c r="G76" s="430"/>
      <c r="H76" s="430"/>
      <c r="I76" s="430"/>
      <c r="J76" s="430"/>
      <c r="K76" s="430"/>
      <c r="L76" s="431" t="s">
        <v>12</v>
      </c>
      <c r="M76" s="432"/>
      <c r="N76" s="433" t="s">
        <v>11</v>
      </c>
      <c r="O76" s="434"/>
      <c r="P76" s="435"/>
      <c r="Q76" s="436"/>
      <c r="R76" s="436"/>
      <c r="S76" s="437"/>
      <c r="T76" s="431" t="s">
        <v>12</v>
      </c>
      <c r="U76" s="432"/>
      <c r="V76" s="433"/>
      <c r="W76" s="434"/>
      <c r="X76" s="435"/>
      <c r="Y76" s="436"/>
      <c r="Z76" s="436"/>
      <c r="AA76" s="438"/>
    </row>
    <row r="77" spans="2:86" ht="22.5" customHeight="1">
      <c r="B77" s="166" t="s">
        <v>228</v>
      </c>
      <c r="C77" s="429"/>
      <c r="D77" s="429"/>
      <c r="E77" s="429"/>
      <c r="F77" s="430" t="s">
        <v>9</v>
      </c>
      <c r="G77" s="430"/>
      <c r="H77" s="430"/>
      <c r="I77" s="430"/>
      <c r="J77" s="430"/>
      <c r="K77" s="430"/>
      <c r="L77" s="431" t="s">
        <v>12</v>
      </c>
      <c r="M77" s="432"/>
      <c r="N77" s="433" t="s">
        <v>15</v>
      </c>
      <c r="O77" s="434"/>
      <c r="P77" s="205"/>
      <c r="Q77" s="465" t="s">
        <v>17</v>
      </c>
      <c r="R77" s="465"/>
      <c r="S77" s="205"/>
      <c r="T77" s="431" t="s">
        <v>13</v>
      </c>
      <c r="U77" s="432"/>
      <c r="V77" s="433" t="s">
        <v>19</v>
      </c>
      <c r="W77" s="434"/>
      <c r="X77" s="206"/>
      <c r="Y77" s="465" t="s">
        <v>21</v>
      </c>
      <c r="Z77" s="465"/>
      <c r="AA77" s="207"/>
    </row>
    <row r="78" spans="2:86" ht="22.5" customHeight="1">
      <c r="B78" s="166" t="s">
        <v>228</v>
      </c>
      <c r="C78" s="429"/>
      <c r="D78" s="429"/>
      <c r="E78" s="429"/>
      <c r="F78" s="430" t="s">
        <v>6</v>
      </c>
      <c r="G78" s="430"/>
      <c r="H78" s="430"/>
      <c r="I78" s="430"/>
      <c r="J78" s="430"/>
      <c r="K78" s="430"/>
      <c r="L78" s="431" t="s">
        <v>12</v>
      </c>
      <c r="M78" s="432"/>
      <c r="N78" s="433" t="s">
        <v>23</v>
      </c>
      <c r="O78" s="434"/>
      <c r="P78" s="435"/>
      <c r="Q78" s="436"/>
      <c r="R78" s="436"/>
      <c r="S78" s="437"/>
      <c r="T78" s="431" t="s">
        <v>13</v>
      </c>
      <c r="U78" s="432"/>
      <c r="V78" s="433" t="s">
        <v>25</v>
      </c>
      <c r="W78" s="434"/>
      <c r="X78" s="435"/>
      <c r="Y78" s="436"/>
      <c r="Z78" s="436"/>
      <c r="AA78" s="438"/>
    </row>
    <row r="79" spans="2:86" ht="22.5" customHeight="1">
      <c r="B79" s="166" t="s">
        <v>228</v>
      </c>
      <c r="C79" s="429"/>
      <c r="D79" s="429"/>
      <c r="E79" s="429"/>
      <c r="F79" s="461"/>
      <c r="G79" s="461"/>
      <c r="H79" s="461"/>
      <c r="I79" s="461"/>
      <c r="J79" s="461"/>
      <c r="K79" s="461"/>
      <c r="L79" s="431" t="s">
        <v>12</v>
      </c>
      <c r="M79" s="432"/>
      <c r="N79" s="433"/>
      <c r="O79" s="434"/>
      <c r="P79" s="435"/>
      <c r="Q79" s="436"/>
      <c r="R79" s="436"/>
      <c r="S79" s="437"/>
      <c r="T79" s="431" t="s">
        <v>12</v>
      </c>
      <c r="U79" s="432"/>
      <c r="V79" s="433"/>
      <c r="W79" s="434"/>
      <c r="X79" s="435"/>
      <c r="Y79" s="436"/>
      <c r="Z79" s="436"/>
      <c r="AA79" s="438"/>
    </row>
    <row r="80" spans="2:86" ht="22.5" customHeight="1">
      <c r="B80" s="166" t="s">
        <v>228</v>
      </c>
      <c r="C80" s="466" t="s">
        <v>10</v>
      </c>
      <c r="D80" s="466"/>
      <c r="E80" s="466"/>
      <c r="F80" s="466"/>
      <c r="G80" s="466"/>
      <c r="H80" s="466"/>
      <c r="I80" s="466"/>
      <c r="J80" s="466"/>
      <c r="K80" s="466"/>
      <c r="L80" s="472" t="s">
        <v>26</v>
      </c>
      <c r="M80" s="472"/>
      <c r="N80" s="472"/>
      <c r="O80" s="472"/>
      <c r="P80" s="217" t="s">
        <v>724</v>
      </c>
      <c r="Q80" s="218" t="s">
        <v>724</v>
      </c>
      <c r="R80" s="218" t="s">
        <v>724</v>
      </c>
      <c r="S80" s="218" t="s">
        <v>724</v>
      </c>
      <c r="T80" s="218" t="s">
        <v>724</v>
      </c>
      <c r="U80" s="218">
        <v>6</v>
      </c>
      <c r="V80" s="218">
        <v>7</v>
      </c>
      <c r="W80" s="218">
        <v>8</v>
      </c>
      <c r="X80" s="218">
        <v>9</v>
      </c>
      <c r="Y80" s="218">
        <v>10</v>
      </c>
      <c r="Z80" s="218">
        <v>11</v>
      </c>
      <c r="AA80" s="219">
        <v>12</v>
      </c>
    </row>
    <row r="81" spans="2:63" ht="22.5" customHeight="1">
      <c r="B81" s="166" t="s">
        <v>228</v>
      </c>
      <c r="C81" s="466" t="s">
        <v>2</v>
      </c>
      <c r="D81" s="466"/>
      <c r="E81" s="466"/>
      <c r="F81" s="466"/>
      <c r="G81" s="466"/>
      <c r="H81" s="466"/>
      <c r="I81" s="466"/>
      <c r="J81" s="466"/>
      <c r="K81" s="466"/>
      <c r="L81" s="431" t="s">
        <v>13</v>
      </c>
      <c r="M81" s="432"/>
      <c r="N81" s="433" t="s">
        <v>27</v>
      </c>
      <c r="O81" s="434"/>
      <c r="P81" s="435" t="s">
        <v>267</v>
      </c>
      <c r="Q81" s="436"/>
      <c r="R81" s="436"/>
      <c r="S81" s="437"/>
      <c r="T81" s="431" t="s">
        <v>13</v>
      </c>
      <c r="U81" s="432"/>
      <c r="V81" s="433" t="s">
        <v>29</v>
      </c>
      <c r="W81" s="434"/>
      <c r="X81" s="435"/>
      <c r="Y81" s="436"/>
      <c r="Z81" s="436"/>
      <c r="AA81" s="438"/>
    </row>
    <row r="82" spans="2:63" ht="22.5" customHeight="1">
      <c r="B82" s="166" t="s">
        <v>228</v>
      </c>
      <c r="C82" s="466" t="s">
        <v>3</v>
      </c>
      <c r="D82" s="466"/>
      <c r="E82" s="466"/>
      <c r="F82" s="466"/>
      <c r="G82" s="466"/>
      <c r="H82" s="466"/>
      <c r="I82" s="466"/>
      <c r="J82" s="466"/>
      <c r="K82" s="466"/>
      <c r="L82" s="477" t="s">
        <v>252</v>
      </c>
      <c r="M82" s="477"/>
      <c r="N82" s="477"/>
      <c r="O82" s="477"/>
      <c r="P82" s="435"/>
      <c r="Q82" s="436"/>
      <c r="R82" s="436"/>
      <c r="S82" s="437"/>
      <c r="T82" s="455" t="s">
        <v>253</v>
      </c>
      <c r="U82" s="456"/>
      <c r="V82" s="456"/>
      <c r="W82" s="456"/>
      <c r="X82" s="456"/>
      <c r="Y82" s="456"/>
      <c r="Z82" s="456"/>
      <c r="AA82" s="457"/>
    </row>
    <row r="83" spans="2:63" ht="22.5" customHeight="1">
      <c r="B83" s="166" t="s">
        <v>228</v>
      </c>
      <c r="C83" s="466" t="s">
        <v>126</v>
      </c>
      <c r="D83" s="466"/>
      <c r="E83" s="466"/>
      <c r="F83" s="466"/>
      <c r="G83" s="466"/>
      <c r="H83" s="466"/>
      <c r="I83" s="466"/>
      <c r="J83" s="466"/>
      <c r="K83" s="466"/>
      <c r="L83" s="431" t="s">
        <v>36</v>
      </c>
      <c r="M83" s="432"/>
      <c r="N83" s="433" t="s">
        <v>245</v>
      </c>
      <c r="O83" s="434"/>
      <c r="P83" s="435"/>
      <c r="Q83" s="436"/>
      <c r="R83" s="436"/>
      <c r="S83" s="437"/>
      <c r="T83" s="431" t="s">
        <v>37</v>
      </c>
      <c r="U83" s="432"/>
      <c r="V83" s="433" t="s">
        <v>245</v>
      </c>
      <c r="W83" s="434"/>
      <c r="X83" s="435"/>
      <c r="Y83" s="436"/>
      <c r="Z83" s="436"/>
      <c r="AA83" s="438"/>
    </row>
    <row r="84" spans="2:63" ht="22.5" customHeight="1">
      <c r="B84" s="166" t="s">
        <v>228</v>
      </c>
      <c r="C84" s="466" t="s">
        <v>4</v>
      </c>
      <c r="D84" s="466"/>
      <c r="E84" s="466"/>
      <c r="F84" s="466"/>
      <c r="G84" s="466"/>
      <c r="H84" s="466"/>
      <c r="I84" s="466"/>
      <c r="J84" s="466"/>
      <c r="K84" s="466"/>
      <c r="L84" s="483"/>
      <c r="M84" s="484"/>
      <c r="N84" s="484"/>
      <c r="O84" s="484"/>
      <c r="P84" s="484"/>
      <c r="Q84" s="484"/>
      <c r="R84" s="484"/>
      <c r="S84" s="484"/>
      <c r="T84" s="484"/>
      <c r="U84" s="484"/>
      <c r="V84" s="484"/>
      <c r="W84" s="484"/>
      <c r="X84" s="484"/>
      <c r="Y84" s="484"/>
      <c r="Z84" s="484"/>
      <c r="AA84" s="485"/>
    </row>
    <row r="86" spans="2:63" ht="22.5" customHeight="1">
      <c r="B86" s="725" t="s">
        <v>792</v>
      </c>
      <c r="C86" s="725"/>
      <c r="D86" s="725"/>
      <c r="E86" s="725"/>
      <c r="F86" s="725" t="s">
        <v>793</v>
      </c>
      <c r="G86" s="725"/>
      <c r="H86" s="725"/>
      <c r="I86" s="725"/>
      <c r="J86" s="725" t="s">
        <v>794</v>
      </c>
      <c r="K86" s="725"/>
      <c r="L86" s="725"/>
      <c r="M86" s="725"/>
      <c r="N86" s="729" t="s">
        <v>806</v>
      </c>
      <c r="O86" s="730"/>
      <c r="P86" s="730"/>
      <c r="Q86" s="730"/>
      <c r="R86" s="730"/>
      <c r="S86" s="730"/>
      <c r="T86" s="730"/>
      <c r="U86" s="730"/>
      <c r="V86" s="730"/>
      <c r="W86" s="730"/>
      <c r="X86" s="730"/>
      <c r="Y86" s="730"/>
      <c r="Z86" s="730"/>
      <c r="AA86" s="730"/>
      <c r="AB86" s="730"/>
      <c r="AC86" s="730"/>
      <c r="AD86" s="730"/>
      <c r="AE86" s="730"/>
      <c r="AF86" s="730"/>
      <c r="AG86" s="730"/>
      <c r="AH86" s="730"/>
      <c r="AI86" s="730"/>
      <c r="AJ86" s="730"/>
      <c r="AK86" s="730"/>
      <c r="AL86" s="730"/>
      <c r="AM86" s="730"/>
      <c r="AN86" s="730"/>
      <c r="AO86" s="730"/>
      <c r="AP86" s="730"/>
      <c r="AQ86" s="730"/>
      <c r="AR86" s="730"/>
      <c r="AS86" s="730"/>
      <c r="AT86" s="731"/>
      <c r="AU86" s="725"/>
      <c r="AV86" s="725"/>
      <c r="AW86" s="725"/>
      <c r="AX86" s="725"/>
      <c r="AY86" s="725"/>
      <c r="AZ86" s="725"/>
      <c r="BA86" s="725"/>
      <c r="BB86" s="725"/>
      <c r="BC86" s="725"/>
      <c r="BD86" s="725"/>
      <c r="BE86" s="725"/>
      <c r="BF86" s="725"/>
      <c r="BG86" s="725"/>
      <c r="BH86" s="725"/>
      <c r="BI86" s="725"/>
      <c r="BJ86" s="725"/>
      <c r="BK86" s="725"/>
    </row>
    <row r="87" spans="2:63" ht="22.5" customHeight="1">
      <c r="B87" s="727" t="s">
        <v>795</v>
      </c>
      <c r="C87" s="727"/>
      <c r="D87" s="727"/>
      <c r="E87" s="727"/>
      <c r="F87" s="465" t="s">
        <v>796</v>
      </c>
      <c r="G87" s="465"/>
      <c r="H87" s="465"/>
      <c r="I87" s="465"/>
      <c r="J87" s="726" t="s">
        <v>934</v>
      </c>
      <c r="K87" s="726"/>
      <c r="L87" s="726"/>
      <c r="M87" s="726"/>
      <c r="N87" s="732" t="s">
        <v>830</v>
      </c>
      <c r="O87" s="733"/>
      <c r="P87" s="733"/>
      <c r="Q87" s="733"/>
      <c r="R87" s="733"/>
      <c r="S87" s="733"/>
      <c r="T87" s="733"/>
      <c r="U87" s="733"/>
      <c r="V87" s="733"/>
      <c r="W87" s="733"/>
      <c r="X87" s="733"/>
      <c r="Y87" s="733"/>
      <c r="Z87" s="733"/>
      <c r="AA87" s="733"/>
      <c r="AB87" s="733"/>
      <c r="AC87" s="733"/>
      <c r="AD87" s="733"/>
      <c r="AE87" s="733"/>
      <c r="AF87" s="733"/>
      <c r="AG87" s="733"/>
      <c r="AH87" s="733"/>
      <c r="AI87" s="733"/>
      <c r="AJ87" s="733"/>
      <c r="AK87" s="733"/>
      <c r="AL87" s="733"/>
      <c r="AM87" s="733"/>
      <c r="AN87" s="733"/>
      <c r="AO87" s="733"/>
      <c r="AP87" s="733"/>
      <c r="AQ87" s="733"/>
      <c r="AR87" s="733"/>
      <c r="AS87" s="733"/>
      <c r="AT87" s="734"/>
      <c r="AU87" s="726"/>
      <c r="AV87" s="726"/>
      <c r="AW87" s="726"/>
      <c r="AX87" s="726"/>
      <c r="AY87" s="726"/>
      <c r="AZ87" s="726"/>
      <c r="BA87" s="726"/>
      <c r="BB87" s="726"/>
      <c r="BC87" s="726"/>
      <c r="BD87" s="726"/>
      <c r="BE87" s="726"/>
      <c r="BF87" s="726"/>
      <c r="BG87" s="726"/>
      <c r="BH87" s="726"/>
      <c r="BI87" s="726"/>
      <c r="BJ87" s="726"/>
      <c r="BK87" s="726"/>
    </row>
    <row r="88" spans="2:63" ht="22.5" customHeight="1">
      <c r="B88" s="727" t="s">
        <v>804</v>
      </c>
      <c r="C88" s="727"/>
      <c r="D88" s="727"/>
      <c r="E88" s="727"/>
      <c r="F88" s="465" t="s">
        <v>817</v>
      </c>
      <c r="G88" s="465"/>
      <c r="H88" s="465"/>
      <c r="I88" s="465"/>
      <c r="J88" s="726" t="s">
        <v>818</v>
      </c>
      <c r="K88" s="726"/>
      <c r="L88" s="726"/>
      <c r="M88" s="726"/>
      <c r="N88" s="732" t="s">
        <v>935</v>
      </c>
      <c r="O88" s="733"/>
      <c r="P88" s="733"/>
      <c r="Q88" s="733"/>
      <c r="R88" s="733"/>
      <c r="S88" s="733"/>
      <c r="T88" s="733"/>
      <c r="U88" s="733"/>
      <c r="V88" s="733"/>
      <c r="W88" s="733"/>
      <c r="X88" s="733"/>
      <c r="Y88" s="733"/>
      <c r="Z88" s="733"/>
      <c r="AA88" s="733"/>
      <c r="AB88" s="733"/>
      <c r="AC88" s="733"/>
      <c r="AD88" s="733"/>
      <c r="AE88" s="733"/>
      <c r="AF88" s="733"/>
      <c r="AG88" s="733"/>
      <c r="AH88" s="733"/>
      <c r="AI88" s="733"/>
      <c r="AJ88" s="733"/>
      <c r="AK88" s="733"/>
      <c r="AL88" s="733"/>
      <c r="AM88" s="733"/>
      <c r="AN88" s="733"/>
      <c r="AO88" s="733"/>
      <c r="AP88" s="733"/>
      <c r="AQ88" s="733"/>
      <c r="AR88" s="733"/>
      <c r="AS88" s="733"/>
      <c r="AT88" s="734"/>
      <c r="AU88" s="726"/>
      <c r="AV88" s="726"/>
      <c r="AW88" s="726"/>
      <c r="AX88" s="726"/>
      <c r="AY88" s="726"/>
      <c r="AZ88" s="726"/>
      <c r="BA88" s="726"/>
      <c r="BB88" s="726"/>
      <c r="BC88" s="726"/>
      <c r="BD88" s="726"/>
      <c r="BE88" s="726"/>
      <c r="BF88" s="726"/>
      <c r="BG88" s="726"/>
      <c r="BH88" s="726"/>
      <c r="BI88" s="726"/>
      <c r="BJ88" s="726"/>
      <c r="BK88" s="726"/>
    </row>
    <row r="89" spans="2:63" ht="22.5" customHeight="1">
      <c r="B89" s="727" t="s">
        <v>807</v>
      </c>
      <c r="C89" s="727"/>
      <c r="D89" s="727"/>
      <c r="E89" s="727"/>
      <c r="F89" s="465" t="s">
        <v>820</v>
      </c>
      <c r="G89" s="465"/>
      <c r="H89" s="465"/>
      <c r="I89" s="465"/>
      <c r="J89" s="726" t="s">
        <v>819</v>
      </c>
      <c r="K89" s="726"/>
      <c r="L89" s="726"/>
      <c r="M89" s="726"/>
      <c r="N89" s="732" t="s">
        <v>821</v>
      </c>
      <c r="O89" s="733"/>
      <c r="P89" s="733"/>
      <c r="Q89" s="733"/>
      <c r="R89" s="733"/>
      <c r="S89" s="733"/>
      <c r="T89" s="733"/>
      <c r="U89" s="733"/>
      <c r="V89" s="733"/>
      <c r="W89" s="733"/>
      <c r="X89" s="733"/>
      <c r="Y89" s="733"/>
      <c r="Z89" s="733"/>
      <c r="AA89" s="733"/>
      <c r="AB89" s="733"/>
      <c r="AC89" s="733"/>
      <c r="AD89" s="733"/>
      <c r="AE89" s="733"/>
      <c r="AF89" s="733"/>
      <c r="AG89" s="733"/>
      <c r="AH89" s="733"/>
      <c r="AI89" s="733"/>
      <c r="AJ89" s="733"/>
      <c r="AK89" s="733"/>
      <c r="AL89" s="733"/>
      <c r="AM89" s="733"/>
      <c r="AN89" s="733"/>
      <c r="AO89" s="733"/>
      <c r="AP89" s="733"/>
      <c r="AQ89" s="733"/>
      <c r="AR89" s="733"/>
      <c r="AS89" s="733"/>
      <c r="AT89" s="734"/>
      <c r="AU89" s="726"/>
      <c r="AV89" s="726"/>
      <c r="AW89" s="726"/>
      <c r="AX89" s="726"/>
      <c r="AY89" s="726"/>
      <c r="AZ89" s="726"/>
      <c r="BA89" s="726"/>
      <c r="BB89" s="726"/>
      <c r="BC89" s="726"/>
      <c r="BD89" s="726"/>
      <c r="BE89" s="726"/>
      <c r="BF89" s="726"/>
      <c r="BG89" s="726"/>
      <c r="BH89" s="726"/>
      <c r="BI89" s="726"/>
      <c r="BJ89" s="726"/>
      <c r="BK89" s="726"/>
    </row>
    <row r="90" spans="2:63" ht="22.5" customHeight="1">
      <c r="B90" s="727" t="s">
        <v>808</v>
      </c>
      <c r="C90" s="727"/>
      <c r="D90" s="727"/>
      <c r="E90" s="727"/>
      <c r="F90" s="465" t="s">
        <v>803</v>
      </c>
      <c r="G90" s="465"/>
      <c r="H90" s="465"/>
      <c r="I90" s="465"/>
      <c r="J90" s="726" t="s">
        <v>819</v>
      </c>
      <c r="K90" s="726"/>
      <c r="L90" s="726"/>
      <c r="M90" s="726"/>
      <c r="N90" s="732" t="s">
        <v>822</v>
      </c>
      <c r="O90" s="733"/>
      <c r="P90" s="733"/>
      <c r="Q90" s="733"/>
      <c r="R90" s="733"/>
      <c r="S90" s="733"/>
      <c r="T90" s="733"/>
      <c r="U90" s="733"/>
      <c r="V90" s="733"/>
      <c r="W90" s="733"/>
      <c r="X90" s="733"/>
      <c r="Y90" s="733"/>
      <c r="Z90" s="733"/>
      <c r="AA90" s="733"/>
      <c r="AB90" s="733"/>
      <c r="AC90" s="733"/>
      <c r="AD90" s="733"/>
      <c r="AE90" s="733"/>
      <c r="AF90" s="733"/>
      <c r="AG90" s="733"/>
      <c r="AH90" s="733"/>
      <c r="AI90" s="733"/>
      <c r="AJ90" s="733"/>
      <c r="AK90" s="733"/>
      <c r="AL90" s="733"/>
      <c r="AM90" s="733"/>
      <c r="AN90" s="733"/>
      <c r="AO90" s="733"/>
      <c r="AP90" s="733"/>
      <c r="AQ90" s="733"/>
      <c r="AR90" s="733"/>
      <c r="AS90" s="733"/>
      <c r="AT90" s="734"/>
      <c r="AU90" s="726"/>
      <c r="AV90" s="726"/>
      <c r="AW90" s="726"/>
      <c r="AX90" s="726"/>
      <c r="AY90" s="726"/>
      <c r="AZ90" s="726"/>
      <c r="BA90" s="726"/>
      <c r="BB90" s="726"/>
      <c r="BC90" s="726"/>
      <c r="BD90" s="726"/>
      <c r="BE90" s="726"/>
      <c r="BF90" s="726"/>
      <c r="BG90" s="726"/>
      <c r="BH90" s="726"/>
      <c r="BI90" s="726"/>
      <c r="BJ90" s="726"/>
      <c r="BK90" s="726"/>
    </row>
    <row r="91" spans="2:63" ht="22.5" customHeight="1">
      <c r="B91" s="727" t="s">
        <v>799</v>
      </c>
      <c r="C91" s="727"/>
      <c r="D91" s="727"/>
      <c r="E91" s="727"/>
      <c r="F91" s="465" t="s">
        <v>823</v>
      </c>
      <c r="G91" s="465"/>
      <c r="H91" s="465"/>
      <c r="I91" s="465"/>
      <c r="J91" s="726"/>
      <c r="K91" s="726"/>
      <c r="L91" s="726"/>
      <c r="M91" s="726"/>
      <c r="N91" s="732" t="s">
        <v>824</v>
      </c>
      <c r="O91" s="733"/>
      <c r="P91" s="733"/>
      <c r="Q91" s="733"/>
      <c r="R91" s="733"/>
      <c r="S91" s="733"/>
      <c r="T91" s="733"/>
      <c r="U91" s="733"/>
      <c r="V91" s="733"/>
      <c r="W91" s="733"/>
      <c r="X91" s="733"/>
      <c r="Y91" s="733"/>
      <c r="Z91" s="733"/>
      <c r="AA91" s="733"/>
      <c r="AB91" s="733"/>
      <c r="AC91" s="733"/>
      <c r="AD91" s="733"/>
      <c r="AE91" s="733"/>
      <c r="AF91" s="733"/>
      <c r="AG91" s="733"/>
      <c r="AH91" s="733"/>
      <c r="AI91" s="733"/>
      <c r="AJ91" s="733"/>
      <c r="AK91" s="733"/>
      <c r="AL91" s="733"/>
      <c r="AM91" s="733"/>
      <c r="AN91" s="733"/>
      <c r="AO91" s="733"/>
      <c r="AP91" s="733"/>
      <c r="AQ91" s="733"/>
      <c r="AR91" s="733"/>
      <c r="AS91" s="733"/>
      <c r="AT91" s="734"/>
      <c r="AU91" s="726"/>
      <c r="AV91" s="726"/>
      <c r="AW91" s="726"/>
      <c r="AX91" s="726"/>
      <c r="AY91" s="726"/>
      <c r="AZ91" s="726"/>
      <c r="BA91" s="726"/>
      <c r="BB91" s="726"/>
      <c r="BC91" s="726"/>
      <c r="BD91" s="726"/>
      <c r="BE91" s="726"/>
      <c r="BF91" s="726"/>
      <c r="BG91" s="726"/>
      <c r="BH91" s="726"/>
      <c r="BI91" s="726"/>
      <c r="BJ91" s="726"/>
      <c r="BK91" s="726"/>
    </row>
    <row r="92" spans="2:63" ht="22.5" customHeight="1">
      <c r="B92" s="715" t="s">
        <v>791</v>
      </c>
      <c r="C92" s="716"/>
      <c r="D92" s="716"/>
      <c r="E92" s="717"/>
      <c r="F92" s="718" t="s">
        <v>825</v>
      </c>
      <c r="G92" s="433"/>
      <c r="H92" s="433"/>
      <c r="I92" s="434"/>
      <c r="J92" s="719"/>
      <c r="K92" s="720"/>
      <c r="L92" s="720"/>
      <c r="M92" s="721"/>
      <c r="N92" s="732" t="s">
        <v>826</v>
      </c>
      <c r="O92" s="733"/>
      <c r="P92" s="733"/>
      <c r="Q92" s="733"/>
      <c r="R92" s="733"/>
      <c r="S92" s="733"/>
      <c r="T92" s="733"/>
      <c r="U92" s="733"/>
      <c r="V92" s="733"/>
      <c r="W92" s="733"/>
      <c r="X92" s="733"/>
      <c r="Y92" s="733"/>
      <c r="Z92" s="733"/>
      <c r="AA92" s="733"/>
      <c r="AB92" s="733"/>
      <c r="AC92" s="733"/>
      <c r="AD92" s="733"/>
      <c r="AE92" s="733"/>
      <c r="AF92" s="733"/>
      <c r="AG92" s="733"/>
      <c r="AH92" s="733"/>
      <c r="AI92" s="733"/>
      <c r="AJ92" s="733"/>
      <c r="AK92" s="733"/>
      <c r="AL92" s="733"/>
      <c r="AM92" s="733"/>
      <c r="AN92" s="733"/>
      <c r="AO92" s="733"/>
      <c r="AP92" s="733"/>
      <c r="AQ92" s="733"/>
      <c r="AR92" s="733"/>
      <c r="AS92" s="733"/>
      <c r="AT92" s="734"/>
      <c r="AU92" s="726"/>
      <c r="AV92" s="726"/>
      <c r="AW92" s="726"/>
      <c r="AX92" s="726"/>
      <c r="AY92" s="726"/>
      <c r="AZ92" s="726"/>
      <c r="BA92" s="726"/>
      <c r="BB92" s="726"/>
      <c r="BC92" s="726"/>
      <c r="BD92" s="726"/>
      <c r="BE92" s="726"/>
      <c r="BF92" s="726"/>
      <c r="BG92" s="726"/>
      <c r="BH92" s="726"/>
      <c r="BI92" s="726"/>
      <c r="BJ92" s="726"/>
      <c r="BK92" s="726"/>
    </row>
    <row r="93" spans="2:63" ht="22.5" customHeight="1">
      <c r="B93" s="715" t="s">
        <v>801</v>
      </c>
      <c r="C93" s="716"/>
      <c r="D93" s="716"/>
      <c r="E93" s="717"/>
      <c r="F93" s="718" t="s">
        <v>805</v>
      </c>
      <c r="G93" s="433"/>
      <c r="H93" s="433"/>
      <c r="I93" s="434"/>
      <c r="J93" s="719"/>
      <c r="K93" s="720"/>
      <c r="L93" s="720"/>
      <c r="M93" s="721"/>
      <c r="N93" s="732" t="s">
        <v>827</v>
      </c>
      <c r="O93" s="733"/>
      <c r="P93" s="733"/>
      <c r="Q93" s="733"/>
      <c r="R93" s="733"/>
      <c r="S93" s="733"/>
      <c r="T93" s="733"/>
      <c r="U93" s="733"/>
      <c r="V93" s="733"/>
      <c r="W93" s="733"/>
      <c r="X93" s="733"/>
      <c r="Y93" s="733"/>
      <c r="Z93" s="733"/>
      <c r="AA93" s="733"/>
      <c r="AB93" s="733"/>
      <c r="AC93" s="733"/>
      <c r="AD93" s="733"/>
      <c r="AE93" s="733"/>
      <c r="AF93" s="733"/>
      <c r="AG93" s="733"/>
      <c r="AH93" s="733"/>
      <c r="AI93" s="733"/>
      <c r="AJ93" s="733"/>
      <c r="AK93" s="733"/>
      <c r="AL93" s="733"/>
      <c r="AM93" s="733"/>
      <c r="AN93" s="733"/>
      <c r="AO93" s="733"/>
      <c r="AP93" s="733"/>
      <c r="AQ93" s="733"/>
      <c r="AR93" s="733"/>
      <c r="AS93" s="733"/>
      <c r="AT93" s="734"/>
      <c r="AU93" s="726"/>
      <c r="AV93" s="726"/>
      <c r="AW93" s="726"/>
      <c r="AX93" s="726"/>
      <c r="AY93" s="726"/>
      <c r="AZ93" s="726"/>
      <c r="BA93" s="726"/>
      <c r="BB93" s="726"/>
      <c r="BC93" s="726"/>
      <c r="BD93" s="726"/>
      <c r="BE93" s="726"/>
      <c r="BF93" s="726"/>
      <c r="BG93" s="726"/>
      <c r="BH93" s="726"/>
      <c r="BI93" s="726"/>
      <c r="BJ93" s="726"/>
      <c r="BK93" s="726"/>
    </row>
    <row r="94" spans="2:63" ht="22.5" customHeight="1">
      <c r="B94" s="715" t="s">
        <v>802</v>
      </c>
      <c r="C94" s="716"/>
      <c r="D94" s="716"/>
      <c r="E94" s="717"/>
      <c r="F94" s="718" t="s">
        <v>828</v>
      </c>
      <c r="G94" s="433"/>
      <c r="H94" s="433"/>
      <c r="I94" s="434"/>
      <c r="J94" s="719"/>
      <c r="K94" s="720"/>
      <c r="L94" s="720"/>
      <c r="M94" s="721"/>
      <c r="N94" s="732" t="s">
        <v>829</v>
      </c>
      <c r="O94" s="733"/>
      <c r="P94" s="733"/>
      <c r="Q94" s="733"/>
      <c r="R94" s="733"/>
      <c r="S94" s="733"/>
      <c r="T94" s="733"/>
      <c r="U94" s="733"/>
      <c r="V94" s="733"/>
      <c r="W94" s="733"/>
      <c r="X94" s="733"/>
      <c r="Y94" s="733"/>
      <c r="Z94" s="733"/>
      <c r="AA94" s="733"/>
      <c r="AB94" s="733"/>
      <c r="AC94" s="733"/>
      <c r="AD94" s="733"/>
      <c r="AE94" s="733"/>
      <c r="AF94" s="733"/>
      <c r="AG94" s="733"/>
      <c r="AH94" s="733"/>
      <c r="AI94" s="733"/>
      <c r="AJ94" s="733"/>
      <c r="AK94" s="733"/>
      <c r="AL94" s="733"/>
      <c r="AM94" s="733"/>
      <c r="AN94" s="733"/>
      <c r="AO94" s="733"/>
      <c r="AP94" s="733"/>
      <c r="AQ94" s="733"/>
      <c r="AR94" s="733"/>
      <c r="AS94" s="733"/>
      <c r="AT94" s="734"/>
      <c r="AU94" s="726"/>
      <c r="AV94" s="726"/>
      <c r="AW94" s="726"/>
      <c r="AX94" s="726"/>
      <c r="AY94" s="726"/>
      <c r="AZ94" s="726"/>
      <c r="BA94" s="726"/>
      <c r="BB94" s="726"/>
      <c r="BC94" s="726"/>
      <c r="BD94" s="726"/>
      <c r="BE94" s="726"/>
      <c r="BF94" s="726"/>
      <c r="BG94" s="726"/>
      <c r="BH94" s="726"/>
      <c r="BI94" s="726"/>
      <c r="BJ94" s="726"/>
      <c r="BK94" s="726"/>
    </row>
    <row r="97" spans="2:7" ht="22" customHeight="1">
      <c r="B97" s="161" cm="1">
        <f t="array" ref="B97:E97">CHOOSE({1,2,3,4},
  [2]管理用シート!EO69,
  [2]管理用シート!ES69,
  [2]管理用シート!EW69,
  [2]管理用シート!FA69
)</f>
        <v>3</v>
      </c>
      <c r="C97" s="161">
        <v>4</v>
      </c>
      <c r="D97" s="161">
        <v>5</v>
      </c>
      <c r="E97" s="161">
        <v>6</v>
      </c>
    </row>
    <row r="98" spans="2:7" ht="22" customHeight="1">
      <c r="B98" s="273" cm="1">
        <f t="array" ref="B98:E98">CHOOSE({1,2,3,4},
  [2]管理用シート!EO70,
  [2]管理用シート!ES70,
  [2]管理用シート!EW70,
  [2]管理用シート!FA70
)</f>
        <v>86</v>
      </c>
      <c r="C98" s="273">
        <v>237</v>
      </c>
      <c r="D98">
        <v>125</v>
      </c>
      <c r="E98" s="273">
        <v>150</v>
      </c>
      <c r="F98"/>
      <c r="G98"/>
    </row>
    <row r="99" spans="2:7" ht="22" customHeight="1">
      <c r="B99" s="273"/>
      <c r="C99" s="273"/>
      <c r="D99"/>
      <c r="E99" s="273"/>
      <c r="F99" s="273"/>
      <c r="G99"/>
    </row>
    <row r="100" spans="2:7" ht="22" customHeight="1">
      <c r="B100" s="273"/>
      <c r="C100" s="273"/>
      <c r="D100"/>
      <c r="E100" s="273"/>
      <c r="F100" s="274"/>
      <c r="G100"/>
    </row>
    <row r="101" spans="2:7" ht="22" customHeight="1">
      <c r="B101" s="273"/>
      <c r="C101" s="273"/>
      <c r="D101"/>
      <c r="E101" s="273"/>
      <c r="F101" s="275"/>
      <c r="G101"/>
    </row>
    <row r="102" spans="2:7" ht="22" customHeight="1">
      <c r="B102" s="273"/>
      <c r="C102" s="274"/>
      <c r="D102"/>
      <c r="E102" s="273"/>
      <c r="F102" s="276"/>
      <c r="G102"/>
    </row>
    <row r="103" spans="2:7" ht="22" customHeight="1">
      <c r="B103" s="273"/>
      <c r="C103" s="273"/>
      <c r="D103"/>
      <c r="E103" s="273"/>
      <c r="F103"/>
      <c r="G103" s="273"/>
    </row>
    <row r="104" spans="2:7" ht="22" customHeight="1">
      <c r="B104" s="273"/>
      <c r="C104" s="274"/>
      <c r="D104"/>
      <c r="E104" s="273"/>
      <c r="F104" s="273"/>
      <c r="G104" s="273"/>
    </row>
    <row r="105" spans="2:7" ht="22" customHeight="1">
      <c r="B105" s="273"/>
      <c r="C105" s="275"/>
      <c r="D105"/>
      <c r="E105" s="273"/>
      <c r="F105" s="274"/>
      <c r="G105" s="273"/>
    </row>
    <row r="106" spans="2:7" ht="22" customHeight="1">
      <c r="B106" s="273"/>
      <c r="C106" s="275"/>
      <c r="D106"/>
      <c r="E106" s="273"/>
      <c r="F106" s="275"/>
      <c r="G106" s="273"/>
    </row>
    <row r="107" spans="2:7" ht="22" customHeight="1">
      <c r="B107" s="273"/>
      <c r="C107" s="274"/>
      <c r="D107"/>
      <c r="E107" s="273"/>
      <c r="F107" s="276"/>
      <c r="G107" s="273"/>
    </row>
    <row r="108" spans="2:7" ht="22" customHeight="1">
      <c r="B108" s="273"/>
      <c r="C108"/>
      <c r="D108"/>
      <c r="E108"/>
      <c r="F108"/>
      <c r="G108" s="273"/>
    </row>
    <row r="109" spans="2:7" ht="22" customHeight="1">
      <c r="B109" s="273"/>
      <c r="C109" s="273"/>
      <c r="D109" s="273"/>
      <c r="E109" s="273"/>
      <c r="F109"/>
      <c r="G109" s="273"/>
    </row>
    <row r="110" spans="2:7" ht="22" customHeight="1">
      <c r="B110" s="277"/>
      <c r="C110" s="278"/>
      <c r="D110" s="278"/>
      <c r="E110" s="278"/>
      <c r="F110" s="278"/>
      <c r="G110" s="273"/>
    </row>
    <row r="111" spans="2:7" ht="22" customHeight="1">
      <c r="B111"/>
      <c r="C111"/>
      <c r="D111"/>
      <c r="E111"/>
      <c r="F111" s="279"/>
      <c r="G111" s="273"/>
    </row>
    <row r="112" spans="2:7" ht="22" customHeight="1">
      <c r="B112"/>
      <c r="C112"/>
      <c r="D112"/>
      <c r="E112"/>
      <c r="F112" s="279"/>
      <c r="G112" s="273"/>
    </row>
    <row r="113" spans="2:7" ht="22" customHeight="1">
      <c r="B113"/>
      <c r="C113"/>
      <c r="D113"/>
      <c r="E113"/>
      <c r="F113" s="279"/>
      <c r="G113" s="273"/>
    </row>
    <row r="114" spans="2:7" ht="22" customHeight="1">
      <c r="B114"/>
      <c r="C114"/>
      <c r="D114" s="273"/>
      <c r="E114"/>
      <c r="F114" s="279"/>
      <c r="G114" s="273"/>
    </row>
    <row r="115" spans="2:7" ht="22" customHeight="1">
      <c r="B115"/>
      <c r="C115"/>
      <c r="D115" s="273"/>
      <c r="E115"/>
      <c r="F115" s="279"/>
      <c r="G115" s="273"/>
    </row>
    <row r="116" spans="2:7" ht="22" customHeight="1">
      <c r="B116"/>
      <c r="C116"/>
      <c r="D116" s="273"/>
      <c r="E116"/>
      <c r="F116" s="279"/>
      <c r="G116" s="273"/>
    </row>
    <row r="117" spans="2:7" ht="22" customHeight="1">
      <c r="B117" s="273"/>
      <c r="C117" s="280"/>
      <c r="D117" s="281"/>
      <c r="E117" s="279"/>
      <c r="F117" s="279"/>
      <c r="G117" s="273"/>
    </row>
    <row r="118" spans="2:7" ht="22" customHeight="1">
      <c r="B118" s="273"/>
      <c r="C118" s="273"/>
      <c r="D118" s="273"/>
      <c r="E118" s="273"/>
      <c r="F118" s="273"/>
      <c r="G118" s="273"/>
    </row>
    <row r="119" spans="2:7" ht="22" customHeight="1">
      <c r="B119" s="273"/>
      <c r="C119" s="273"/>
      <c r="D119" s="273"/>
      <c r="E119" s="273"/>
      <c r="F119" s="273"/>
      <c r="G119" s="273"/>
    </row>
    <row r="120" spans="2:7" ht="22" customHeight="1">
      <c r="B120" s="273"/>
      <c r="C120" s="275"/>
      <c r="D120" s="273"/>
      <c r="E120" s="273"/>
      <c r="F120" s="273"/>
      <c r="G120" s="273"/>
    </row>
    <row r="121" spans="2:7" ht="22" customHeight="1">
      <c r="B121" s="273"/>
      <c r="C121" s="274"/>
      <c r="D121" s="273"/>
      <c r="E121" s="273"/>
      <c r="F121" s="274"/>
      <c r="G121" s="273"/>
    </row>
    <row r="122" spans="2:7" ht="22" customHeight="1">
      <c r="B122" s="273"/>
      <c r="C122" s="274"/>
      <c r="D122" s="273"/>
      <c r="E122" s="273"/>
      <c r="F122" s="274"/>
      <c r="G122" s="273"/>
    </row>
    <row r="123" spans="2:7" ht="22" customHeight="1">
      <c r="B123" s="273"/>
      <c r="C123" s="273"/>
      <c r="D123" s="273"/>
      <c r="E123" s="273"/>
      <c r="F123" s="273"/>
      <c r="G123"/>
    </row>
    <row r="124" spans="2:7" ht="22" customHeight="1">
      <c r="B124" s="273"/>
      <c r="C124" s="273"/>
      <c r="D124" s="273"/>
      <c r="E124" s="273"/>
      <c r="F124" s="273"/>
      <c r="G124" s="273"/>
    </row>
    <row r="125" spans="2:7" ht="22" customHeight="1">
      <c r="B125" s="273"/>
      <c r="C125" s="273"/>
      <c r="D125" s="273"/>
      <c r="E125" s="277"/>
      <c r="F125" s="278"/>
      <c r="G125" s="278"/>
    </row>
    <row r="126" spans="2:7" ht="22" customHeight="1">
      <c r="B126" s="273"/>
      <c r="C126" s="273"/>
      <c r="D126" s="273"/>
      <c r="E126"/>
      <c r="F126"/>
      <c r="G126" s="279"/>
    </row>
    <row r="127" spans="2:7" ht="22" customHeight="1">
      <c r="B127" s="273"/>
      <c r="C127" s="273"/>
      <c r="D127" s="273"/>
      <c r="E127"/>
      <c r="F127"/>
      <c r="G127" s="279"/>
    </row>
    <row r="128" spans="2:7" ht="22" customHeight="1">
      <c r="B128" s="273"/>
      <c r="C128" s="275"/>
      <c r="D128" s="273"/>
      <c r="E128"/>
      <c r="F128"/>
      <c r="G128" s="279"/>
    </row>
    <row r="129" spans="2:7" ht="22" customHeight="1">
      <c r="B129" s="273"/>
      <c r="C129" s="274"/>
      <c r="D129" s="273"/>
      <c r="E129"/>
      <c r="F129"/>
      <c r="G129" s="279"/>
    </row>
    <row r="130" spans="2:7" ht="22" customHeight="1">
      <c r="B130" s="281"/>
      <c r="C130" s="275"/>
      <c r="D130" s="273"/>
      <c r="E130"/>
      <c r="F130"/>
      <c r="G130" s="279"/>
    </row>
    <row r="131" spans="2:7" ht="22" customHeight="1">
      <c r="B131" s="273"/>
      <c r="C131" s="274"/>
      <c r="D131" s="273"/>
      <c r="E131"/>
      <c r="F131"/>
      <c r="G131" s="279"/>
    </row>
    <row r="132" spans="2:7" ht="22" customHeight="1">
      <c r="B132" s="273"/>
      <c r="C132" s="275"/>
      <c r="D132" s="273"/>
      <c r="E132" s="273"/>
      <c r="F132" s="273"/>
      <c r="G132"/>
    </row>
    <row r="133" spans="2:7" ht="22" customHeight="1">
      <c r="B133" s="273"/>
      <c r="C133" s="274"/>
      <c r="D133" s="273"/>
      <c r="E133" s="273"/>
      <c r="F133" s="273"/>
      <c r="G133"/>
    </row>
    <row r="134" spans="2:7" ht="22" customHeight="1">
      <c r="B134" s="273"/>
      <c r="C134" s="280"/>
      <c r="D134" s="273"/>
      <c r="E134" s="273"/>
      <c r="F134" s="273"/>
      <c r="G134"/>
    </row>
  </sheetData>
  <mergeCells count="1172">
    <mergeCell ref="B94:E94"/>
    <mergeCell ref="F94:I94"/>
    <mergeCell ref="J94:M94"/>
    <mergeCell ref="N94:AT94"/>
    <mergeCell ref="AU94:BK94"/>
    <mergeCell ref="B90:E90"/>
    <mergeCell ref="F90:I90"/>
    <mergeCell ref="J90:M90"/>
    <mergeCell ref="N90:AT90"/>
    <mergeCell ref="AU90:BK90"/>
    <mergeCell ref="B91:E91"/>
    <mergeCell ref="F91:I91"/>
    <mergeCell ref="J91:M91"/>
    <mergeCell ref="N91:AT91"/>
    <mergeCell ref="AU91:BK91"/>
    <mergeCell ref="B92:E92"/>
    <mergeCell ref="F92:I92"/>
    <mergeCell ref="J92:M92"/>
    <mergeCell ref="N92:AT92"/>
    <mergeCell ref="AU92:BK92"/>
    <mergeCell ref="B93:E93"/>
    <mergeCell ref="F93:I93"/>
    <mergeCell ref="J93:M93"/>
    <mergeCell ref="N93:AT93"/>
    <mergeCell ref="AU93:BK93"/>
    <mergeCell ref="B86:E86"/>
    <mergeCell ref="F86:I86"/>
    <mergeCell ref="J86:M86"/>
    <mergeCell ref="N86:AT86"/>
    <mergeCell ref="AU86:BK86"/>
    <mergeCell ref="B87:E87"/>
    <mergeCell ref="F87:I87"/>
    <mergeCell ref="J87:M87"/>
    <mergeCell ref="N87:AT87"/>
    <mergeCell ref="AU87:BK87"/>
    <mergeCell ref="B88:E88"/>
    <mergeCell ref="F88:I88"/>
    <mergeCell ref="J88:M88"/>
    <mergeCell ref="N88:AT88"/>
    <mergeCell ref="AU88:BK88"/>
    <mergeCell ref="B89:E89"/>
    <mergeCell ref="F89:I89"/>
    <mergeCell ref="J89:M89"/>
    <mergeCell ref="N89:AT89"/>
    <mergeCell ref="AU89:BK89"/>
    <mergeCell ref="Y26:AA26"/>
    <mergeCell ref="F27:I27"/>
    <mergeCell ref="Y27:AA27"/>
    <mergeCell ref="F28:I28"/>
    <mergeCell ref="Y28:AA28"/>
    <mergeCell ref="F29:I29"/>
    <mergeCell ref="Y29:AA29"/>
    <mergeCell ref="F30:I30"/>
    <mergeCell ref="Y30:AA30"/>
    <mergeCell ref="F31:I31"/>
    <mergeCell ref="Y31:AA31"/>
    <mergeCell ref="F32:I32"/>
    <mergeCell ref="Y32:AA32"/>
    <mergeCell ref="B30:E31"/>
    <mergeCell ref="B27:E29"/>
    <mergeCell ref="J30:L30"/>
    <mergeCell ref="M30:O30"/>
    <mergeCell ref="P30:R30"/>
    <mergeCell ref="S30:U30"/>
    <mergeCell ref="V30:X30"/>
    <mergeCell ref="J31:L31"/>
    <mergeCell ref="M31:O31"/>
    <mergeCell ref="P31:R31"/>
    <mergeCell ref="S31:U31"/>
    <mergeCell ref="V31:X31"/>
    <mergeCell ref="J29:L29"/>
    <mergeCell ref="M29:O29"/>
    <mergeCell ref="P29:R29"/>
    <mergeCell ref="S29:U29"/>
    <mergeCell ref="P32:R32"/>
    <mergeCell ref="S32:U32"/>
    <mergeCell ref="J32:L32"/>
    <mergeCell ref="V17:X17"/>
    <mergeCell ref="V18:X18"/>
    <mergeCell ref="V19:X19"/>
    <mergeCell ref="V20:X20"/>
    <mergeCell ref="V21:X21"/>
    <mergeCell ref="V22:X22"/>
    <mergeCell ref="V23:X23"/>
    <mergeCell ref="V24:X24"/>
    <mergeCell ref="V25:X25"/>
    <mergeCell ref="V26:X26"/>
    <mergeCell ref="V27:X27"/>
    <mergeCell ref="V28:X28"/>
    <mergeCell ref="V29:X29"/>
    <mergeCell ref="J27:L27"/>
    <mergeCell ref="M27:O27"/>
    <mergeCell ref="P27:R27"/>
    <mergeCell ref="S27:U27"/>
    <mergeCell ref="J28:L28"/>
    <mergeCell ref="M28:O28"/>
    <mergeCell ref="P28:R28"/>
    <mergeCell ref="S28:U28"/>
    <mergeCell ref="P20:R20"/>
    <mergeCell ref="S20:U20"/>
    <mergeCell ref="J20:L20"/>
    <mergeCell ref="M20:O20"/>
    <mergeCell ref="B25:F25"/>
    <mergeCell ref="G25:I25"/>
    <mergeCell ref="J25:L25"/>
    <mergeCell ref="M25:O25"/>
    <mergeCell ref="P25:R25"/>
    <mergeCell ref="S25:U25"/>
    <mergeCell ref="J26:L26"/>
    <mergeCell ref="M26:O26"/>
    <mergeCell ref="P26:R26"/>
    <mergeCell ref="S26:U26"/>
    <mergeCell ref="B23:F23"/>
    <mergeCell ref="G23:I23"/>
    <mergeCell ref="J23:L23"/>
    <mergeCell ref="M23:O23"/>
    <mergeCell ref="P23:R23"/>
    <mergeCell ref="S23:U23"/>
    <mergeCell ref="B24:F24"/>
    <mergeCell ref="G24:I24"/>
    <mergeCell ref="J24:L24"/>
    <mergeCell ref="M24:O24"/>
    <mergeCell ref="P24:R24"/>
    <mergeCell ref="S24:U24"/>
    <mergeCell ref="B26:I26"/>
    <mergeCell ref="B21:F21"/>
    <mergeCell ref="G21:I21"/>
    <mergeCell ref="J21:L21"/>
    <mergeCell ref="M21:O21"/>
    <mergeCell ref="P21:R21"/>
    <mergeCell ref="S21:U21"/>
    <mergeCell ref="B22:F22"/>
    <mergeCell ref="G22:I22"/>
    <mergeCell ref="J22:L22"/>
    <mergeCell ref="M22:O22"/>
    <mergeCell ref="P22:R22"/>
    <mergeCell ref="S22:U22"/>
    <mergeCell ref="B17:F17"/>
    <mergeCell ref="G17:I17"/>
    <mergeCell ref="J17:L17"/>
    <mergeCell ref="M17:O17"/>
    <mergeCell ref="P17:R17"/>
    <mergeCell ref="S17:U17"/>
    <mergeCell ref="B18:F18"/>
    <mergeCell ref="G18:I18"/>
    <mergeCell ref="J18:L18"/>
    <mergeCell ref="M18:O18"/>
    <mergeCell ref="P18:R18"/>
    <mergeCell ref="S18:U18"/>
    <mergeCell ref="B19:F19"/>
    <mergeCell ref="G19:I19"/>
    <mergeCell ref="J19:L19"/>
    <mergeCell ref="M19:O19"/>
    <mergeCell ref="P19:R19"/>
    <mergeCell ref="S19:U19"/>
    <mergeCell ref="B20:F20"/>
    <mergeCell ref="G20:I20"/>
    <mergeCell ref="BS65:BU66"/>
    <mergeCell ref="B66:C66"/>
    <mergeCell ref="D66:I66"/>
    <mergeCell ref="J66:K66"/>
    <mergeCell ref="L66:R66"/>
    <mergeCell ref="T66:X66"/>
    <mergeCell ref="Y66:AC66"/>
    <mergeCell ref="AX65:AY65"/>
    <mergeCell ref="AZ65:BA65"/>
    <mergeCell ref="BB65:BC65"/>
    <mergeCell ref="BD65:BE65"/>
    <mergeCell ref="BF65:BG65"/>
    <mergeCell ref="BH65:BI65"/>
    <mergeCell ref="AL65:AM65"/>
    <mergeCell ref="AN65:AO65"/>
    <mergeCell ref="AP65:AQ65"/>
    <mergeCell ref="AR65:AS65"/>
    <mergeCell ref="AT65:AU65"/>
    <mergeCell ref="AV65:AW65"/>
    <mergeCell ref="B65:C65"/>
    <mergeCell ref="D65:I65"/>
    <mergeCell ref="J65:K65"/>
    <mergeCell ref="L65:R65"/>
    <mergeCell ref="T65:X65"/>
    <mergeCell ref="Y65:AC65"/>
    <mergeCell ref="AD65:AE65"/>
    <mergeCell ref="AF65:AJ65"/>
    <mergeCell ref="B64:C64"/>
    <mergeCell ref="D64:I64"/>
    <mergeCell ref="J64:K64"/>
    <mergeCell ref="L64:R64"/>
    <mergeCell ref="T64:X64"/>
    <mergeCell ref="Y64:AC64"/>
    <mergeCell ref="AR66:AS66"/>
    <mergeCell ref="BK65:BL66"/>
    <mergeCell ref="BM65:BO66"/>
    <mergeCell ref="BF66:BG66"/>
    <mergeCell ref="BH66:BI66"/>
    <mergeCell ref="AT66:AU66"/>
    <mergeCell ref="AV66:AW66"/>
    <mergeCell ref="AX66:AY66"/>
    <mergeCell ref="AZ66:BA66"/>
    <mergeCell ref="BB66:BC66"/>
    <mergeCell ref="BD66:BE66"/>
    <mergeCell ref="AL62:AM62"/>
    <mergeCell ref="AN62:AO62"/>
    <mergeCell ref="AP62:AQ62"/>
    <mergeCell ref="AR62:AS62"/>
    <mergeCell ref="AT62:AU62"/>
    <mergeCell ref="BM61:BO62"/>
    <mergeCell ref="BP61:BR61"/>
    <mergeCell ref="Y62:AC62"/>
    <mergeCell ref="AD62:AE62"/>
    <mergeCell ref="AZ61:BA61"/>
    <mergeCell ref="BB61:BC61"/>
    <mergeCell ref="BD61:BE61"/>
    <mergeCell ref="BF61:BG61"/>
    <mergeCell ref="BH61:BI61"/>
    <mergeCell ref="BK61:BL62"/>
    <mergeCell ref="BH62:BI62"/>
    <mergeCell ref="AD66:AE66"/>
    <mergeCell ref="AF66:AJ66"/>
    <mergeCell ref="AL66:AM66"/>
    <mergeCell ref="AN66:AO66"/>
    <mergeCell ref="AP66:AQ66"/>
    <mergeCell ref="AD64:AE64"/>
    <mergeCell ref="AF64:AJ64"/>
    <mergeCell ref="BP65:BR65"/>
    <mergeCell ref="BP66:BR66"/>
    <mergeCell ref="BW60:CH66"/>
    <mergeCell ref="B61:C61"/>
    <mergeCell ref="D61:I61"/>
    <mergeCell ref="J61:K61"/>
    <mergeCell ref="L61:R61"/>
    <mergeCell ref="T61:X61"/>
    <mergeCell ref="Y61:AC61"/>
    <mergeCell ref="AD61:AE61"/>
    <mergeCell ref="AF61:AJ61"/>
    <mergeCell ref="AL61:AM61"/>
    <mergeCell ref="BS61:BU62"/>
    <mergeCell ref="B62:C62"/>
    <mergeCell ref="D62:I62"/>
    <mergeCell ref="J62:K62"/>
    <mergeCell ref="L62:R62"/>
    <mergeCell ref="T62:X62"/>
    <mergeCell ref="BP62:BR62"/>
    <mergeCell ref="B63:C63"/>
    <mergeCell ref="D63:I63"/>
    <mergeCell ref="J63:K63"/>
    <mergeCell ref="L63:R63"/>
    <mergeCell ref="T63:X63"/>
    <mergeCell ref="Y63:AC63"/>
    <mergeCell ref="AD63:AE63"/>
    <mergeCell ref="AF63:AJ63"/>
    <mergeCell ref="AV62:AW62"/>
    <mergeCell ref="AX62:AY62"/>
    <mergeCell ref="AZ62:BA62"/>
    <mergeCell ref="BB62:BC62"/>
    <mergeCell ref="BD62:BE62"/>
    <mergeCell ref="BF62:BG62"/>
    <mergeCell ref="AF62:AJ62"/>
    <mergeCell ref="B59:C59"/>
    <mergeCell ref="D59:I59"/>
    <mergeCell ref="J59:K59"/>
    <mergeCell ref="L59:R59"/>
    <mergeCell ref="T59:X59"/>
    <mergeCell ref="Y59:AC59"/>
    <mergeCell ref="AD59:AE59"/>
    <mergeCell ref="AT58:AU58"/>
    <mergeCell ref="AV58:AW58"/>
    <mergeCell ref="AF59:AJ59"/>
    <mergeCell ref="AN61:AO61"/>
    <mergeCell ref="AP61:AQ61"/>
    <mergeCell ref="AR61:AS61"/>
    <mergeCell ref="AT61:AU61"/>
    <mergeCell ref="AV61:AW61"/>
    <mergeCell ref="AX61:AY61"/>
    <mergeCell ref="B60:C60"/>
    <mergeCell ref="D60:I60"/>
    <mergeCell ref="J60:K60"/>
    <mergeCell ref="L60:R60"/>
    <mergeCell ref="T60:X60"/>
    <mergeCell ref="Y60:AC60"/>
    <mergeCell ref="AD60:AE60"/>
    <mergeCell ref="AF60:AJ60"/>
    <mergeCell ref="B55:C55"/>
    <mergeCell ref="D55:I55"/>
    <mergeCell ref="J55:K55"/>
    <mergeCell ref="BS57:BU58"/>
    <mergeCell ref="B58:C58"/>
    <mergeCell ref="D58:I58"/>
    <mergeCell ref="J58:K58"/>
    <mergeCell ref="L58:R58"/>
    <mergeCell ref="T58:X58"/>
    <mergeCell ref="Y58:AC58"/>
    <mergeCell ref="AX57:AY57"/>
    <mergeCell ref="AZ57:BA57"/>
    <mergeCell ref="BB57:BC57"/>
    <mergeCell ref="BD57:BE57"/>
    <mergeCell ref="BF57:BG57"/>
    <mergeCell ref="BH57:BI57"/>
    <mergeCell ref="AL57:AM57"/>
    <mergeCell ref="AN57:AO57"/>
    <mergeCell ref="AP57:AQ57"/>
    <mergeCell ref="AR57:AS57"/>
    <mergeCell ref="AT57:AU57"/>
    <mergeCell ref="AV57:AW57"/>
    <mergeCell ref="BF58:BG58"/>
    <mergeCell ref="BH58:BI58"/>
    <mergeCell ref="BP58:BR58"/>
    <mergeCell ref="AX58:AY58"/>
    <mergeCell ref="AZ58:BA58"/>
    <mergeCell ref="BB58:BC58"/>
    <mergeCell ref="BD58:BE58"/>
    <mergeCell ref="AD58:AE58"/>
    <mergeCell ref="AF58:AJ58"/>
    <mergeCell ref="AL58:AM58"/>
    <mergeCell ref="AD56:AE56"/>
    <mergeCell ref="AF56:AJ56"/>
    <mergeCell ref="B57:C57"/>
    <mergeCell ref="D57:I57"/>
    <mergeCell ref="J57:K57"/>
    <mergeCell ref="L57:R57"/>
    <mergeCell ref="T57:X57"/>
    <mergeCell ref="Y57:AC57"/>
    <mergeCell ref="AD57:AE57"/>
    <mergeCell ref="AF57:AJ57"/>
    <mergeCell ref="B56:C56"/>
    <mergeCell ref="D56:I56"/>
    <mergeCell ref="J56:K56"/>
    <mergeCell ref="L56:R56"/>
    <mergeCell ref="T56:X56"/>
    <mergeCell ref="Y56:AC56"/>
    <mergeCell ref="BP57:BR57"/>
    <mergeCell ref="BM57:BO58"/>
    <mergeCell ref="BK57:BL58"/>
    <mergeCell ref="AN58:AO58"/>
    <mergeCell ref="AP58:AQ58"/>
    <mergeCell ref="AR58:AS58"/>
    <mergeCell ref="L55:R55"/>
    <mergeCell ref="T55:X55"/>
    <mergeCell ref="Y55:AC55"/>
    <mergeCell ref="AD55:AE55"/>
    <mergeCell ref="AF55:AJ55"/>
    <mergeCell ref="AV54:AW54"/>
    <mergeCell ref="AX54:AY54"/>
    <mergeCell ref="AZ54:BA54"/>
    <mergeCell ref="BB54:BC54"/>
    <mergeCell ref="BD54:BE54"/>
    <mergeCell ref="BF54:BG54"/>
    <mergeCell ref="AF54:AJ54"/>
    <mergeCell ref="AL54:AM54"/>
    <mergeCell ref="BW52:CH57"/>
    <mergeCell ref="B53:C53"/>
    <mergeCell ref="D53:I53"/>
    <mergeCell ref="J53:K53"/>
    <mergeCell ref="L53:R53"/>
    <mergeCell ref="T53:X53"/>
    <mergeCell ref="Y53:AC53"/>
    <mergeCell ref="AD53:AE53"/>
    <mergeCell ref="AF53:AJ53"/>
    <mergeCell ref="AL53:AM53"/>
    <mergeCell ref="BS53:BU54"/>
    <mergeCell ref="B54:C54"/>
    <mergeCell ref="D54:I54"/>
    <mergeCell ref="J54:K54"/>
    <mergeCell ref="L54:R54"/>
    <mergeCell ref="T54:X54"/>
    <mergeCell ref="Y54:AC54"/>
    <mergeCell ref="AD54:AE54"/>
    <mergeCell ref="AZ53:BA53"/>
    <mergeCell ref="B50:C50"/>
    <mergeCell ref="D50:I50"/>
    <mergeCell ref="AF51:AJ51"/>
    <mergeCell ref="B52:C52"/>
    <mergeCell ref="D52:I52"/>
    <mergeCell ref="J52:K52"/>
    <mergeCell ref="L52:R52"/>
    <mergeCell ref="T52:X52"/>
    <mergeCell ref="Y52:AC52"/>
    <mergeCell ref="AD52:AE52"/>
    <mergeCell ref="AF52:AJ52"/>
    <mergeCell ref="Y50:AC50"/>
    <mergeCell ref="AN50:AO50"/>
    <mergeCell ref="AP50:AQ50"/>
    <mergeCell ref="AR50:AS50"/>
    <mergeCell ref="AN54:AO54"/>
    <mergeCell ref="AP54:AQ54"/>
    <mergeCell ref="AR54:AS54"/>
    <mergeCell ref="B51:C51"/>
    <mergeCell ref="D51:I51"/>
    <mergeCell ref="J51:K51"/>
    <mergeCell ref="L51:R51"/>
    <mergeCell ref="T51:X51"/>
    <mergeCell ref="Y51:AC51"/>
    <mergeCell ref="AD51:AE51"/>
    <mergeCell ref="AN53:AO53"/>
    <mergeCell ref="AP53:AQ53"/>
    <mergeCell ref="AR53:AS53"/>
    <mergeCell ref="AD50:AE50"/>
    <mergeCell ref="AF50:AJ50"/>
    <mergeCell ref="AL50:AM50"/>
    <mergeCell ref="AL49:AM49"/>
    <mergeCell ref="AN49:AO49"/>
    <mergeCell ref="AP49:AQ49"/>
    <mergeCell ref="AR49:AS49"/>
    <mergeCell ref="AT49:AU49"/>
    <mergeCell ref="J50:K50"/>
    <mergeCell ref="L50:R50"/>
    <mergeCell ref="T50:X50"/>
    <mergeCell ref="AD48:AE48"/>
    <mergeCell ref="AF48:AJ48"/>
    <mergeCell ref="BB53:BC53"/>
    <mergeCell ref="BD53:BE53"/>
    <mergeCell ref="BW48:CH48"/>
    <mergeCell ref="BF53:BG53"/>
    <mergeCell ref="BH53:BI53"/>
    <mergeCell ref="BK53:BL54"/>
    <mergeCell ref="AT54:AU54"/>
    <mergeCell ref="AT50:AU50"/>
    <mergeCell ref="AZ50:BA50"/>
    <mergeCell ref="BB50:BC50"/>
    <mergeCell ref="BM53:BO54"/>
    <mergeCell ref="BP53:BR53"/>
    <mergeCell ref="BH54:BI54"/>
    <mergeCell ref="AT53:AU53"/>
    <mergeCell ref="AV53:AW53"/>
    <mergeCell ref="AX53:AY53"/>
    <mergeCell ref="BP54:BR54"/>
    <mergeCell ref="B49:C49"/>
    <mergeCell ref="D49:I49"/>
    <mergeCell ref="J49:K49"/>
    <mergeCell ref="L49:R49"/>
    <mergeCell ref="T49:X49"/>
    <mergeCell ref="Y49:AC49"/>
    <mergeCell ref="AD49:AE49"/>
    <mergeCell ref="B48:C48"/>
    <mergeCell ref="D48:I48"/>
    <mergeCell ref="J48:K48"/>
    <mergeCell ref="L48:R48"/>
    <mergeCell ref="T48:X48"/>
    <mergeCell ref="Y48:AC48"/>
    <mergeCell ref="BW49:CH49"/>
    <mergeCell ref="AV49:AW49"/>
    <mergeCell ref="AX49:AY49"/>
    <mergeCell ref="AZ49:BA49"/>
    <mergeCell ref="BB49:BC49"/>
    <mergeCell ref="BD49:BE49"/>
    <mergeCell ref="BF49:BG49"/>
    <mergeCell ref="AF49:AJ49"/>
    <mergeCell ref="BH49:BI49"/>
    <mergeCell ref="BK49:BL50"/>
    <mergeCell ref="BM49:BO50"/>
    <mergeCell ref="BP49:BR49"/>
    <mergeCell ref="BS49:BU50"/>
    <mergeCell ref="BF50:BG50"/>
    <mergeCell ref="BH50:BI50"/>
    <mergeCell ref="BP50:BR50"/>
    <mergeCell ref="AV50:AW50"/>
    <mergeCell ref="AX50:AY50"/>
    <mergeCell ref="BD50:BE50"/>
    <mergeCell ref="BW46:CH46"/>
    <mergeCell ref="B47:C47"/>
    <mergeCell ref="D47:I47"/>
    <mergeCell ref="J47:K47"/>
    <mergeCell ref="L47:R47"/>
    <mergeCell ref="T47:X47"/>
    <mergeCell ref="Y47:AC47"/>
    <mergeCell ref="AD47:AE47"/>
    <mergeCell ref="AF47:AJ47"/>
    <mergeCell ref="BW47:CH47"/>
    <mergeCell ref="AZ46:BA46"/>
    <mergeCell ref="BB46:BC46"/>
    <mergeCell ref="BD46:BE46"/>
    <mergeCell ref="BF46:BG46"/>
    <mergeCell ref="BH46:BI46"/>
    <mergeCell ref="BP46:BR46"/>
    <mergeCell ref="AN46:AO46"/>
    <mergeCell ref="AP46:AQ46"/>
    <mergeCell ref="AR46:AS46"/>
    <mergeCell ref="AT46:AU46"/>
    <mergeCell ref="AV46:AW46"/>
    <mergeCell ref="AX46:AY46"/>
    <mergeCell ref="BW45:CH45"/>
    <mergeCell ref="B46:C46"/>
    <mergeCell ref="D46:I46"/>
    <mergeCell ref="J46:K46"/>
    <mergeCell ref="L46:R46"/>
    <mergeCell ref="T46:X46"/>
    <mergeCell ref="Y46:AC46"/>
    <mergeCell ref="AD46:AE46"/>
    <mergeCell ref="AF46:AJ46"/>
    <mergeCell ref="AL46:AM46"/>
    <mergeCell ref="BF45:BG45"/>
    <mergeCell ref="BH45:BI45"/>
    <mergeCell ref="BK45:BL46"/>
    <mergeCell ref="BM45:BO46"/>
    <mergeCell ref="BP45:BR45"/>
    <mergeCell ref="BS45:BU46"/>
    <mergeCell ref="AT45:AU45"/>
    <mergeCell ref="AV45:AW45"/>
    <mergeCell ref="AX45:AY45"/>
    <mergeCell ref="AZ45:BA45"/>
    <mergeCell ref="BB45:BC45"/>
    <mergeCell ref="BD45:BE45"/>
    <mergeCell ref="AD45:AE45"/>
    <mergeCell ref="AF45:AJ45"/>
    <mergeCell ref="AN45:AO45"/>
    <mergeCell ref="AP45:AQ45"/>
    <mergeCell ref="AR45:AS45"/>
    <mergeCell ref="B45:C45"/>
    <mergeCell ref="D45:I45"/>
    <mergeCell ref="J45:K45"/>
    <mergeCell ref="L45:R45"/>
    <mergeCell ref="T45:X45"/>
    <mergeCell ref="Y45:AC45"/>
    <mergeCell ref="B44:C44"/>
    <mergeCell ref="D44:I44"/>
    <mergeCell ref="J44:K44"/>
    <mergeCell ref="L44:R44"/>
    <mergeCell ref="T44:X44"/>
    <mergeCell ref="Y44:AC44"/>
    <mergeCell ref="AD44:AE44"/>
    <mergeCell ref="AF44:AJ44"/>
    <mergeCell ref="AL45:AM45"/>
    <mergeCell ref="BB42:BC42"/>
    <mergeCell ref="BD42:BE42"/>
    <mergeCell ref="BF42:BG42"/>
    <mergeCell ref="AF42:AJ42"/>
    <mergeCell ref="AL42:AM42"/>
    <mergeCell ref="AN42:AO42"/>
    <mergeCell ref="AP42:AQ42"/>
    <mergeCell ref="AR42:AS42"/>
    <mergeCell ref="AT42:AU42"/>
    <mergeCell ref="B43:C43"/>
    <mergeCell ref="D43:I43"/>
    <mergeCell ref="J43:K43"/>
    <mergeCell ref="L43:R43"/>
    <mergeCell ref="T43:X43"/>
    <mergeCell ref="Y43:AC43"/>
    <mergeCell ref="AD43:AE43"/>
    <mergeCell ref="AV42:AW42"/>
    <mergeCell ref="AX42:AY42"/>
    <mergeCell ref="AF43:AJ43"/>
    <mergeCell ref="BQ41:BU41"/>
    <mergeCell ref="B42:C42"/>
    <mergeCell ref="D42:I42"/>
    <mergeCell ref="J42:K42"/>
    <mergeCell ref="L42:R42"/>
    <mergeCell ref="T42:X42"/>
    <mergeCell ref="Y42:AC42"/>
    <mergeCell ref="AD42:AE42"/>
    <mergeCell ref="AV41:AW41"/>
    <mergeCell ref="AX41:AY41"/>
    <mergeCell ref="AZ41:BA41"/>
    <mergeCell ref="BB41:BC41"/>
    <mergeCell ref="BD41:BE41"/>
    <mergeCell ref="BF41:BG41"/>
    <mergeCell ref="AF41:AJ41"/>
    <mergeCell ref="AL41:AM41"/>
    <mergeCell ref="AN41:AO41"/>
    <mergeCell ref="AP41:AQ41"/>
    <mergeCell ref="AR41:AS41"/>
    <mergeCell ref="AT41:AU41"/>
    <mergeCell ref="BH42:BI42"/>
    <mergeCell ref="BK42:BP42"/>
    <mergeCell ref="BQ42:BU42"/>
    <mergeCell ref="AZ42:BA42"/>
    <mergeCell ref="B41:C41"/>
    <mergeCell ref="D41:I41"/>
    <mergeCell ref="J41:K41"/>
    <mergeCell ref="L41:R41"/>
    <mergeCell ref="T41:X41"/>
    <mergeCell ref="Y41:AC41"/>
    <mergeCell ref="AD41:AE41"/>
    <mergeCell ref="BH41:BI41"/>
    <mergeCell ref="BK41:BP41"/>
    <mergeCell ref="BQ39:BU39"/>
    <mergeCell ref="B40:C40"/>
    <mergeCell ref="D40:I40"/>
    <mergeCell ref="J40:K40"/>
    <mergeCell ref="L40:R40"/>
    <mergeCell ref="T40:X40"/>
    <mergeCell ref="Y40:AC40"/>
    <mergeCell ref="AD40:AE40"/>
    <mergeCell ref="AF40:AJ40"/>
    <mergeCell ref="BK40:BP40"/>
    <mergeCell ref="BQ40:BU40"/>
    <mergeCell ref="BH38:BI38"/>
    <mergeCell ref="BK38:BP38"/>
    <mergeCell ref="BQ38:BU38"/>
    <mergeCell ref="B39:C39"/>
    <mergeCell ref="D39:I39"/>
    <mergeCell ref="J39:K39"/>
    <mergeCell ref="L39:R39"/>
    <mergeCell ref="T39:X39"/>
    <mergeCell ref="Y39:AC39"/>
    <mergeCell ref="AD39:AE39"/>
    <mergeCell ref="AV38:AW38"/>
    <mergeCell ref="AX38:AY38"/>
    <mergeCell ref="AZ38:BA38"/>
    <mergeCell ref="BB38:BC38"/>
    <mergeCell ref="BD38:BE38"/>
    <mergeCell ref="BF38:BG38"/>
    <mergeCell ref="AF38:AJ38"/>
    <mergeCell ref="AL38:AM38"/>
    <mergeCell ref="AN38:AO38"/>
    <mergeCell ref="AP38:AQ38"/>
    <mergeCell ref="M32:O32"/>
    <mergeCell ref="AR38:AS38"/>
    <mergeCell ref="AT38:AU38"/>
    <mergeCell ref="AF39:AJ39"/>
    <mergeCell ref="BK39:BP39"/>
    <mergeCell ref="B38:C38"/>
    <mergeCell ref="D38:I38"/>
    <mergeCell ref="J38:K38"/>
    <mergeCell ref="L38:R38"/>
    <mergeCell ref="T38:X38"/>
    <mergeCell ref="Y38:AC38"/>
    <mergeCell ref="AD38:AE38"/>
    <mergeCell ref="AV37:AW37"/>
    <mergeCell ref="AX37:AY37"/>
    <mergeCell ref="AF37:AJ37"/>
    <mergeCell ref="AL37:AM37"/>
    <mergeCell ref="AN37:AO37"/>
    <mergeCell ref="AP37:AQ37"/>
    <mergeCell ref="AR37:AS37"/>
    <mergeCell ref="AT37:AU37"/>
    <mergeCell ref="B37:C37"/>
    <mergeCell ref="D37:I37"/>
    <mergeCell ref="J37:K37"/>
    <mergeCell ref="L37:R37"/>
    <mergeCell ref="T37:X37"/>
    <mergeCell ref="Y37:AC37"/>
    <mergeCell ref="AD37:AE37"/>
    <mergeCell ref="AZ37:BA37"/>
    <mergeCell ref="BD37:BE37"/>
    <mergeCell ref="BF37:BG37"/>
    <mergeCell ref="BB37:BC37"/>
    <mergeCell ref="B35:U35"/>
    <mergeCell ref="BK37:BP37"/>
    <mergeCell ref="BR32:BS32"/>
    <mergeCell ref="BT32:BU32"/>
    <mergeCell ref="AC33:AD33"/>
    <mergeCell ref="AE33:AH33"/>
    <mergeCell ref="AI33:AL33"/>
    <mergeCell ref="AM33:AP33"/>
    <mergeCell ref="AQ33:AT33"/>
    <mergeCell ref="AU33:AX33"/>
    <mergeCell ref="AE32:AH32"/>
    <mergeCell ref="AI32:AL32"/>
    <mergeCell ref="AM32:AP32"/>
    <mergeCell ref="AQ32:AT32"/>
    <mergeCell ref="AU32:AX32"/>
    <mergeCell ref="AY32:BB32"/>
    <mergeCell ref="BS33:BU34"/>
    <mergeCell ref="AF36:AJ36"/>
    <mergeCell ref="BK36:BP36"/>
    <mergeCell ref="BQ36:BU36"/>
    <mergeCell ref="V32:X32"/>
    <mergeCell ref="BQ37:BU37"/>
    <mergeCell ref="BR31:BS31"/>
    <mergeCell ref="BT31:BU31"/>
    <mergeCell ref="B70:D71"/>
    <mergeCell ref="E70:G71"/>
    <mergeCell ref="H70:I71"/>
    <mergeCell ref="J70:K71"/>
    <mergeCell ref="L70:AA71"/>
    <mergeCell ref="AC32:AD32"/>
    <mergeCell ref="AE31:AH31"/>
    <mergeCell ref="AI31:AL31"/>
    <mergeCell ref="AM31:AP31"/>
    <mergeCell ref="AQ31:AT31"/>
    <mergeCell ref="AU31:AX31"/>
    <mergeCell ref="AY31:BB31"/>
    <mergeCell ref="B69:D69"/>
    <mergeCell ref="E69:G69"/>
    <mergeCell ref="H69:I69"/>
    <mergeCell ref="J69:K69"/>
    <mergeCell ref="L69:AA69"/>
    <mergeCell ref="AC31:AD31"/>
    <mergeCell ref="AY33:BB33"/>
    <mergeCell ref="BL33:BN34"/>
    <mergeCell ref="BO33:BR34"/>
    <mergeCell ref="B36:I36"/>
    <mergeCell ref="J36:K36"/>
    <mergeCell ref="L36:R36"/>
    <mergeCell ref="S36:X36"/>
    <mergeCell ref="Y36:AC36"/>
    <mergeCell ref="AD36:AE36"/>
    <mergeCell ref="BH37:BI37"/>
    <mergeCell ref="BH31:BK31"/>
    <mergeCell ref="C84:K84"/>
    <mergeCell ref="L84:AA84"/>
    <mergeCell ref="AC28:AD28"/>
    <mergeCell ref="AE28:AF28"/>
    <mergeCell ref="AG28:AH28"/>
    <mergeCell ref="AI28:AJ28"/>
    <mergeCell ref="AK28:AL28"/>
    <mergeCell ref="AS27:AT27"/>
    <mergeCell ref="AU27:AV27"/>
    <mergeCell ref="AW27:AX27"/>
    <mergeCell ref="AY27:AZ27"/>
    <mergeCell ref="BA27:BB27"/>
    <mergeCell ref="BF27:BG27"/>
    <mergeCell ref="AG27:AH27"/>
    <mergeCell ref="AI27:AJ27"/>
    <mergeCell ref="AK27:AL27"/>
    <mergeCell ref="P81:S81"/>
    <mergeCell ref="T81:U81"/>
    <mergeCell ref="V81:W81"/>
    <mergeCell ref="X81:AA81"/>
    <mergeCell ref="V35:X35"/>
    <mergeCell ref="Y35:AG35"/>
    <mergeCell ref="AH35:AJ35"/>
    <mergeCell ref="BF32:BG32"/>
    <mergeCell ref="BH32:BK32"/>
    <mergeCell ref="AC30:AD30"/>
    <mergeCell ref="AE30:AF30"/>
    <mergeCell ref="AG30:AH30"/>
    <mergeCell ref="AI30:AJ30"/>
    <mergeCell ref="AK30:AL30"/>
    <mergeCell ref="AO29:AP29"/>
    <mergeCell ref="C83:K83"/>
    <mergeCell ref="L83:M83"/>
    <mergeCell ref="N83:O83"/>
    <mergeCell ref="P83:S83"/>
    <mergeCell ref="T83:U83"/>
    <mergeCell ref="V83:W83"/>
    <mergeCell ref="X83:AA83"/>
    <mergeCell ref="AC27:AD27"/>
    <mergeCell ref="AE27:AF27"/>
    <mergeCell ref="AW26:AX26"/>
    <mergeCell ref="AY26:AZ26"/>
    <mergeCell ref="BA26:BB26"/>
    <mergeCell ref="BF26:BG26"/>
    <mergeCell ref="C81:K81"/>
    <mergeCell ref="L81:M81"/>
    <mergeCell ref="N81:O81"/>
    <mergeCell ref="G33:I33"/>
    <mergeCell ref="J33:L33"/>
    <mergeCell ref="M33:O33"/>
    <mergeCell ref="P33:R33"/>
    <mergeCell ref="S33:U33"/>
    <mergeCell ref="V33:X33"/>
    <mergeCell ref="BF31:BG31"/>
    <mergeCell ref="AQ29:AR29"/>
    <mergeCell ref="AS29:AT29"/>
    <mergeCell ref="AU29:AV29"/>
    <mergeCell ref="AW29:AX29"/>
    <mergeCell ref="AY29:AZ29"/>
    <mergeCell ref="AC29:AD29"/>
    <mergeCell ref="AE29:AF29"/>
    <mergeCell ref="AG29:AH29"/>
    <mergeCell ref="AI29:AJ29"/>
    <mergeCell ref="BR27:BS27"/>
    <mergeCell ref="BH28:BK28"/>
    <mergeCell ref="BR28:BS28"/>
    <mergeCell ref="BH30:BK30"/>
    <mergeCell ref="BR30:BS30"/>
    <mergeCell ref="AM30:AN30"/>
    <mergeCell ref="AO30:AP30"/>
    <mergeCell ref="AQ30:AR30"/>
    <mergeCell ref="AC25:AD26"/>
    <mergeCell ref="AE25:AH25"/>
    <mergeCell ref="BH25:BK25"/>
    <mergeCell ref="BR25:BS25"/>
    <mergeCell ref="AI26:AJ26"/>
    <mergeCell ref="AY30:AZ30"/>
    <mergeCell ref="BA30:BB30"/>
    <mergeCell ref="AM27:AN27"/>
    <mergeCell ref="AO27:AP27"/>
    <mergeCell ref="AQ27:AR27"/>
    <mergeCell ref="AY28:AZ28"/>
    <mergeCell ref="BA28:BB28"/>
    <mergeCell ref="BF28:BG28"/>
    <mergeCell ref="AM28:AN28"/>
    <mergeCell ref="AO28:AP28"/>
    <mergeCell ref="AQ28:AR28"/>
    <mergeCell ref="AS28:AT28"/>
    <mergeCell ref="AU28:AV28"/>
    <mergeCell ref="AW28:AX28"/>
    <mergeCell ref="BF30:BG30"/>
    <mergeCell ref="AK29:AL29"/>
    <mergeCell ref="AM29:AN29"/>
    <mergeCell ref="BT25:BU25"/>
    <mergeCell ref="C82:K82"/>
    <mergeCell ref="L82:O82"/>
    <mergeCell ref="P82:S82"/>
    <mergeCell ref="T82:AA82"/>
    <mergeCell ref="AE26:AF26"/>
    <mergeCell ref="AG26:AH26"/>
    <mergeCell ref="AI25:AL25"/>
    <mergeCell ref="AM25:AP25"/>
    <mergeCell ref="AQ25:AT25"/>
    <mergeCell ref="AU25:AX25"/>
    <mergeCell ref="AY25:BB25"/>
    <mergeCell ref="BF25:BG25"/>
    <mergeCell ref="BT26:BU26"/>
    <mergeCell ref="BT27:BU27"/>
    <mergeCell ref="BT28:BU28"/>
    <mergeCell ref="BT30:BU30"/>
    <mergeCell ref="AS30:AT30"/>
    <mergeCell ref="AU30:AV30"/>
    <mergeCell ref="AW30:AX30"/>
    <mergeCell ref="BA29:BB29"/>
    <mergeCell ref="BH26:BK26"/>
    <mergeCell ref="BR26:BS26"/>
    <mergeCell ref="AK26:AL26"/>
    <mergeCell ref="C80:K80"/>
    <mergeCell ref="L80:O80"/>
    <mergeCell ref="AM26:AN26"/>
    <mergeCell ref="AO26:AP26"/>
    <mergeCell ref="AQ26:AR26"/>
    <mergeCell ref="AS26:AT26"/>
    <mergeCell ref="AU26:AV26"/>
    <mergeCell ref="BH27:BK27"/>
    <mergeCell ref="BR22:BS22"/>
    <mergeCell ref="BT22:BU22"/>
    <mergeCell ref="F79:K79"/>
    <mergeCell ref="L79:M79"/>
    <mergeCell ref="N79:O79"/>
    <mergeCell ref="P79:S79"/>
    <mergeCell ref="T79:U79"/>
    <mergeCell ref="V79:W79"/>
    <mergeCell ref="AK22:AM22"/>
    <mergeCell ref="AN22:AP22"/>
    <mergeCell ref="AQ22:AS22"/>
    <mergeCell ref="AT22:AV22"/>
    <mergeCell ref="AW22:AY22"/>
    <mergeCell ref="AZ22:BB22"/>
    <mergeCell ref="X79:AA79"/>
    <mergeCell ref="BF23:BG23"/>
    <mergeCell ref="BH23:BK23"/>
    <mergeCell ref="BR23:BS23"/>
    <mergeCell ref="BT23:BU23"/>
    <mergeCell ref="F78:K78"/>
    <mergeCell ref="L78:M78"/>
    <mergeCell ref="N78:O78"/>
    <mergeCell ref="P78:S78"/>
    <mergeCell ref="T78:U78"/>
    <mergeCell ref="BF24:BG24"/>
    <mergeCell ref="BH24:BK24"/>
    <mergeCell ref="BR24:BS24"/>
    <mergeCell ref="BT24:BU24"/>
    <mergeCell ref="BF29:BG29"/>
    <mergeCell ref="BH29:BK29"/>
    <mergeCell ref="BR29:BS29"/>
    <mergeCell ref="BT29:BU29"/>
    <mergeCell ref="BH21:BK21"/>
    <mergeCell ref="BF22:BG22"/>
    <mergeCell ref="BH22:BK22"/>
    <mergeCell ref="V78:W78"/>
    <mergeCell ref="X78:AA78"/>
    <mergeCell ref="AG22:AJ22"/>
    <mergeCell ref="AQ21:AS21"/>
    <mergeCell ref="BH18:BK18"/>
    <mergeCell ref="BR20:BS20"/>
    <mergeCell ref="BT20:BU20"/>
    <mergeCell ref="F77:K77"/>
    <mergeCell ref="L77:M77"/>
    <mergeCell ref="N77:O77"/>
    <mergeCell ref="Q77:R77"/>
    <mergeCell ref="T77:U77"/>
    <mergeCell ref="V77:W77"/>
    <mergeCell ref="Y77:Z77"/>
    <mergeCell ref="AG21:AJ21"/>
    <mergeCell ref="AQ20:AS20"/>
    <mergeCell ref="AT20:AV20"/>
    <mergeCell ref="AW20:AY20"/>
    <mergeCell ref="AZ20:BB20"/>
    <mergeCell ref="BF20:BG20"/>
    <mergeCell ref="BH20:BK20"/>
    <mergeCell ref="AK21:AM21"/>
    <mergeCell ref="AN21:AP21"/>
    <mergeCell ref="BR21:BS21"/>
    <mergeCell ref="BT21:BU21"/>
    <mergeCell ref="AT21:AV21"/>
    <mergeCell ref="AW21:AY21"/>
    <mergeCell ref="AZ21:BB21"/>
    <mergeCell ref="BF21:BG21"/>
    <mergeCell ref="BR18:BS18"/>
    <mergeCell ref="BT18:BU18"/>
    <mergeCell ref="C75:E79"/>
    <mergeCell ref="F75:K75"/>
    <mergeCell ref="L75:M75"/>
    <mergeCell ref="N75:O75"/>
    <mergeCell ref="P75:S75"/>
    <mergeCell ref="T75:U75"/>
    <mergeCell ref="BR19:BS19"/>
    <mergeCell ref="BT19:BU19"/>
    <mergeCell ref="F76:K76"/>
    <mergeCell ref="L76:M76"/>
    <mergeCell ref="N76:O76"/>
    <mergeCell ref="P76:S76"/>
    <mergeCell ref="T76:U76"/>
    <mergeCell ref="V76:W76"/>
    <mergeCell ref="X76:AA76"/>
    <mergeCell ref="AG20:AJ20"/>
    <mergeCell ref="AQ19:AS19"/>
    <mergeCell ref="AT19:AV19"/>
    <mergeCell ref="AW19:AY19"/>
    <mergeCell ref="AZ19:BB19"/>
    <mergeCell ref="BF19:BG19"/>
    <mergeCell ref="BH19:BK19"/>
    <mergeCell ref="V75:W75"/>
    <mergeCell ref="X75:AA75"/>
    <mergeCell ref="AC19:AF22"/>
    <mergeCell ref="AG19:AJ19"/>
    <mergeCell ref="AK19:AM19"/>
    <mergeCell ref="AN19:AP19"/>
    <mergeCell ref="AK20:AM20"/>
    <mergeCell ref="AN20:AP20"/>
    <mergeCell ref="BR16:BS16"/>
    <mergeCell ref="BT16:BU16"/>
    <mergeCell ref="AC17:AF18"/>
    <mergeCell ref="AG17:AJ17"/>
    <mergeCell ref="AK17:AM17"/>
    <mergeCell ref="AN17:AP17"/>
    <mergeCell ref="AQ17:AS17"/>
    <mergeCell ref="BT17:BU17"/>
    <mergeCell ref="B74:K74"/>
    <mergeCell ref="L74:AA74"/>
    <mergeCell ref="AG18:AJ18"/>
    <mergeCell ref="AK18:AM18"/>
    <mergeCell ref="AN18:AP18"/>
    <mergeCell ref="AQ18:AS18"/>
    <mergeCell ref="AT18:AV18"/>
    <mergeCell ref="AW18:AY18"/>
    <mergeCell ref="AZ18:BB18"/>
    <mergeCell ref="AT17:AV17"/>
    <mergeCell ref="AW17:AY17"/>
    <mergeCell ref="AZ17:BB17"/>
    <mergeCell ref="BF17:BG17"/>
    <mergeCell ref="BH17:BK17"/>
    <mergeCell ref="BR17:BS17"/>
    <mergeCell ref="BF18:BG18"/>
    <mergeCell ref="AC16:AJ16"/>
    <mergeCell ref="AK16:AM16"/>
    <mergeCell ref="AN16:AP16"/>
    <mergeCell ref="AQ16:AS16"/>
    <mergeCell ref="AT16:AV16"/>
    <mergeCell ref="AW16:AY16"/>
    <mergeCell ref="AZ16:BB16"/>
    <mergeCell ref="BF16:BG16"/>
    <mergeCell ref="BH16:BK16"/>
    <mergeCell ref="BH14:BK14"/>
    <mergeCell ref="BR14:BS14"/>
    <mergeCell ref="BT14:BU14"/>
    <mergeCell ref="B15:F15"/>
    <mergeCell ref="G15:I15"/>
    <mergeCell ref="J15:L15"/>
    <mergeCell ref="M15:O15"/>
    <mergeCell ref="P15:R15"/>
    <mergeCell ref="S15:U15"/>
    <mergeCell ref="V15:W15"/>
    <mergeCell ref="X15:AA15"/>
    <mergeCell ref="BF15:BG15"/>
    <mergeCell ref="BH15:BK15"/>
    <mergeCell ref="BR15:BS15"/>
    <mergeCell ref="BT15:BU15"/>
    <mergeCell ref="B13:F13"/>
    <mergeCell ref="G13:I13"/>
    <mergeCell ref="J13:L13"/>
    <mergeCell ref="M13:O13"/>
    <mergeCell ref="P13:R13"/>
    <mergeCell ref="S13:U13"/>
    <mergeCell ref="BR13:BS13"/>
    <mergeCell ref="BT13:BU13"/>
    <mergeCell ref="B14:F14"/>
    <mergeCell ref="G14:I14"/>
    <mergeCell ref="J14:L14"/>
    <mergeCell ref="M14:O14"/>
    <mergeCell ref="P14:R14"/>
    <mergeCell ref="S14:U14"/>
    <mergeCell ref="AC14:AJ14"/>
    <mergeCell ref="AK14:AL14"/>
    <mergeCell ref="AN14:BB14"/>
    <mergeCell ref="BF14:BG14"/>
    <mergeCell ref="BT11:BU11"/>
    <mergeCell ref="B12:F12"/>
    <mergeCell ref="G12:I12"/>
    <mergeCell ref="J12:L12"/>
    <mergeCell ref="M12:O12"/>
    <mergeCell ref="P12:R12"/>
    <mergeCell ref="S12:U12"/>
    <mergeCell ref="AC12:AJ12"/>
    <mergeCell ref="AK12:AL12"/>
    <mergeCell ref="AN12:BB12"/>
    <mergeCell ref="AC11:AJ11"/>
    <mergeCell ref="AK11:AL11"/>
    <mergeCell ref="AN11:BB11"/>
    <mergeCell ref="BF11:BG11"/>
    <mergeCell ref="BH11:BK11"/>
    <mergeCell ref="BR11:BS11"/>
    <mergeCell ref="BF12:BG12"/>
    <mergeCell ref="BH12:BK12"/>
    <mergeCell ref="BR12:BS12"/>
    <mergeCell ref="BT12:BU12"/>
    <mergeCell ref="B11:F11"/>
    <mergeCell ref="G11:I11"/>
    <mergeCell ref="J11:L11"/>
    <mergeCell ref="M11:O11"/>
    <mergeCell ref="P11:R11"/>
    <mergeCell ref="V14:X14"/>
    <mergeCell ref="Y14:AA14"/>
    <mergeCell ref="S11:U11"/>
    <mergeCell ref="AC13:AJ13"/>
    <mergeCell ref="AK13:AL13"/>
    <mergeCell ref="B8:F8"/>
    <mergeCell ref="G8:I8"/>
    <mergeCell ref="J8:L8"/>
    <mergeCell ref="M8:O8"/>
    <mergeCell ref="P8:R8"/>
    <mergeCell ref="B10:F10"/>
    <mergeCell ref="G10:I10"/>
    <mergeCell ref="J10:L10"/>
    <mergeCell ref="M10:O10"/>
    <mergeCell ref="P10:R10"/>
    <mergeCell ref="S10:U10"/>
    <mergeCell ref="BF9:BG9"/>
    <mergeCell ref="BH9:BK9"/>
    <mergeCell ref="BR9:BS9"/>
    <mergeCell ref="BT9:BU9"/>
    <mergeCell ref="AC10:AJ10"/>
    <mergeCell ref="AK10:AM10"/>
    <mergeCell ref="AN10:BB10"/>
    <mergeCell ref="BF10:BG10"/>
    <mergeCell ref="BH10:BK10"/>
    <mergeCell ref="BR10:BS10"/>
    <mergeCell ref="BT10:BU10"/>
    <mergeCell ref="B9:F9"/>
    <mergeCell ref="G9:I9"/>
    <mergeCell ref="J9:L9"/>
    <mergeCell ref="M9:O9"/>
    <mergeCell ref="P9:R9"/>
    <mergeCell ref="BH8:BK8"/>
    <mergeCell ref="BR8:BS8"/>
    <mergeCell ref="BT8:BU8"/>
    <mergeCell ref="B4:F4"/>
    <mergeCell ref="G4:I4"/>
    <mergeCell ref="BF6:BG6"/>
    <mergeCell ref="AM7:AN7"/>
    <mergeCell ref="AQ7:AR7"/>
    <mergeCell ref="AS7:AT7"/>
    <mergeCell ref="AU7:AV7"/>
    <mergeCell ref="AC7:AD7"/>
    <mergeCell ref="AE7:AF7"/>
    <mergeCell ref="AG7:AH7"/>
    <mergeCell ref="AI7:AJ7"/>
    <mergeCell ref="AK7:AL7"/>
    <mergeCell ref="BH6:BK6"/>
    <mergeCell ref="BR6:BS6"/>
    <mergeCell ref="BT6:BU6"/>
    <mergeCell ref="B7:F7"/>
    <mergeCell ref="G7:I7"/>
    <mergeCell ref="J7:L7"/>
    <mergeCell ref="M7:O7"/>
    <mergeCell ref="P7:R7"/>
    <mergeCell ref="S7:U7"/>
    <mergeCell ref="B6:F6"/>
    <mergeCell ref="G6:I6"/>
    <mergeCell ref="J6:L6"/>
    <mergeCell ref="M6:O6"/>
    <mergeCell ref="P6:R6"/>
    <mergeCell ref="S6:U6"/>
    <mergeCell ref="BA7:BB7"/>
    <mergeCell ref="BF7:BG7"/>
    <mergeCell ref="BH7:BK7"/>
    <mergeCell ref="BR7:BS7"/>
    <mergeCell ref="BT7:BU7"/>
    <mergeCell ref="B3:F3"/>
    <mergeCell ref="G3:I3"/>
    <mergeCell ref="J3:L3"/>
    <mergeCell ref="M3:O3"/>
    <mergeCell ref="P3:R3"/>
    <mergeCell ref="S3:U3"/>
    <mergeCell ref="A1:C1"/>
    <mergeCell ref="G1:H1"/>
    <mergeCell ref="AA1:AB1"/>
    <mergeCell ref="BA1:BB1"/>
    <mergeCell ref="BC1:BE1"/>
    <mergeCell ref="BF1:BJ1"/>
    <mergeCell ref="BF3:BG3"/>
    <mergeCell ref="BH3:BK3"/>
    <mergeCell ref="BR3:BS3"/>
    <mergeCell ref="BT3:BU3"/>
    <mergeCell ref="BH5:BK5"/>
    <mergeCell ref="BR5:BS5"/>
    <mergeCell ref="BT5:BU5"/>
    <mergeCell ref="AK5:AL5"/>
    <mergeCell ref="AM5:AN5"/>
    <mergeCell ref="AQ5:AR5"/>
    <mergeCell ref="AS5:AT5"/>
    <mergeCell ref="AU5:AV5"/>
    <mergeCell ref="AW5:AX5"/>
    <mergeCell ref="B5:F5"/>
    <mergeCell ref="G5:I5"/>
    <mergeCell ref="J5:L5"/>
    <mergeCell ref="M5:O5"/>
    <mergeCell ref="P5:R5"/>
    <mergeCell ref="S5:U5"/>
    <mergeCell ref="AY4:AZ4"/>
    <mergeCell ref="CA1:CH1"/>
    <mergeCell ref="BE2:BK2"/>
    <mergeCell ref="BR2:BS2"/>
    <mergeCell ref="BT2:BU2"/>
    <mergeCell ref="BA4:BB4"/>
    <mergeCell ref="BF4:BG4"/>
    <mergeCell ref="AC4:AD4"/>
    <mergeCell ref="AE4:AF4"/>
    <mergeCell ref="AG4:AH4"/>
    <mergeCell ref="AI4:AJ4"/>
    <mergeCell ref="AC5:AD5"/>
    <mergeCell ref="AE5:AF5"/>
    <mergeCell ref="AG5:AH5"/>
    <mergeCell ref="AI5:AJ5"/>
    <mergeCell ref="AY5:AZ5"/>
    <mergeCell ref="BA5:BB5"/>
    <mergeCell ref="AM8:AN8"/>
    <mergeCell ref="AQ8:AR8"/>
    <mergeCell ref="AS8:AT8"/>
    <mergeCell ref="AU8:AV8"/>
    <mergeCell ref="AW8:AX8"/>
    <mergeCell ref="AY8:AZ8"/>
    <mergeCell ref="AC8:AD8"/>
    <mergeCell ref="AE8:AF8"/>
    <mergeCell ref="AG8:AH8"/>
    <mergeCell ref="AI8:AJ8"/>
    <mergeCell ref="AK8:AL8"/>
    <mergeCell ref="BF5:BG5"/>
    <mergeCell ref="AW7:AX7"/>
    <mergeCell ref="AY7:AZ7"/>
    <mergeCell ref="BA8:BB8"/>
    <mergeCell ref="BF8:BG8"/>
    <mergeCell ref="V3:X3"/>
    <mergeCell ref="Y3:AA3"/>
    <mergeCell ref="V4:X4"/>
    <mergeCell ref="Y4:AA4"/>
    <mergeCell ref="S4:U4"/>
    <mergeCell ref="V5:X5"/>
    <mergeCell ref="Y5:AA5"/>
    <mergeCell ref="V6:X6"/>
    <mergeCell ref="Y6:AA6"/>
    <mergeCell ref="V7:X7"/>
    <mergeCell ref="Y7:AA7"/>
    <mergeCell ref="V8:X8"/>
    <mergeCell ref="Y8:AA8"/>
    <mergeCell ref="V9:X9"/>
    <mergeCell ref="Y9:AA9"/>
    <mergeCell ref="V10:X10"/>
    <mergeCell ref="Y10:AA10"/>
    <mergeCell ref="S8:U8"/>
    <mergeCell ref="S9:U9"/>
    <mergeCell ref="J4:L4"/>
    <mergeCell ref="M4:O4"/>
    <mergeCell ref="P4:R4"/>
    <mergeCell ref="BH4:BK4"/>
    <mergeCell ref="BR4:BS4"/>
    <mergeCell ref="BT4:BU4"/>
    <mergeCell ref="AK4:AL4"/>
    <mergeCell ref="AM4:AN4"/>
    <mergeCell ref="AQ4:AR4"/>
    <mergeCell ref="AS4:AT4"/>
    <mergeCell ref="AU4:AV4"/>
    <mergeCell ref="AW4:AX4"/>
    <mergeCell ref="V11:X11"/>
    <mergeCell ref="Y11:AA11"/>
    <mergeCell ref="AN13:BB13"/>
    <mergeCell ref="BF13:BG13"/>
    <mergeCell ref="BH13:BK13"/>
    <mergeCell ref="V12:X12"/>
    <mergeCell ref="Y12:AA12"/>
    <mergeCell ref="V13:X13"/>
    <mergeCell ref="Y13:AA13"/>
  </mergeCells>
  <phoneticPr fontId="2"/>
  <conditionalFormatting sqref="G15:U15">
    <cfRule type="cellIs" dxfId="178" priority="36" operator="lessThan">
      <formula>700000</formula>
    </cfRule>
  </conditionalFormatting>
  <conditionalFormatting sqref="G20:X22">
    <cfRule type="cellIs" dxfId="177" priority="26" operator="between">
      <formula>0.95</formula>
      <formula>0.9</formula>
    </cfRule>
    <cfRule type="cellIs" dxfId="176" priority="27" operator="lessThan">
      <formula>0.9</formula>
    </cfRule>
  </conditionalFormatting>
  <conditionalFormatting sqref="G24:X24">
    <cfRule type="cellIs" dxfId="175" priority="23" operator="lessThan">
      <formula>0.4</formula>
    </cfRule>
    <cfRule type="cellIs" dxfId="174" priority="24" operator="lessThan">
      <formula>0.5</formula>
    </cfRule>
  </conditionalFormatting>
  <conditionalFormatting sqref="G6:AA6">
    <cfRule type="cellIs" dxfId="173" priority="9" operator="between">
      <formula>0.95</formula>
      <formula>0.9</formula>
    </cfRule>
    <cfRule type="cellIs" dxfId="172" priority="14" operator="lessThan">
      <formula>0.9</formula>
    </cfRule>
  </conditionalFormatting>
  <conditionalFormatting sqref="G8:AA8">
    <cfRule type="cellIs" dxfId="171" priority="12" operator="lessThan">
      <formula>0.4</formula>
    </cfRule>
    <cfRule type="cellIs" dxfId="170" priority="13" operator="lessThan">
      <formula>0.5</formula>
    </cfRule>
  </conditionalFormatting>
  <conditionalFormatting sqref="G10:AA10">
    <cfRule type="cellIs" dxfId="169" priority="11" operator="lessThan">
      <formula>0.9</formula>
    </cfRule>
  </conditionalFormatting>
  <conditionalFormatting sqref="G12:AA12">
    <cfRule type="expression" dxfId="168" priority="10">
      <formula>AND(G12&lt;&gt;"",G12&gt;0.3)</formula>
    </cfRule>
  </conditionalFormatting>
  <conditionalFormatting sqref="G14:AA14">
    <cfRule type="containsBlanks" dxfId="167" priority="15">
      <formula>LEN(TRIM(G14))=0</formula>
    </cfRule>
  </conditionalFormatting>
  <conditionalFormatting sqref="J27:AA31">
    <cfRule type="containsBlanks" dxfId="166" priority="16">
      <formula>LEN(TRIM(J27))=0</formula>
    </cfRule>
  </conditionalFormatting>
  <conditionalFormatting sqref="P80:AA80">
    <cfRule type="cellIs" dxfId="165" priority="45" operator="equal">
      <formula>"完"</formula>
    </cfRule>
  </conditionalFormatting>
  <conditionalFormatting sqref="AH35:AJ35">
    <cfRule type="cellIs" dxfId="164" priority="43" operator="equal">
      <formula>"Ⅱ算定済"</formula>
    </cfRule>
    <cfRule type="cellIs" dxfId="163" priority="44" operator="equal">
      <formula>"Ⅰ算定済"</formula>
    </cfRule>
  </conditionalFormatting>
  <conditionalFormatting sqref="BF3:BU32 P80:AA80 AH35:AJ35 AC5:AN5 AQ5:BB5 AC8:AN8 AQ8:BB8 AC11:BB14 AK17:BB21 AE27:BB29 AE32:BB32 BK37:BP42 D37:AJ66 AL38:BI38 AL42:BI42 BW45:CH49 AL46:BI46 AL50:BI50 AL54:BI54 AL58:BI58 AL62:BI62 AL66:BI66 B70:G71 L70:AA71 P75:S76 P77 S77 X77 AA77 P78:S78 X78:AA78 X81:AA81 P81:S83 X83:AA83 L84:AA84">
    <cfRule type="containsBlanks" dxfId="162" priority="47">
      <formula>LEN(TRIM(B3))=0</formula>
    </cfRule>
  </conditionalFormatting>
  <conditionalFormatting sqref="BL3:BQ32">
    <cfRule type="cellIs" dxfId="161" priority="46" operator="equal">
      <formula>"完"</formula>
    </cfRule>
  </conditionalFormatting>
  <conditionalFormatting sqref="C104">
    <cfRule type="cellIs" dxfId="160" priority="5" operator="lessThan">
      <formula>$AV$25</formula>
    </cfRule>
  </conditionalFormatting>
  <conditionalFormatting sqref="C107">
    <cfRule type="cellIs" dxfId="159" priority="6" operator="lessThan">
      <formula>0</formula>
    </cfRule>
  </conditionalFormatting>
  <conditionalFormatting sqref="C122">
    <cfRule type="cellIs" dxfId="158" priority="7" operator="greaterThan">
      <formula>0</formula>
    </cfRule>
    <cfRule type="cellIs" dxfId="157" priority="8" operator="lessThan">
      <formula>0</formula>
    </cfRule>
  </conditionalFormatting>
  <conditionalFormatting sqref="F102">
    <cfRule type="cellIs" dxfId="156" priority="3" operator="equal">
      <formula>"最大化済み"</formula>
    </cfRule>
    <cfRule type="cellIs" dxfId="155" priority="4" operator="equal">
      <formula>"行動設定"</formula>
    </cfRule>
  </conditionalFormatting>
  <conditionalFormatting sqref="F107">
    <cfRule type="cellIs" dxfId="154" priority="1" operator="equal">
      <formula>"最大化済み"</formula>
    </cfRule>
    <cfRule type="cellIs" dxfId="153" priority="2" operator="equal">
      <formula>"行動設定"</formula>
    </cfRule>
  </conditionalFormatting>
  <dataValidations count="23">
    <dataValidation type="list" allowBlank="1" showInputMessage="1" showErrorMessage="1" sqref="BL3:BQ32" xr:uid="{098FF38D-BB77-44FF-8129-7965068EE91C}">
      <formula1>"完"</formula1>
    </dataValidation>
    <dataValidation type="list" allowBlank="1" showInputMessage="1" showErrorMessage="1" sqref="B70:D71" xr:uid="{D73A0EFB-26C9-475F-9410-F7010C5A8114}">
      <formula1>"Ⅰ,Ⅱ,Ⅲ"</formula1>
    </dataValidation>
    <dataValidation type="list" allowBlank="1" showInputMessage="1" showErrorMessage="1" sqref="AD37:AE66" xr:uid="{82313C98-A886-4EC3-9F09-81C00E187949}">
      <formula1>"済"</formula1>
    </dataValidation>
    <dataValidation type="list" allowBlank="1" showInputMessage="1" showErrorMessage="1" sqref="AM11:AM14" xr:uid="{5D91E73A-2366-475B-9AB8-865A4E93A94D}">
      <formula1>"週,月"</formula1>
    </dataValidation>
    <dataValidation type="list" allowBlank="1" showInputMessage="1" showErrorMessage="1" sqref="BF3:BG32" xr:uid="{378377B6-24B3-4A89-99E6-015E7A3A0CF2}">
      <formula1>"時給,常時給,月給"</formula1>
    </dataValidation>
    <dataValidation type="list" allowBlank="1" showInputMessage="1" showErrorMessage="1" sqref="X83:AA83 BT3:BT32 P75:S76 P77 S77 P78:S79 X78:AA79 AA77 X77 X75:AA76 X81:AA81 P81:S83 BR3:BR32" xr:uid="{307C6CCA-58C7-464A-87D4-842766FEA6F8}">
      <formula1>"●"</formula1>
    </dataValidation>
    <dataValidation type="list" allowBlank="1" showInputMessage="1" showErrorMessage="1" sqref="P80" xr:uid="{7DCDD48A-BC2E-441A-A333-755BEF129212}">
      <formula1>"1,完"</formula1>
    </dataValidation>
    <dataValidation type="list" allowBlank="1" showInputMessage="1" showErrorMessage="1" sqref="Q80" xr:uid="{0FA9AE5B-1ED5-460A-91F7-20D80E03B3E1}">
      <formula1>"2,完"</formula1>
    </dataValidation>
    <dataValidation type="list" allowBlank="1" showInputMessage="1" showErrorMessage="1" sqref="R80" xr:uid="{CB929844-8102-4245-BE4E-509E0CB4D1D3}">
      <formula1>"3,完"</formula1>
    </dataValidation>
    <dataValidation type="list" allowBlank="1" showInputMessage="1" showErrorMessage="1" sqref="S80" xr:uid="{46D0F2C4-7808-4081-A919-34E4DF5106EE}">
      <formula1>"4,完"</formula1>
    </dataValidation>
    <dataValidation type="list" allowBlank="1" showInputMessage="1" showErrorMessage="1" sqref="T80" xr:uid="{B56274C9-FEBD-4465-9FBA-644F29E3B223}">
      <formula1>"5,完"</formula1>
    </dataValidation>
    <dataValidation type="list" allowBlank="1" showInputMessage="1" showErrorMessage="1" sqref="U80" xr:uid="{452F4C53-D241-44B8-A154-1802AB958F1A}">
      <formula1>"6,完"</formula1>
    </dataValidation>
    <dataValidation type="list" allowBlank="1" showInputMessage="1" showErrorMessage="1" sqref="V80" xr:uid="{25A817C3-297F-4F65-AC4F-A81419CF984A}">
      <formula1>"7,完"</formula1>
    </dataValidation>
    <dataValidation type="list" allowBlank="1" showInputMessage="1" showErrorMessage="1" sqref="W80" xr:uid="{3F0BF501-0A18-4075-8F0E-E336538200FF}">
      <formula1>"8,完"</formula1>
    </dataValidation>
    <dataValidation type="list" allowBlank="1" showInputMessage="1" showErrorMessage="1" sqref="X80" xr:uid="{EB34AE83-7D7F-434F-A362-645C7F903EB1}">
      <formula1>"9,完"</formula1>
    </dataValidation>
    <dataValidation type="list" allowBlank="1" showInputMessage="1" showErrorMessage="1" sqref="Y80" xr:uid="{B4F0C13F-57AB-47AC-A81E-994D48A05087}">
      <formula1>"10,完"</formula1>
    </dataValidation>
    <dataValidation type="list" allowBlank="1" showInputMessage="1" showErrorMessage="1" sqref="Z80" xr:uid="{1DAC274A-B011-43D9-A10F-5B4A2F804E5C}">
      <formula1>"11,完"</formula1>
    </dataValidation>
    <dataValidation type="list" allowBlank="1" showInputMessage="1" showErrorMessage="1" sqref="AA80" xr:uid="{2660FA90-2FC1-4B42-B462-6C84074FD1C0}">
      <formula1>"12,完"</formula1>
    </dataValidation>
    <dataValidation type="list" allowBlank="1" showInputMessage="1" showErrorMessage="1" sqref="J37:K66" xr:uid="{DAB38415-5B93-4F40-95BC-03A6B3075CF6}">
      <formula1>"6,5,4,3,2,1,なし"</formula1>
    </dataValidation>
    <dataValidation type="list" allowBlank="1" showInputMessage="1" showErrorMessage="1" sqref="S37:S66" xr:uid="{70A0A1F7-CEE4-4619-8E47-FABC0E669E20}">
      <formula1>"◎,○,△,➡"</formula1>
    </dataValidation>
    <dataValidation type="list" allowBlank="1" showInputMessage="1" showErrorMessage="1" sqref="AH35:AJ35" xr:uid="{5418165C-5E79-4E0C-AB12-035684EECFE0}">
      <formula1>"Ⅰ算定済,Ⅱ算定済"</formula1>
    </dataValidation>
    <dataValidation type="list" allowBlank="1" showInputMessage="1" showErrorMessage="1" sqref="BK37:BP42" xr:uid="{117A541F-D2B2-4806-8882-393D5488DF44}">
      <formula1>"転倒・転落,誤嚥・窒息,誤薬,行方不明,他害,利用者同士トラブル,自傷,入浴事故,医療急変,その他"</formula1>
    </dataValidation>
    <dataValidation type="list" allowBlank="1" showInputMessage="1" showErrorMessage="1" sqref="Y37:AC66" xr:uid="{33F33BB9-2608-4A2E-A003-868571E71D93}">
      <formula1>"重度支援Ⅰ,重度支援Ⅱ"</formula1>
    </dataValidation>
  </dataValidations>
  <hyperlinks>
    <hyperlink ref="BX6" r:id="rId1" xr:uid="{545ADB64-63EF-48E0-BF4F-BAB1EB42E11F}"/>
    <hyperlink ref="B19:F19" r:id="rId2" display="利用日数" xr:uid="{A5EFCF53-A6EB-46C3-877D-228FB40F6DBE}"/>
    <hyperlink ref="B21:F21" r:id="rId3" display="利用日数" xr:uid="{EF172423-6211-472B-A00F-2498B801EE96}"/>
    <hyperlink ref="B9:F9" r:id="rId4" display="..\04.サビ管_ラシエル\03. ご入居者利用状況一覧\南中丸⑤.xlsx" xr:uid="{656B3E96-996A-4C11-A9A5-ADFCFCA1BB99}"/>
    <hyperlink ref="AC16:AJ16" r:id="rId5" display="常勤換算法・夜勤含む（/所定労働）" xr:uid="{0EE2A6EF-B644-47DD-8C0F-F11D57AE3042}"/>
    <hyperlink ref="B30:E31" r:id="rId6" display="派遣時間数" xr:uid="{8F78201E-8971-44A4-8DC4-0B058790540C}"/>
    <hyperlink ref="B23:F23" r:id="rId7" display="短期稼働日数" xr:uid="{6D78A603-F0AF-42B5-A4E5-EFF876047FD6}"/>
    <hyperlink ref="B7:F7" r:id="rId8" display="短期稼働日数" xr:uid="{E61EF09D-CB1C-4610-A810-2F1333FE9DD2}"/>
  </hyperlinks>
  <printOptions horizontalCentered="1" verticalCentered="1"/>
  <pageMargins left="0.11811023622047245" right="0.11811023622047245" top="0.15748031496062992" bottom="0.15748031496062992" header="0" footer="0"/>
  <pageSetup paperSize="9" scale="26" orientation="landscape" r:id="rId9"/>
  <drawing r:id="rId10"/>
  <legacyDrawing r:id="rId11"/>
  <mc:AlternateContent xmlns:mc="http://schemas.openxmlformats.org/markup-compatibility/2006">
    <mc:Choice Requires="x14">
      <controls>
        <mc:AlternateContent xmlns:mc="http://schemas.openxmlformats.org/markup-compatibility/2006">
          <mc:Choice Requires="x14">
            <control shapeId="8227" r:id="rId12" name="TaskCheck_BW3">
              <controlPr defaultSize="0" autoFill="0" autoLine="0" autoPict="0">
                <anchor moveWithCells="1">
                  <from>
                    <xdr:col>74</xdr:col>
                    <xdr:colOff>19050</xdr:colOff>
                    <xdr:row>2</xdr:row>
                    <xdr:rowOff>12700</xdr:rowOff>
                  </from>
                  <to>
                    <xdr:col>75</xdr:col>
                    <xdr:colOff>50800</xdr:colOff>
                    <xdr:row>2</xdr:row>
                    <xdr:rowOff>273050</xdr:rowOff>
                  </to>
                </anchor>
              </controlPr>
            </control>
          </mc:Choice>
        </mc:AlternateContent>
        <mc:AlternateContent xmlns:mc="http://schemas.openxmlformats.org/markup-compatibility/2006">
          <mc:Choice Requires="x14">
            <control shapeId="8228" r:id="rId13" name="TaskCheck_BW4">
              <controlPr defaultSize="0" autoFill="0" autoLine="0" autoPict="0">
                <anchor moveWithCells="1">
                  <from>
                    <xdr:col>74</xdr:col>
                    <xdr:colOff>19050</xdr:colOff>
                    <xdr:row>3</xdr:row>
                    <xdr:rowOff>12700</xdr:rowOff>
                  </from>
                  <to>
                    <xdr:col>75</xdr:col>
                    <xdr:colOff>50800</xdr:colOff>
                    <xdr:row>3</xdr:row>
                    <xdr:rowOff>273050</xdr:rowOff>
                  </to>
                </anchor>
              </controlPr>
            </control>
          </mc:Choice>
        </mc:AlternateContent>
        <mc:AlternateContent xmlns:mc="http://schemas.openxmlformats.org/markup-compatibility/2006">
          <mc:Choice Requires="x14">
            <control shapeId="8229" r:id="rId14" name="TaskCheck_BW5">
              <controlPr defaultSize="0" autoFill="0" autoLine="0" autoPict="0">
                <anchor moveWithCells="1">
                  <from>
                    <xdr:col>74</xdr:col>
                    <xdr:colOff>19050</xdr:colOff>
                    <xdr:row>4</xdr:row>
                    <xdr:rowOff>12700</xdr:rowOff>
                  </from>
                  <to>
                    <xdr:col>75</xdr:col>
                    <xdr:colOff>50800</xdr:colOff>
                    <xdr:row>4</xdr:row>
                    <xdr:rowOff>273050</xdr:rowOff>
                  </to>
                </anchor>
              </controlPr>
            </control>
          </mc:Choice>
        </mc:AlternateContent>
        <mc:AlternateContent xmlns:mc="http://schemas.openxmlformats.org/markup-compatibility/2006">
          <mc:Choice Requires="x14">
            <control shapeId="8230" r:id="rId15" name="TaskCheck_BW6">
              <controlPr defaultSize="0" autoFill="0" autoLine="0" autoPict="0">
                <anchor moveWithCells="1">
                  <from>
                    <xdr:col>74</xdr:col>
                    <xdr:colOff>19050</xdr:colOff>
                    <xdr:row>5</xdr:row>
                    <xdr:rowOff>12700</xdr:rowOff>
                  </from>
                  <to>
                    <xdr:col>75</xdr:col>
                    <xdr:colOff>50800</xdr:colOff>
                    <xdr:row>5</xdr:row>
                    <xdr:rowOff>273050</xdr:rowOff>
                  </to>
                </anchor>
              </controlPr>
            </control>
          </mc:Choice>
        </mc:AlternateContent>
        <mc:AlternateContent xmlns:mc="http://schemas.openxmlformats.org/markup-compatibility/2006">
          <mc:Choice Requires="x14">
            <control shapeId="8231" r:id="rId16" name="TaskCheck_BW7">
              <controlPr defaultSize="0" autoFill="0" autoLine="0" autoPict="0">
                <anchor moveWithCells="1">
                  <from>
                    <xdr:col>74</xdr:col>
                    <xdr:colOff>19050</xdr:colOff>
                    <xdr:row>6</xdr:row>
                    <xdr:rowOff>12700</xdr:rowOff>
                  </from>
                  <to>
                    <xdr:col>75</xdr:col>
                    <xdr:colOff>50800</xdr:colOff>
                    <xdr:row>6</xdr:row>
                    <xdr:rowOff>273050</xdr:rowOff>
                  </to>
                </anchor>
              </controlPr>
            </control>
          </mc:Choice>
        </mc:AlternateContent>
        <mc:AlternateContent xmlns:mc="http://schemas.openxmlformats.org/markup-compatibility/2006">
          <mc:Choice Requires="x14">
            <control shapeId="8232" r:id="rId17" name="TaskCheck_BW8">
              <controlPr defaultSize="0" autoFill="0" autoLine="0" autoPict="0">
                <anchor moveWithCells="1">
                  <from>
                    <xdr:col>74</xdr:col>
                    <xdr:colOff>19050</xdr:colOff>
                    <xdr:row>7</xdr:row>
                    <xdr:rowOff>12700</xdr:rowOff>
                  </from>
                  <to>
                    <xdr:col>75</xdr:col>
                    <xdr:colOff>50800</xdr:colOff>
                    <xdr:row>7</xdr:row>
                    <xdr:rowOff>273050</xdr:rowOff>
                  </to>
                </anchor>
              </controlPr>
            </control>
          </mc:Choice>
        </mc:AlternateContent>
        <mc:AlternateContent xmlns:mc="http://schemas.openxmlformats.org/markup-compatibility/2006">
          <mc:Choice Requires="x14">
            <control shapeId="8233" r:id="rId18" name="TaskCheck_BW9">
              <controlPr defaultSize="0" autoFill="0" autoLine="0" autoPict="0">
                <anchor moveWithCells="1">
                  <from>
                    <xdr:col>74</xdr:col>
                    <xdr:colOff>19050</xdr:colOff>
                    <xdr:row>8</xdr:row>
                    <xdr:rowOff>12700</xdr:rowOff>
                  </from>
                  <to>
                    <xdr:col>75</xdr:col>
                    <xdr:colOff>50800</xdr:colOff>
                    <xdr:row>8</xdr:row>
                    <xdr:rowOff>273050</xdr:rowOff>
                  </to>
                </anchor>
              </controlPr>
            </control>
          </mc:Choice>
        </mc:AlternateContent>
        <mc:AlternateContent xmlns:mc="http://schemas.openxmlformats.org/markup-compatibility/2006">
          <mc:Choice Requires="x14">
            <control shapeId="8234" r:id="rId19" name="TaskCheck_BW10">
              <controlPr defaultSize="0" autoFill="0" autoLine="0" autoPict="0">
                <anchor moveWithCells="1">
                  <from>
                    <xdr:col>74</xdr:col>
                    <xdr:colOff>19050</xdr:colOff>
                    <xdr:row>9</xdr:row>
                    <xdr:rowOff>12700</xdr:rowOff>
                  </from>
                  <to>
                    <xdr:col>75</xdr:col>
                    <xdr:colOff>50800</xdr:colOff>
                    <xdr:row>9</xdr:row>
                    <xdr:rowOff>273050</xdr:rowOff>
                  </to>
                </anchor>
              </controlPr>
            </control>
          </mc:Choice>
        </mc:AlternateContent>
        <mc:AlternateContent xmlns:mc="http://schemas.openxmlformats.org/markup-compatibility/2006">
          <mc:Choice Requires="x14">
            <control shapeId="8235" r:id="rId20" name="TaskCheck_BW11">
              <controlPr defaultSize="0" autoFill="0" autoLine="0" autoPict="0">
                <anchor moveWithCells="1">
                  <from>
                    <xdr:col>74</xdr:col>
                    <xdr:colOff>19050</xdr:colOff>
                    <xdr:row>10</xdr:row>
                    <xdr:rowOff>12700</xdr:rowOff>
                  </from>
                  <to>
                    <xdr:col>75</xdr:col>
                    <xdr:colOff>50800</xdr:colOff>
                    <xdr:row>10</xdr:row>
                    <xdr:rowOff>273050</xdr:rowOff>
                  </to>
                </anchor>
              </controlPr>
            </control>
          </mc:Choice>
        </mc:AlternateContent>
        <mc:AlternateContent xmlns:mc="http://schemas.openxmlformats.org/markup-compatibility/2006">
          <mc:Choice Requires="x14">
            <control shapeId="8236" r:id="rId21" name="TaskCheck_BW12">
              <controlPr defaultSize="0" autoFill="0" autoLine="0" autoPict="0">
                <anchor moveWithCells="1">
                  <from>
                    <xdr:col>74</xdr:col>
                    <xdr:colOff>19050</xdr:colOff>
                    <xdr:row>11</xdr:row>
                    <xdr:rowOff>12700</xdr:rowOff>
                  </from>
                  <to>
                    <xdr:col>75</xdr:col>
                    <xdr:colOff>50800</xdr:colOff>
                    <xdr:row>11</xdr:row>
                    <xdr:rowOff>273050</xdr:rowOff>
                  </to>
                </anchor>
              </controlPr>
            </control>
          </mc:Choice>
        </mc:AlternateContent>
        <mc:AlternateContent xmlns:mc="http://schemas.openxmlformats.org/markup-compatibility/2006">
          <mc:Choice Requires="x14">
            <control shapeId="8237" r:id="rId22" name="TaskCheck_BW13">
              <controlPr defaultSize="0" autoFill="0" autoLine="0" autoPict="0">
                <anchor moveWithCells="1">
                  <from>
                    <xdr:col>74</xdr:col>
                    <xdr:colOff>19050</xdr:colOff>
                    <xdr:row>12</xdr:row>
                    <xdr:rowOff>12700</xdr:rowOff>
                  </from>
                  <to>
                    <xdr:col>75</xdr:col>
                    <xdr:colOff>50800</xdr:colOff>
                    <xdr:row>12</xdr:row>
                    <xdr:rowOff>273050</xdr:rowOff>
                  </to>
                </anchor>
              </controlPr>
            </control>
          </mc:Choice>
        </mc:AlternateContent>
        <mc:AlternateContent xmlns:mc="http://schemas.openxmlformats.org/markup-compatibility/2006">
          <mc:Choice Requires="x14">
            <control shapeId="8238" r:id="rId23" name="TaskCheck_BW14">
              <controlPr defaultSize="0" autoFill="0" autoLine="0" autoPict="0">
                <anchor moveWithCells="1">
                  <from>
                    <xdr:col>74</xdr:col>
                    <xdr:colOff>19050</xdr:colOff>
                    <xdr:row>13</xdr:row>
                    <xdr:rowOff>12700</xdr:rowOff>
                  </from>
                  <to>
                    <xdr:col>75</xdr:col>
                    <xdr:colOff>50800</xdr:colOff>
                    <xdr:row>13</xdr:row>
                    <xdr:rowOff>273050</xdr:rowOff>
                  </to>
                </anchor>
              </controlPr>
            </control>
          </mc:Choice>
        </mc:AlternateContent>
        <mc:AlternateContent xmlns:mc="http://schemas.openxmlformats.org/markup-compatibility/2006">
          <mc:Choice Requires="x14">
            <control shapeId="8239" r:id="rId24" name="TaskCheck_BW15">
              <controlPr defaultSize="0" autoFill="0" autoLine="0" autoPict="0">
                <anchor moveWithCells="1">
                  <from>
                    <xdr:col>74</xdr:col>
                    <xdr:colOff>19050</xdr:colOff>
                    <xdr:row>14</xdr:row>
                    <xdr:rowOff>12700</xdr:rowOff>
                  </from>
                  <to>
                    <xdr:col>75</xdr:col>
                    <xdr:colOff>50800</xdr:colOff>
                    <xdr:row>14</xdr:row>
                    <xdr:rowOff>273050</xdr:rowOff>
                  </to>
                </anchor>
              </controlPr>
            </control>
          </mc:Choice>
        </mc:AlternateContent>
        <mc:AlternateContent xmlns:mc="http://schemas.openxmlformats.org/markup-compatibility/2006">
          <mc:Choice Requires="x14">
            <control shapeId="8240" r:id="rId25" name="TaskCheck_BW16">
              <controlPr defaultSize="0" autoFill="0" autoLine="0" autoPict="0">
                <anchor moveWithCells="1">
                  <from>
                    <xdr:col>74</xdr:col>
                    <xdr:colOff>19050</xdr:colOff>
                    <xdr:row>15</xdr:row>
                    <xdr:rowOff>12700</xdr:rowOff>
                  </from>
                  <to>
                    <xdr:col>75</xdr:col>
                    <xdr:colOff>50800</xdr:colOff>
                    <xdr:row>15</xdr:row>
                    <xdr:rowOff>273050</xdr:rowOff>
                  </to>
                </anchor>
              </controlPr>
            </control>
          </mc:Choice>
        </mc:AlternateContent>
        <mc:AlternateContent xmlns:mc="http://schemas.openxmlformats.org/markup-compatibility/2006">
          <mc:Choice Requires="x14">
            <control shapeId="8241" r:id="rId26" name="TaskCheck_BW19">
              <controlPr defaultSize="0" autoFill="0" autoLine="0" autoPict="0">
                <anchor moveWithCells="1">
                  <from>
                    <xdr:col>74</xdr:col>
                    <xdr:colOff>19050</xdr:colOff>
                    <xdr:row>18</xdr:row>
                    <xdr:rowOff>12700</xdr:rowOff>
                  </from>
                  <to>
                    <xdr:col>75</xdr:col>
                    <xdr:colOff>50800</xdr:colOff>
                    <xdr:row>18</xdr:row>
                    <xdr:rowOff>273050</xdr:rowOff>
                  </to>
                </anchor>
              </controlPr>
            </control>
          </mc:Choice>
        </mc:AlternateContent>
        <mc:AlternateContent xmlns:mc="http://schemas.openxmlformats.org/markup-compatibility/2006">
          <mc:Choice Requires="x14">
            <control shapeId="8242" r:id="rId27" name="TaskCheck_BW20">
              <controlPr defaultSize="0" autoFill="0" autoLine="0" autoPict="0">
                <anchor moveWithCells="1">
                  <from>
                    <xdr:col>74</xdr:col>
                    <xdr:colOff>19050</xdr:colOff>
                    <xdr:row>19</xdr:row>
                    <xdr:rowOff>12700</xdr:rowOff>
                  </from>
                  <to>
                    <xdr:col>75</xdr:col>
                    <xdr:colOff>50800</xdr:colOff>
                    <xdr:row>19</xdr:row>
                    <xdr:rowOff>273050</xdr:rowOff>
                  </to>
                </anchor>
              </controlPr>
            </control>
          </mc:Choice>
        </mc:AlternateContent>
        <mc:AlternateContent xmlns:mc="http://schemas.openxmlformats.org/markup-compatibility/2006">
          <mc:Choice Requires="x14">
            <control shapeId="8243" r:id="rId28" name="TaskCheck_BW21">
              <controlPr defaultSize="0" autoFill="0" autoLine="0" autoPict="0">
                <anchor moveWithCells="1">
                  <from>
                    <xdr:col>74</xdr:col>
                    <xdr:colOff>19050</xdr:colOff>
                    <xdr:row>20</xdr:row>
                    <xdr:rowOff>12700</xdr:rowOff>
                  </from>
                  <to>
                    <xdr:col>75</xdr:col>
                    <xdr:colOff>50800</xdr:colOff>
                    <xdr:row>20</xdr:row>
                    <xdr:rowOff>273050</xdr:rowOff>
                  </to>
                </anchor>
              </controlPr>
            </control>
          </mc:Choice>
        </mc:AlternateContent>
        <mc:AlternateContent xmlns:mc="http://schemas.openxmlformats.org/markup-compatibility/2006">
          <mc:Choice Requires="x14">
            <control shapeId="8244" r:id="rId29" name="TaskCheck_BW22">
              <controlPr defaultSize="0" autoFill="0" autoLine="0" autoPict="0">
                <anchor moveWithCells="1">
                  <from>
                    <xdr:col>74</xdr:col>
                    <xdr:colOff>19050</xdr:colOff>
                    <xdr:row>21</xdr:row>
                    <xdr:rowOff>12700</xdr:rowOff>
                  </from>
                  <to>
                    <xdr:col>75</xdr:col>
                    <xdr:colOff>50800</xdr:colOff>
                    <xdr:row>21</xdr:row>
                    <xdr:rowOff>273050</xdr:rowOff>
                  </to>
                </anchor>
              </controlPr>
            </control>
          </mc:Choice>
        </mc:AlternateContent>
        <mc:AlternateContent xmlns:mc="http://schemas.openxmlformats.org/markup-compatibility/2006">
          <mc:Choice Requires="x14">
            <control shapeId="8245" r:id="rId30" name="TaskCheck_BW23">
              <controlPr defaultSize="0" autoFill="0" autoLine="0" autoPict="0">
                <anchor moveWithCells="1">
                  <from>
                    <xdr:col>74</xdr:col>
                    <xdr:colOff>19050</xdr:colOff>
                    <xdr:row>22</xdr:row>
                    <xdr:rowOff>12700</xdr:rowOff>
                  </from>
                  <to>
                    <xdr:col>75</xdr:col>
                    <xdr:colOff>50800</xdr:colOff>
                    <xdr:row>22</xdr:row>
                    <xdr:rowOff>273050</xdr:rowOff>
                  </to>
                </anchor>
              </controlPr>
            </control>
          </mc:Choice>
        </mc:AlternateContent>
        <mc:AlternateContent xmlns:mc="http://schemas.openxmlformats.org/markup-compatibility/2006">
          <mc:Choice Requires="x14">
            <control shapeId="8246" r:id="rId31" name="TaskCheck_BW24">
              <controlPr defaultSize="0" autoFill="0" autoLine="0" autoPict="0">
                <anchor moveWithCells="1">
                  <from>
                    <xdr:col>74</xdr:col>
                    <xdr:colOff>19050</xdr:colOff>
                    <xdr:row>23</xdr:row>
                    <xdr:rowOff>12700</xdr:rowOff>
                  </from>
                  <to>
                    <xdr:col>75</xdr:col>
                    <xdr:colOff>50800</xdr:colOff>
                    <xdr:row>23</xdr:row>
                    <xdr:rowOff>273050</xdr:rowOff>
                  </to>
                </anchor>
              </controlPr>
            </control>
          </mc:Choice>
        </mc:AlternateContent>
        <mc:AlternateContent xmlns:mc="http://schemas.openxmlformats.org/markup-compatibility/2006">
          <mc:Choice Requires="x14">
            <control shapeId="8247" r:id="rId32" name="TaskCheck_BW25">
              <controlPr defaultSize="0" autoFill="0" autoLine="0" autoPict="0">
                <anchor moveWithCells="1">
                  <from>
                    <xdr:col>74</xdr:col>
                    <xdr:colOff>19050</xdr:colOff>
                    <xdr:row>24</xdr:row>
                    <xdr:rowOff>12700</xdr:rowOff>
                  </from>
                  <to>
                    <xdr:col>75</xdr:col>
                    <xdr:colOff>50800</xdr:colOff>
                    <xdr:row>24</xdr:row>
                    <xdr:rowOff>273050</xdr:rowOff>
                  </to>
                </anchor>
              </controlPr>
            </control>
          </mc:Choice>
        </mc:AlternateContent>
        <mc:AlternateContent xmlns:mc="http://schemas.openxmlformats.org/markup-compatibility/2006">
          <mc:Choice Requires="x14">
            <control shapeId="8248" r:id="rId33" name="TaskCheck_BW26">
              <controlPr defaultSize="0" autoFill="0" autoLine="0" autoPict="0">
                <anchor moveWithCells="1">
                  <from>
                    <xdr:col>74</xdr:col>
                    <xdr:colOff>19050</xdr:colOff>
                    <xdr:row>25</xdr:row>
                    <xdr:rowOff>12700</xdr:rowOff>
                  </from>
                  <to>
                    <xdr:col>75</xdr:col>
                    <xdr:colOff>50800</xdr:colOff>
                    <xdr:row>25</xdr:row>
                    <xdr:rowOff>273050</xdr:rowOff>
                  </to>
                </anchor>
              </controlPr>
            </control>
          </mc:Choice>
        </mc:AlternateContent>
        <mc:AlternateContent xmlns:mc="http://schemas.openxmlformats.org/markup-compatibility/2006">
          <mc:Choice Requires="x14">
            <control shapeId="8249" r:id="rId34" name="TaskCheck_BW27">
              <controlPr defaultSize="0" autoFill="0" autoLine="0" autoPict="0">
                <anchor moveWithCells="1">
                  <from>
                    <xdr:col>74</xdr:col>
                    <xdr:colOff>19050</xdr:colOff>
                    <xdr:row>26</xdr:row>
                    <xdr:rowOff>12700</xdr:rowOff>
                  </from>
                  <to>
                    <xdr:col>75</xdr:col>
                    <xdr:colOff>50800</xdr:colOff>
                    <xdr:row>26</xdr:row>
                    <xdr:rowOff>273050</xdr:rowOff>
                  </to>
                </anchor>
              </controlPr>
            </control>
          </mc:Choice>
        </mc:AlternateContent>
        <mc:AlternateContent xmlns:mc="http://schemas.openxmlformats.org/markup-compatibility/2006">
          <mc:Choice Requires="x14">
            <control shapeId="8250" r:id="rId35" name="TaskCheck_BW28">
              <controlPr defaultSize="0" autoFill="0" autoLine="0" autoPict="0">
                <anchor moveWithCells="1">
                  <from>
                    <xdr:col>74</xdr:col>
                    <xdr:colOff>19050</xdr:colOff>
                    <xdr:row>27</xdr:row>
                    <xdr:rowOff>12700</xdr:rowOff>
                  </from>
                  <to>
                    <xdr:col>75</xdr:col>
                    <xdr:colOff>50800</xdr:colOff>
                    <xdr:row>27</xdr:row>
                    <xdr:rowOff>273050</xdr:rowOff>
                  </to>
                </anchor>
              </controlPr>
            </control>
          </mc:Choice>
        </mc:AlternateContent>
        <mc:AlternateContent xmlns:mc="http://schemas.openxmlformats.org/markup-compatibility/2006">
          <mc:Choice Requires="x14">
            <control shapeId="8251" r:id="rId36" name="TaskCheck_BW29">
              <controlPr defaultSize="0" autoFill="0" autoLine="0" autoPict="0">
                <anchor moveWithCells="1">
                  <from>
                    <xdr:col>74</xdr:col>
                    <xdr:colOff>19050</xdr:colOff>
                    <xdr:row>28</xdr:row>
                    <xdr:rowOff>12700</xdr:rowOff>
                  </from>
                  <to>
                    <xdr:col>75</xdr:col>
                    <xdr:colOff>50800</xdr:colOff>
                    <xdr:row>28</xdr:row>
                    <xdr:rowOff>273050</xdr:rowOff>
                  </to>
                </anchor>
              </controlPr>
            </control>
          </mc:Choice>
        </mc:AlternateContent>
        <mc:AlternateContent xmlns:mc="http://schemas.openxmlformats.org/markup-compatibility/2006">
          <mc:Choice Requires="x14">
            <control shapeId="8252" r:id="rId37" name="TaskCheck_BW30">
              <controlPr defaultSize="0" autoFill="0" autoLine="0" autoPict="0">
                <anchor moveWithCells="1">
                  <from>
                    <xdr:col>74</xdr:col>
                    <xdr:colOff>19050</xdr:colOff>
                    <xdr:row>29</xdr:row>
                    <xdr:rowOff>12700</xdr:rowOff>
                  </from>
                  <to>
                    <xdr:col>75</xdr:col>
                    <xdr:colOff>50800</xdr:colOff>
                    <xdr:row>29</xdr:row>
                    <xdr:rowOff>273050</xdr:rowOff>
                  </to>
                </anchor>
              </controlPr>
            </control>
          </mc:Choice>
        </mc:AlternateContent>
        <mc:AlternateContent xmlns:mc="http://schemas.openxmlformats.org/markup-compatibility/2006">
          <mc:Choice Requires="x14">
            <control shapeId="8253" r:id="rId38" name="TaskCheck_BW31">
              <controlPr defaultSize="0" autoFill="0" autoLine="0" autoPict="0">
                <anchor moveWithCells="1">
                  <from>
                    <xdr:col>74</xdr:col>
                    <xdr:colOff>19050</xdr:colOff>
                    <xdr:row>30</xdr:row>
                    <xdr:rowOff>12700</xdr:rowOff>
                  </from>
                  <to>
                    <xdr:col>75</xdr:col>
                    <xdr:colOff>50800</xdr:colOff>
                    <xdr:row>30</xdr:row>
                    <xdr:rowOff>273050</xdr:rowOff>
                  </to>
                </anchor>
              </controlPr>
            </control>
          </mc:Choice>
        </mc:AlternateContent>
        <mc:AlternateContent xmlns:mc="http://schemas.openxmlformats.org/markup-compatibility/2006">
          <mc:Choice Requires="x14">
            <control shapeId="8254" r:id="rId39" name="TaskCheck_BW32">
              <controlPr defaultSize="0" autoFill="0" autoLine="0" autoPict="0">
                <anchor moveWithCells="1">
                  <from>
                    <xdr:col>74</xdr:col>
                    <xdr:colOff>19050</xdr:colOff>
                    <xdr:row>31</xdr:row>
                    <xdr:rowOff>12700</xdr:rowOff>
                  </from>
                  <to>
                    <xdr:col>75</xdr:col>
                    <xdr:colOff>50800</xdr:colOff>
                    <xdr:row>31</xdr:row>
                    <xdr:rowOff>273050</xdr:rowOff>
                  </to>
                </anchor>
              </controlPr>
            </control>
          </mc:Choice>
        </mc:AlternateContent>
        <mc:AlternateContent xmlns:mc="http://schemas.openxmlformats.org/markup-compatibility/2006">
          <mc:Choice Requires="x14">
            <control shapeId="8255" r:id="rId40" name="TaskCheck_BW33">
              <controlPr defaultSize="0" autoFill="0" autoLine="0" autoPict="0">
                <anchor moveWithCells="1">
                  <from>
                    <xdr:col>74</xdr:col>
                    <xdr:colOff>19050</xdr:colOff>
                    <xdr:row>32</xdr:row>
                    <xdr:rowOff>12700</xdr:rowOff>
                  </from>
                  <to>
                    <xdr:col>75</xdr:col>
                    <xdr:colOff>50800</xdr:colOff>
                    <xdr:row>32</xdr:row>
                    <xdr:rowOff>273050</xdr:rowOff>
                  </to>
                </anchor>
              </controlPr>
            </control>
          </mc:Choice>
        </mc:AlternateContent>
        <mc:AlternateContent xmlns:mc="http://schemas.openxmlformats.org/markup-compatibility/2006">
          <mc:Choice Requires="x14">
            <control shapeId="8256" r:id="rId41" name="TaskCheck_BW36">
              <controlPr defaultSize="0" autoFill="0" autoLine="0" autoPict="0">
                <anchor moveWithCells="1">
                  <from>
                    <xdr:col>74</xdr:col>
                    <xdr:colOff>19050</xdr:colOff>
                    <xdr:row>35</xdr:row>
                    <xdr:rowOff>12700</xdr:rowOff>
                  </from>
                  <to>
                    <xdr:col>75</xdr:col>
                    <xdr:colOff>50800</xdr:colOff>
                    <xdr:row>35</xdr:row>
                    <xdr:rowOff>273050</xdr:rowOff>
                  </to>
                </anchor>
              </controlPr>
            </control>
          </mc:Choice>
        </mc:AlternateContent>
        <mc:AlternateContent xmlns:mc="http://schemas.openxmlformats.org/markup-compatibility/2006">
          <mc:Choice Requires="x14">
            <control shapeId="8257" r:id="rId42" name="TaskCheck_BQ37">
              <controlPr defaultSize="0" autoFill="0" autoLine="0" autoPict="0">
                <anchor moveWithCells="1">
                  <from>
                    <xdr:col>68</xdr:col>
                    <xdr:colOff>19050</xdr:colOff>
                    <xdr:row>36</xdr:row>
                    <xdr:rowOff>12700</xdr:rowOff>
                  </from>
                  <to>
                    <xdr:col>69</xdr:col>
                    <xdr:colOff>50800</xdr:colOff>
                    <xdr:row>36</xdr:row>
                    <xdr:rowOff>273050</xdr:rowOff>
                  </to>
                </anchor>
              </controlPr>
            </control>
          </mc:Choice>
        </mc:AlternateContent>
        <mc:AlternateContent xmlns:mc="http://schemas.openxmlformats.org/markup-compatibility/2006">
          <mc:Choice Requires="x14">
            <control shapeId="8258" r:id="rId43" name="TaskCheck_BW37">
              <controlPr defaultSize="0" autoFill="0" autoLine="0" autoPict="0">
                <anchor moveWithCells="1">
                  <from>
                    <xdr:col>74</xdr:col>
                    <xdr:colOff>19050</xdr:colOff>
                    <xdr:row>36</xdr:row>
                    <xdr:rowOff>12700</xdr:rowOff>
                  </from>
                  <to>
                    <xdr:col>75</xdr:col>
                    <xdr:colOff>50800</xdr:colOff>
                    <xdr:row>36</xdr:row>
                    <xdr:rowOff>273050</xdr:rowOff>
                  </to>
                </anchor>
              </controlPr>
            </control>
          </mc:Choice>
        </mc:AlternateContent>
        <mc:AlternateContent xmlns:mc="http://schemas.openxmlformats.org/markup-compatibility/2006">
          <mc:Choice Requires="x14">
            <control shapeId="8259" r:id="rId44" name="TaskCheck_BQ38">
              <controlPr defaultSize="0" autoFill="0" autoLine="0" autoPict="0">
                <anchor moveWithCells="1">
                  <from>
                    <xdr:col>68</xdr:col>
                    <xdr:colOff>19050</xdr:colOff>
                    <xdr:row>37</xdr:row>
                    <xdr:rowOff>12700</xdr:rowOff>
                  </from>
                  <to>
                    <xdr:col>69</xdr:col>
                    <xdr:colOff>50800</xdr:colOff>
                    <xdr:row>37</xdr:row>
                    <xdr:rowOff>273050</xdr:rowOff>
                  </to>
                </anchor>
              </controlPr>
            </control>
          </mc:Choice>
        </mc:AlternateContent>
        <mc:AlternateContent xmlns:mc="http://schemas.openxmlformats.org/markup-compatibility/2006">
          <mc:Choice Requires="x14">
            <control shapeId="8260" r:id="rId45" name="TaskCheck_BW38">
              <controlPr defaultSize="0" autoFill="0" autoLine="0" autoPict="0">
                <anchor moveWithCells="1">
                  <from>
                    <xdr:col>74</xdr:col>
                    <xdr:colOff>19050</xdr:colOff>
                    <xdr:row>37</xdr:row>
                    <xdr:rowOff>12700</xdr:rowOff>
                  </from>
                  <to>
                    <xdr:col>75</xdr:col>
                    <xdr:colOff>50800</xdr:colOff>
                    <xdr:row>37</xdr:row>
                    <xdr:rowOff>273050</xdr:rowOff>
                  </to>
                </anchor>
              </controlPr>
            </control>
          </mc:Choice>
        </mc:AlternateContent>
        <mc:AlternateContent xmlns:mc="http://schemas.openxmlformats.org/markup-compatibility/2006">
          <mc:Choice Requires="x14">
            <control shapeId="8261" r:id="rId46" name="TaskCheck_BQ39">
              <controlPr defaultSize="0" autoFill="0" autoLine="0" autoPict="0">
                <anchor moveWithCells="1">
                  <from>
                    <xdr:col>68</xdr:col>
                    <xdr:colOff>19050</xdr:colOff>
                    <xdr:row>38</xdr:row>
                    <xdr:rowOff>12700</xdr:rowOff>
                  </from>
                  <to>
                    <xdr:col>69</xdr:col>
                    <xdr:colOff>50800</xdr:colOff>
                    <xdr:row>38</xdr:row>
                    <xdr:rowOff>273050</xdr:rowOff>
                  </to>
                </anchor>
              </controlPr>
            </control>
          </mc:Choice>
        </mc:AlternateContent>
        <mc:AlternateContent xmlns:mc="http://schemas.openxmlformats.org/markup-compatibility/2006">
          <mc:Choice Requires="x14">
            <control shapeId="8262" r:id="rId47" name="TaskCheck_BW39">
              <controlPr defaultSize="0" autoFill="0" autoLine="0" autoPict="0">
                <anchor moveWithCells="1">
                  <from>
                    <xdr:col>74</xdr:col>
                    <xdr:colOff>19050</xdr:colOff>
                    <xdr:row>38</xdr:row>
                    <xdr:rowOff>12700</xdr:rowOff>
                  </from>
                  <to>
                    <xdr:col>75</xdr:col>
                    <xdr:colOff>50800</xdr:colOff>
                    <xdr:row>38</xdr:row>
                    <xdr:rowOff>273050</xdr:rowOff>
                  </to>
                </anchor>
              </controlPr>
            </control>
          </mc:Choice>
        </mc:AlternateContent>
        <mc:AlternateContent xmlns:mc="http://schemas.openxmlformats.org/markup-compatibility/2006">
          <mc:Choice Requires="x14">
            <control shapeId="8263" r:id="rId48" name="TaskCheck_BQ40">
              <controlPr defaultSize="0" autoFill="0" autoLine="0" autoPict="0">
                <anchor moveWithCells="1">
                  <from>
                    <xdr:col>68</xdr:col>
                    <xdr:colOff>19050</xdr:colOff>
                    <xdr:row>39</xdr:row>
                    <xdr:rowOff>12700</xdr:rowOff>
                  </from>
                  <to>
                    <xdr:col>69</xdr:col>
                    <xdr:colOff>50800</xdr:colOff>
                    <xdr:row>39</xdr:row>
                    <xdr:rowOff>273050</xdr:rowOff>
                  </to>
                </anchor>
              </controlPr>
            </control>
          </mc:Choice>
        </mc:AlternateContent>
        <mc:AlternateContent xmlns:mc="http://schemas.openxmlformats.org/markup-compatibility/2006">
          <mc:Choice Requires="x14">
            <control shapeId="8264" r:id="rId49" name="TaskCheck_BW40">
              <controlPr defaultSize="0" autoFill="0" autoLine="0" autoPict="0">
                <anchor moveWithCells="1">
                  <from>
                    <xdr:col>74</xdr:col>
                    <xdr:colOff>19050</xdr:colOff>
                    <xdr:row>39</xdr:row>
                    <xdr:rowOff>12700</xdr:rowOff>
                  </from>
                  <to>
                    <xdr:col>75</xdr:col>
                    <xdr:colOff>50800</xdr:colOff>
                    <xdr:row>39</xdr:row>
                    <xdr:rowOff>273050</xdr:rowOff>
                  </to>
                </anchor>
              </controlPr>
            </control>
          </mc:Choice>
        </mc:AlternateContent>
        <mc:AlternateContent xmlns:mc="http://schemas.openxmlformats.org/markup-compatibility/2006">
          <mc:Choice Requires="x14">
            <control shapeId="8265" r:id="rId50" name="TaskCheck_BQ41">
              <controlPr defaultSize="0" autoFill="0" autoLine="0" autoPict="0">
                <anchor moveWithCells="1">
                  <from>
                    <xdr:col>68</xdr:col>
                    <xdr:colOff>19050</xdr:colOff>
                    <xdr:row>40</xdr:row>
                    <xdr:rowOff>12700</xdr:rowOff>
                  </from>
                  <to>
                    <xdr:col>69</xdr:col>
                    <xdr:colOff>50800</xdr:colOff>
                    <xdr:row>40</xdr:row>
                    <xdr:rowOff>273050</xdr:rowOff>
                  </to>
                </anchor>
              </controlPr>
            </control>
          </mc:Choice>
        </mc:AlternateContent>
        <mc:AlternateContent xmlns:mc="http://schemas.openxmlformats.org/markup-compatibility/2006">
          <mc:Choice Requires="x14">
            <control shapeId="8266" r:id="rId51" name="TaskCheck_BW41">
              <controlPr defaultSize="0" autoFill="0" autoLine="0" autoPict="0">
                <anchor moveWithCells="1">
                  <from>
                    <xdr:col>74</xdr:col>
                    <xdr:colOff>19050</xdr:colOff>
                    <xdr:row>40</xdr:row>
                    <xdr:rowOff>12700</xdr:rowOff>
                  </from>
                  <to>
                    <xdr:col>75</xdr:col>
                    <xdr:colOff>50800</xdr:colOff>
                    <xdr:row>40</xdr:row>
                    <xdr:rowOff>273050</xdr:rowOff>
                  </to>
                </anchor>
              </controlPr>
            </control>
          </mc:Choice>
        </mc:AlternateContent>
        <mc:AlternateContent xmlns:mc="http://schemas.openxmlformats.org/markup-compatibility/2006">
          <mc:Choice Requires="x14">
            <control shapeId="8267" r:id="rId52" name="TaskCheck_BQ42">
              <controlPr defaultSize="0" autoFill="0" autoLine="0" autoPict="0">
                <anchor moveWithCells="1">
                  <from>
                    <xdr:col>68</xdr:col>
                    <xdr:colOff>19050</xdr:colOff>
                    <xdr:row>41</xdr:row>
                    <xdr:rowOff>12700</xdr:rowOff>
                  </from>
                  <to>
                    <xdr:col>69</xdr:col>
                    <xdr:colOff>50800</xdr:colOff>
                    <xdr:row>41</xdr:row>
                    <xdr:rowOff>273050</xdr:rowOff>
                  </to>
                </anchor>
              </controlPr>
            </control>
          </mc:Choice>
        </mc:AlternateContent>
        <mc:AlternateContent xmlns:mc="http://schemas.openxmlformats.org/markup-compatibility/2006">
          <mc:Choice Requires="x14">
            <control shapeId="8268" r:id="rId53" name="TaskCheck_BW42">
              <controlPr defaultSize="0" autoFill="0" autoLine="0" autoPict="0">
                <anchor moveWithCells="1">
                  <from>
                    <xdr:col>74</xdr:col>
                    <xdr:colOff>19050</xdr:colOff>
                    <xdr:row>41</xdr:row>
                    <xdr:rowOff>12700</xdr:rowOff>
                  </from>
                  <to>
                    <xdr:col>75</xdr:col>
                    <xdr:colOff>50800</xdr:colOff>
                    <xdr:row>41</xdr:row>
                    <xdr:rowOff>273050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D346A4-656E-425F-A3D2-E480D56EC3DF}">
  <sheetPr codeName="Sheet9">
    <tabColor theme="6" tint="0.79998168889431442"/>
    <pageSetUpPr fitToPage="1"/>
  </sheetPr>
  <dimension ref="A1:CR95"/>
  <sheetViews>
    <sheetView showGridLines="0" zoomScale="60" zoomScaleNormal="60" workbookViewId="0">
      <selection activeCell="B19" sqref="B19:F19"/>
    </sheetView>
  </sheetViews>
  <sheetFormatPr defaultColWidth="3.83203125" defaultRowHeight="22.5" customHeight="1"/>
  <cols>
    <col min="1" max="19" width="3.83203125" style="161"/>
    <col min="20" max="20" width="3.83203125" style="161" customWidth="1"/>
    <col min="21" max="33" width="3.83203125" style="161"/>
    <col min="34" max="34" width="3.83203125" style="161" customWidth="1"/>
    <col min="35" max="90" width="3.83203125" style="161"/>
    <col min="91" max="91" width="12.83203125" style="161" bestFit="1" customWidth="1"/>
    <col min="92" max="92" width="9.83203125" style="161" bestFit="1" customWidth="1"/>
    <col min="93" max="93" width="4.25" style="161" bestFit="1" customWidth="1"/>
    <col min="94" max="94" width="4.5" style="161" bestFit="1" customWidth="1"/>
    <col min="95" max="95" width="3.58203125" style="161" bestFit="1" customWidth="1"/>
    <col min="96" max="96" width="4.5" style="161" bestFit="1" customWidth="1"/>
    <col min="97" max="16384" width="3.83203125" style="161"/>
  </cols>
  <sheetData>
    <row r="1" spans="1:96" s="160" customFormat="1" ht="22.5" customHeight="1" thickTop="1" thickBot="1">
      <c r="A1" s="306" t="s">
        <v>66</v>
      </c>
      <c r="B1" s="306"/>
      <c r="C1" s="306"/>
      <c r="D1" s="158" t="s">
        <v>342</v>
      </c>
      <c r="E1" s="158"/>
      <c r="F1" s="158"/>
      <c r="G1" s="307">
        <v>20</v>
      </c>
      <c r="H1" s="307"/>
      <c r="I1" s="158" t="s">
        <v>695</v>
      </c>
      <c r="J1" s="158"/>
      <c r="K1" s="158"/>
      <c r="L1" s="158"/>
      <c r="M1" s="158"/>
      <c r="N1" s="158"/>
      <c r="O1" s="158"/>
      <c r="P1" s="158"/>
      <c r="Q1" s="158"/>
      <c r="R1" s="159"/>
      <c r="S1" s="159"/>
      <c r="T1" s="159"/>
      <c r="U1" s="159"/>
      <c r="V1" s="221" t="s">
        <v>689</v>
      </c>
      <c r="W1" s="158"/>
      <c r="X1" s="158"/>
      <c r="Y1" s="158"/>
      <c r="Z1" s="158"/>
      <c r="AA1" s="308">
        <v>2</v>
      </c>
      <c r="AB1" s="308"/>
      <c r="AC1" s="199" t="s">
        <v>105</v>
      </c>
      <c r="AD1" s="158"/>
      <c r="AE1" s="200" t="s">
        <v>583</v>
      </c>
      <c r="AF1" s="158"/>
      <c r="AG1" s="158"/>
      <c r="AH1" s="159"/>
      <c r="AI1" s="199" t="s">
        <v>106</v>
      </c>
      <c r="AJ1" s="159"/>
      <c r="AK1" s="200" t="s">
        <v>590</v>
      </c>
      <c r="AL1" s="159"/>
      <c r="AM1" s="159"/>
      <c r="AN1" s="159"/>
      <c r="AO1" s="199" t="s">
        <v>106</v>
      </c>
      <c r="AP1" s="159"/>
      <c r="AQ1" s="200"/>
      <c r="AR1" s="159"/>
      <c r="AS1" s="159"/>
      <c r="AT1" s="159"/>
      <c r="AU1" s="199" t="s">
        <v>237</v>
      </c>
      <c r="AV1" s="159"/>
      <c r="AW1" s="200"/>
      <c r="AX1" s="159"/>
      <c r="AY1" s="159"/>
      <c r="AZ1" s="159"/>
      <c r="BA1" s="309" t="s">
        <v>261</v>
      </c>
      <c r="BB1" s="310"/>
      <c r="BC1" s="311">
        <v>46192</v>
      </c>
      <c r="BD1" s="312"/>
      <c r="BE1" s="313"/>
      <c r="BF1" s="831" t="str">
        <f ca="1">IF(BC1="","",(TODAY()-BC1)&amp;"日未更新")</f>
        <v>10日未更新</v>
      </c>
      <c r="BG1" s="832"/>
      <c r="BH1" s="832"/>
      <c r="BI1" s="832"/>
      <c r="BJ1" s="833"/>
      <c r="BK1" s="159"/>
      <c r="BL1" s="159"/>
      <c r="BM1" s="159"/>
      <c r="BN1" s="159"/>
      <c r="BO1" s="158"/>
      <c r="BP1" s="159"/>
      <c r="BQ1" s="159"/>
      <c r="BR1" s="159"/>
      <c r="BS1" s="159"/>
      <c r="BT1" s="159"/>
      <c r="BU1" s="159"/>
      <c r="BV1" s="159"/>
      <c r="BW1" s="159"/>
      <c r="BX1" s="159"/>
      <c r="BY1" s="159"/>
      <c r="BZ1" s="158"/>
      <c r="CA1" s="323" t="s">
        <v>238</v>
      </c>
      <c r="CB1" s="323"/>
      <c r="CC1" s="323"/>
      <c r="CD1" s="323"/>
      <c r="CE1" s="323"/>
      <c r="CF1" s="323"/>
      <c r="CG1" s="323"/>
      <c r="CH1" s="323"/>
    </row>
    <row r="2" spans="1:96" ht="22.5" customHeight="1" thickTop="1">
      <c r="B2" s="175" t="s">
        <v>229</v>
      </c>
      <c r="C2" s="176"/>
      <c r="D2" s="176"/>
      <c r="E2" s="176"/>
      <c r="F2" s="176"/>
      <c r="G2" s="176"/>
      <c r="H2" s="176"/>
      <c r="I2" s="176"/>
      <c r="J2" s="176"/>
      <c r="K2" s="176"/>
      <c r="L2" s="176"/>
      <c r="M2" s="176"/>
      <c r="N2" s="176"/>
      <c r="O2" s="176"/>
      <c r="P2" s="176"/>
      <c r="Q2" s="176"/>
      <c r="R2" s="176"/>
      <c r="S2" s="176"/>
      <c r="T2" s="176"/>
      <c r="U2" s="176"/>
      <c r="V2" s="176"/>
      <c r="W2" s="176"/>
      <c r="X2" s="176"/>
      <c r="Y2" s="176"/>
      <c r="Z2" s="176"/>
      <c r="AA2" s="176"/>
      <c r="AC2" s="177" t="s">
        <v>110</v>
      </c>
      <c r="AD2" s="178"/>
      <c r="AE2" s="178"/>
      <c r="AF2" s="178"/>
      <c r="AG2" s="178"/>
      <c r="AH2" s="178"/>
      <c r="AI2" s="178"/>
      <c r="AJ2" s="178"/>
      <c r="AK2" s="178"/>
      <c r="AL2" s="178"/>
      <c r="AM2" s="178"/>
      <c r="AN2" s="178"/>
      <c r="AO2" s="178"/>
      <c r="AP2" s="178"/>
      <c r="AQ2" s="178"/>
      <c r="AR2" s="178"/>
      <c r="AS2" s="178"/>
      <c r="AT2" s="178"/>
      <c r="AU2" s="178"/>
      <c r="AV2" s="178"/>
      <c r="AW2" s="178"/>
      <c r="AX2" s="178"/>
      <c r="AY2" s="178"/>
      <c r="AZ2" s="178"/>
      <c r="BA2" s="178"/>
      <c r="BB2" s="178"/>
      <c r="BE2" s="324" t="s">
        <v>127</v>
      </c>
      <c r="BF2" s="325"/>
      <c r="BG2" s="325"/>
      <c r="BH2" s="325"/>
      <c r="BI2" s="325"/>
      <c r="BJ2" s="325"/>
      <c r="BK2" s="326"/>
      <c r="BL2" s="189" t="s">
        <v>52</v>
      </c>
      <c r="BM2" s="190" t="s">
        <v>53</v>
      </c>
      <c r="BN2" s="197" t="s">
        <v>54</v>
      </c>
      <c r="BO2" s="198" t="s">
        <v>55</v>
      </c>
      <c r="BP2" s="190" t="s">
        <v>56</v>
      </c>
      <c r="BQ2" s="191" t="s">
        <v>57</v>
      </c>
      <c r="BR2" s="327" t="s">
        <v>112</v>
      </c>
      <c r="BS2" s="328"/>
      <c r="BT2" s="328" t="s">
        <v>115</v>
      </c>
      <c r="BU2" s="329"/>
      <c r="BW2" s="181" t="s">
        <v>948</v>
      </c>
      <c r="BX2" s="179"/>
      <c r="BY2" s="179"/>
      <c r="BZ2" s="179"/>
      <c r="CA2" s="179"/>
      <c r="CB2" s="179"/>
      <c r="CC2" s="179"/>
      <c r="CD2" s="179"/>
      <c r="CE2" s="179"/>
      <c r="CF2" s="179"/>
      <c r="CG2" s="179"/>
      <c r="CH2" s="179"/>
      <c r="CM2" s="264" t="s">
        <v>916</v>
      </c>
      <c r="CN2" s="265">
        <v>46113</v>
      </c>
      <c r="CO2" s="264">
        <v>6</v>
      </c>
      <c r="CP2" s="264">
        <v>60</v>
      </c>
      <c r="CQ2" s="264">
        <v>0</v>
      </c>
      <c r="CR2" s="264">
        <v>60</v>
      </c>
    </row>
    <row r="3" spans="1:96" ht="22.5" customHeight="1">
      <c r="B3" s="300" t="s">
        <v>263</v>
      </c>
      <c r="C3" s="301"/>
      <c r="D3" s="301"/>
      <c r="E3" s="301"/>
      <c r="F3" s="302"/>
      <c r="G3" s="303" t="s">
        <v>254</v>
      </c>
      <c r="H3" s="304"/>
      <c r="I3" s="305"/>
      <c r="J3" s="303" t="s">
        <v>27</v>
      </c>
      <c r="K3" s="304"/>
      <c r="L3" s="305"/>
      <c r="M3" s="303" t="s">
        <v>226</v>
      </c>
      <c r="N3" s="304"/>
      <c r="O3" s="305"/>
      <c r="P3" s="303" t="s">
        <v>15</v>
      </c>
      <c r="Q3" s="304"/>
      <c r="R3" s="305"/>
      <c r="S3" s="303" t="s">
        <v>22</v>
      </c>
      <c r="T3" s="304"/>
      <c r="U3" s="305"/>
      <c r="V3" s="303" t="s">
        <v>1</v>
      </c>
      <c r="W3" s="304"/>
      <c r="X3" s="305"/>
      <c r="Y3" s="303" t="s">
        <v>18</v>
      </c>
      <c r="Z3" s="304"/>
      <c r="AA3" s="305"/>
      <c r="AC3" s="179" t="s">
        <v>61</v>
      </c>
      <c r="AD3" s="179"/>
      <c r="AE3" s="179"/>
      <c r="AF3" s="179"/>
      <c r="AG3" s="179"/>
      <c r="AH3" s="179"/>
      <c r="AI3" s="179"/>
      <c r="AJ3" s="179"/>
      <c r="AK3" s="179"/>
      <c r="AL3" s="179"/>
      <c r="AM3" s="179"/>
      <c r="AN3" s="179"/>
      <c r="AO3" s="178"/>
      <c r="AP3" s="178"/>
      <c r="AQ3" s="179" t="s">
        <v>62</v>
      </c>
      <c r="AR3" s="179"/>
      <c r="AS3" s="179"/>
      <c r="AT3" s="179"/>
      <c r="AU3" s="179"/>
      <c r="AV3" s="179"/>
      <c r="AW3" s="179"/>
      <c r="AX3" s="179"/>
      <c r="AY3" s="179"/>
      <c r="AZ3" s="179"/>
      <c r="BA3" s="179"/>
      <c r="BB3" s="179"/>
      <c r="BE3" s="187">
        <v>1</v>
      </c>
      <c r="BF3" s="317" t="s">
        <v>381</v>
      </c>
      <c r="BG3" s="317" t="s">
        <v>268</v>
      </c>
      <c r="BH3" s="317" t="s">
        <v>410</v>
      </c>
      <c r="BI3" s="317" t="s">
        <v>343</v>
      </c>
      <c r="BJ3" s="317" t="s">
        <v>343</v>
      </c>
      <c r="BK3" s="318" t="s">
        <v>343</v>
      </c>
      <c r="BL3" s="215" t="s">
        <v>724</v>
      </c>
      <c r="BM3" s="209" t="s">
        <v>724</v>
      </c>
      <c r="BN3" s="209" t="s">
        <v>724</v>
      </c>
      <c r="BO3" s="209" t="s">
        <v>724</v>
      </c>
      <c r="BP3" s="209"/>
      <c r="BQ3" s="210"/>
      <c r="BR3" s="319" t="s">
        <v>228</v>
      </c>
      <c r="BS3" s="317" t="s">
        <v>267</v>
      </c>
      <c r="BT3" s="317"/>
      <c r="BU3" s="320"/>
      <c r="BW3" s="285" t="b">
        <v>0</v>
      </c>
      <c r="BX3" s="178" t="s">
        <v>97</v>
      </c>
      <c r="BY3" s="178"/>
      <c r="BZ3" s="178"/>
      <c r="CA3" s="178"/>
      <c r="CB3" s="178"/>
      <c r="CC3" s="178"/>
      <c r="CD3" s="178"/>
      <c r="CE3" s="178"/>
      <c r="CF3" s="178"/>
      <c r="CG3" s="178"/>
      <c r="CH3" s="178"/>
      <c r="CM3" s="264" t="s">
        <v>916</v>
      </c>
      <c r="CN3" s="265">
        <v>46113</v>
      </c>
      <c r="CO3" s="264">
        <v>5</v>
      </c>
      <c r="CP3" s="264">
        <v>300</v>
      </c>
      <c r="CQ3" s="264">
        <v>6</v>
      </c>
      <c r="CR3" s="264">
        <v>306</v>
      </c>
    </row>
    <row r="4" spans="1:96" ht="22.5" customHeight="1">
      <c r="B4" s="335" t="s">
        <v>32</v>
      </c>
      <c r="C4" s="336"/>
      <c r="D4" s="336"/>
      <c r="E4" s="336"/>
      <c r="F4" s="337"/>
      <c r="G4" s="321">
        <f ca="1">IFERROR(INDEX(INDIRECT("'"&amp;G$3&amp;"'!J:J"),MATCH($D$1,INDIRECT("'"&amp;G$3&amp;"'!A:A"),0)),"")</f>
        <v>20</v>
      </c>
      <c r="H4" s="321"/>
      <c r="I4" s="321"/>
      <c r="J4" s="321">
        <v>20</v>
      </c>
      <c r="K4" s="321"/>
      <c r="L4" s="321"/>
      <c r="M4" s="321">
        <v>20</v>
      </c>
      <c r="N4" s="321"/>
      <c r="O4" s="321"/>
      <c r="P4" s="321" t="str">
        <f ca="1">IFERROR(INDEX(INDIRECT("'"&amp;P$3&amp;"'!J:J"),MATCH($D$1,INDIRECT("'"&amp;P$3&amp;"'!A:A"),0)),"")</f>
        <v/>
      </c>
      <c r="Q4" s="321"/>
      <c r="R4" s="321"/>
      <c r="S4" s="321" t="str">
        <f ca="1">IFERROR(INDEX(INDIRECT("'"&amp;S$3&amp;"'!J:J"),MATCH($D$1,INDIRECT("'"&amp;S$3&amp;"'!A:A"),0)),"")</f>
        <v/>
      </c>
      <c r="T4" s="321"/>
      <c r="U4" s="321"/>
      <c r="V4" s="321" t="str">
        <f t="shared" ref="V4" ca="1" si="0">IFERROR(INDEX(INDIRECT("'"&amp;V$3&amp;"'!J:J"),MATCH($D$1,INDIRECT("'"&amp;V$3&amp;"'!A:A"),0)),"")</f>
        <v/>
      </c>
      <c r="W4" s="321"/>
      <c r="X4" s="321"/>
      <c r="Y4" s="321" t="str">
        <f t="shared" ref="Y4" ca="1" si="1">IFERROR(INDEX(INDIRECT("'"&amp;Y$3&amp;"'!J:J"),MATCH($D$1,INDIRECT("'"&amp;Y$3&amp;"'!A:A"),0)),"")</f>
        <v/>
      </c>
      <c r="Z4" s="321"/>
      <c r="AA4" s="321"/>
      <c r="AC4" s="322" t="s">
        <v>254</v>
      </c>
      <c r="AD4" s="322"/>
      <c r="AE4" s="322" t="s">
        <v>27</v>
      </c>
      <c r="AF4" s="322"/>
      <c r="AG4" s="322" t="s">
        <v>226</v>
      </c>
      <c r="AH4" s="322"/>
      <c r="AI4" s="322" t="s">
        <v>15</v>
      </c>
      <c r="AJ4" s="322"/>
      <c r="AK4" s="322" t="s">
        <v>23</v>
      </c>
      <c r="AL4" s="322"/>
      <c r="AM4" s="322" t="s">
        <v>256</v>
      </c>
      <c r="AN4" s="322"/>
      <c r="AQ4" s="322" t="s">
        <v>254</v>
      </c>
      <c r="AR4" s="322"/>
      <c r="AS4" s="322" t="s">
        <v>27</v>
      </c>
      <c r="AT4" s="322"/>
      <c r="AU4" s="322" t="s">
        <v>226</v>
      </c>
      <c r="AV4" s="322"/>
      <c r="AW4" s="322" t="s">
        <v>15</v>
      </c>
      <c r="AX4" s="322"/>
      <c r="AY4" s="322" t="s">
        <v>23</v>
      </c>
      <c r="AZ4" s="322"/>
      <c r="BA4" s="322" t="s">
        <v>256</v>
      </c>
      <c r="BB4" s="322"/>
      <c r="BE4" s="187">
        <v>2</v>
      </c>
      <c r="BF4" s="317" t="s">
        <v>382</v>
      </c>
      <c r="BG4" s="317" t="s">
        <v>269</v>
      </c>
      <c r="BH4" s="317" t="s">
        <v>411</v>
      </c>
      <c r="BI4" s="317" t="s">
        <v>344</v>
      </c>
      <c r="BJ4" s="317" t="s">
        <v>344</v>
      </c>
      <c r="BK4" s="318" t="s">
        <v>344</v>
      </c>
      <c r="BL4" s="215" t="s">
        <v>724</v>
      </c>
      <c r="BM4" s="209"/>
      <c r="BN4" s="209"/>
      <c r="BO4" s="209"/>
      <c r="BP4" s="209"/>
      <c r="BQ4" s="210"/>
      <c r="BR4" s="319" t="s">
        <v>228</v>
      </c>
      <c r="BS4" s="317" t="s">
        <v>267</v>
      </c>
      <c r="BT4" s="317"/>
      <c r="BU4" s="320"/>
      <c r="BW4" s="285" t="b">
        <v>0</v>
      </c>
      <c r="BX4" s="192" t="s">
        <v>69</v>
      </c>
      <c r="BY4" s="178"/>
      <c r="BZ4" s="178"/>
      <c r="CA4" s="178"/>
      <c r="CB4" s="178"/>
      <c r="CC4" s="178"/>
      <c r="CD4" s="178"/>
      <c r="CE4" s="178"/>
      <c r="CF4" s="178"/>
      <c r="CG4" s="178"/>
      <c r="CH4" s="178"/>
      <c r="CM4" s="264" t="s">
        <v>916</v>
      </c>
      <c r="CN4" s="265">
        <v>46113</v>
      </c>
      <c r="CO4" s="264">
        <v>4</v>
      </c>
      <c r="CP4" s="264">
        <v>89</v>
      </c>
      <c r="CQ4" s="264">
        <v>19</v>
      </c>
      <c r="CR4" s="264">
        <v>108</v>
      </c>
    </row>
    <row r="5" spans="1:96" ht="22.5" customHeight="1">
      <c r="B5" s="331" t="s">
        <v>225</v>
      </c>
      <c r="C5" s="332"/>
      <c r="D5" s="332"/>
      <c r="E5" s="332"/>
      <c r="F5" s="333"/>
      <c r="G5" s="334">
        <f ca="1">IFERROR(INDEX(INDIRECT("'"&amp;G$3&amp;"'!Ｉ:Ｉ"),MATCH($D$1,INDIRECT("'"&amp;G$3&amp;"'!A:A"),0)),"")</f>
        <v>618</v>
      </c>
      <c r="H5" s="334"/>
      <c r="I5" s="334"/>
      <c r="J5" s="334">
        <v>599</v>
      </c>
      <c r="K5" s="334"/>
      <c r="L5" s="334"/>
      <c r="M5" s="334">
        <v>620</v>
      </c>
      <c r="N5" s="334"/>
      <c r="O5" s="334"/>
      <c r="P5" s="334" t="str">
        <f ca="1">IFERROR(INDEX(INDIRECT("'"&amp;P$3&amp;"'!Ｉ:Ｉ"),MATCH($D$1,INDIRECT("'"&amp;P$3&amp;"'!A:A"),0)),"")</f>
        <v/>
      </c>
      <c r="Q5" s="334"/>
      <c r="R5" s="334"/>
      <c r="S5" s="334" t="str">
        <f ca="1">IFERROR(INDEX(INDIRECT("'"&amp;S$3&amp;"'!Ｉ:Ｉ"),MATCH($D$1,INDIRECT("'"&amp;S$3&amp;"'!A:A"),0)),"")</f>
        <v/>
      </c>
      <c r="T5" s="334"/>
      <c r="U5" s="334"/>
      <c r="V5" s="334" t="str">
        <f t="shared" ref="V5" ca="1" si="2">IFERROR(INDEX(INDIRECT("'"&amp;V$3&amp;"'!Ｉ:Ｉ"),MATCH($D$1,INDIRECT("'"&amp;V$3&amp;"'!A:A"),0)),"")</f>
        <v/>
      </c>
      <c r="W5" s="334"/>
      <c r="X5" s="334"/>
      <c r="Y5" s="334" t="str">
        <f t="shared" ref="Y5" ca="1" si="3">IFERROR(INDEX(INDIRECT("'"&amp;Y$3&amp;"'!Ｉ:Ｉ"),MATCH($D$1,INDIRECT("'"&amp;Y$3&amp;"'!A:A"),0)),"")</f>
        <v/>
      </c>
      <c r="Z5" s="334"/>
      <c r="AA5" s="334"/>
      <c r="AC5" s="330">
        <v>1</v>
      </c>
      <c r="AD5" s="330"/>
      <c r="AE5" s="330">
        <v>3</v>
      </c>
      <c r="AF5" s="330"/>
      <c r="AG5" s="330">
        <v>2</v>
      </c>
      <c r="AH5" s="330"/>
      <c r="AI5" s="330"/>
      <c r="AJ5" s="330"/>
      <c r="AK5" s="330"/>
      <c r="AL5" s="330"/>
      <c r="AM5" s="330"/>
      <c r="AN5" s="330"/>
      <c r="AQ5" s="330">
        <v>2</v>
      </c>
      <c r="AR5" s="330"/>
      <c r="AS5" s="330">
        <v>3</v>
      </c>
      <c r="AT5" s="330"/>
      <c r="AU5" s="330">
        <v>2</v>
      </c>
      <c r="AV5" s="330"/>
      <c r="AW5" s="330"/>
      <c r="AX5" s="330"/>
      <c r="AY5" s="330"/>
      <c r="AZ5" s="330"/>
      <c r="BA5" s="330"/>
      <c r="BB5" s="330"/>
      <c r="BE5" s="187">
        <v>3</v>
      </c>
      <c r="BF5" s="317" t="s">
        <v>382</v>
      </c>
      <c r="BG5" s="317" t="s">
        <v>269</v>
      </c>
      <c r="BH5" s="317" t="s">
        <v>412</v>
      </c>
      <c r="BI5" s="317" t="s">
        <v>345</v>
      </c>
      <c r="BJ5" s="317" t="s">
        <v>345</v>
      </c>
      <c r="BK5" s="318" t="s">
        <v>345</v>
      </c>
      <c r="BL5" s="215"/>
      <c r="BM5" s="209"/>
      <c r="BN5" s="209"/>
      <c r="BO5" s="209"/>
      <c r="BP5" s="209"/>
      <c r="BQ5" s="210"/>
      <c r="BR5" s="319"/>
      <c r="BS5" s="317"/>
      <c r="BT5" s="317"/>
      <c r="BU5" s="320"/>
      <c r="BW5" s="285" t="b">
        <v>0</v>
      </c>
      <c r="BX5" s="192" t="s">
        <v>70</v>
      </c>
      <c r="BY5" s="178"/>
      <c r="BZ5" s="178"/>
      <c r="CA5" s="178"/>
      <c r="CB5" s="178"/>
      <c r="CC5" s="193"/>
      <c r="CD5" s="193"/>
      <c r="CE5" s="193"/>
      <c r="CF5" s="178"/>
      <c r="CG5" s="178"/>
      <c r="CH5" s="178"/>
      <c r="CM5" s="264" t="s">
        <v>916</v>
      </c>
      <c r="CN5" s="265">
        <v>46113</v>
      </c>
      <c r="CO5" s="264">
        <v>3</v>
      </c>
      <c r="CP5" s="264">
        <v>150</v>
      </c>
      <c r="CQ5" s="264">
        <v>0</v>
      </c>
      <c r="CR5" s="264">
        <v>150</v>
      </c>
    </row>
    <row r="6" spans="1:96" ht="22.5" customHeight="1">
      <c r="B6" s="338" t="s">
        <v>33</v>
      </c>
      <c r="C6" s="339"/>
      <c r="D6" s="339"/>
      <c r="E6" s="339"/>
      <c r="F6" s="340"/>
      <c r="G6" s="341">
        <f ca="1">IFERROR(G5/(G1*DAY(EOMONTH(DATE(2024,LEFT(G3,LEN(G3)-1),1),0))),"")</f>
        <v>0.99677419354838714</v>
      </c>
      <c r="H6" s="341"/>
      <c r="I6" s="341"/>
      <c r="J6" s="341">
        <f>J5/600</f>
        <v>0.99833333333333329</v>
      </c>
      <c r="K6" s="341"/>
      <c r="L6" s="341"/>
      <c r="M6" s="341">
        <v>1</v>
      </c>
      <c r="N6" s="341"/>
      <c r="O6" s="341"/>
      <c r="P6" s="341" t="str">
        <f ca="1">IFERROR(P5/(P1*DAY(EOMONTH(DATE(2024,LEFT(P3,LEN(P3)-1),1),0))),"")</f>
        <v/>
      </c>
      <c r="Q6" s="341"/>
      <c r="R6" s="341"/>
      <c r="S6" s="341" t="str">
        <f ca="1">IFERROR(S5/(S1*DAY(EOMONTH(DATE(2024,LEFT(S3,LEN(S3)-1),1),0))),"")</f>
        <v/>
      </c>
      <c r="T6" s="341"/>
      <c r="U6" s="341"/>
      <c r="V6" s="341" t="str">
        <f t="shared" ref="V6" ca="1" si="4">IFERROR(V5/(V1*DAY(EOMONTH(DATE(2024,LEFT(V3,LEN(V3)-1),1),0))),"")</f>
        <v/>
      </c>
      <c r="W6" s="341"/>
      <c r="X6" s="341"/>
      <c r="Y6" s="341" t="str">
        <f t="shared" ref="Y6" ca="1" si="5">IFERROR(Y5/(Y1*DAY(EOMONTH(DATE(2024,LEFT(Y3,LEN(Y3)-1),1),0))),"")</f>
        <v/>
      </c>
      <c r="Z6" s="341"/>
      <c r="AA6" s="341"/>
      <c r="AC6" s="179" t="s">
        <v>60</v>
      </c>
      <c r="AD6" s="179"/>
      <c r="AE6" s="179"/>
      <c r="AF6" s="179"/>
      <c r="AG6" s="179"/>
      <c r="AH6" s="179"/>
      <c r="AI6" s="179"/>
      <c r="AJ6" s="179"/>
      <c r="AK6" s="179"/>
      <c r="AL6" s="179"/>
      <c r="AM6" s="179"/>
      <c r="AN6" s="179"/>
      <c r="AO6" s="178"/>
      <c r="AP6" s="178"/>
      <c r="AQ6" s="179" t="s">
        <v>109</v>
      </c>
      <c r="AR6" s="179"/>
      <c r="AS6" s="179"/>
      <c r="AT6" s="179"/>
      <c r="AU6" s="179"/>
      <c r="AV6" s="179"/>
      <c r="AW6" s="179"/>
      <c r="AX6" s="179"/>
      <c r="AY6" s="179"/>
      <c r="AZ6" s="179"/>
      <c r="BA6" s="179"/>
      <c r="BB6" s="179"/>
      <c r="BE6" s="187">
        <v>4</v>
      </c>
      <c r="BF6" s="317" t="s">
        <v>382</v>
      </c>
      <c r="BG6" s="317" t="s">
        <v>269</v>
      </c>
      <c r="BH6" s="317" t="s">
        <v>413</v>
      </c>
      <c r="BI6" s="317" t="s">
        <v>346</v>
      </c>
      <c r="BJ6" s="317" t="s">
        <v>346</v>
      </c>
      <c r="BK6" s="318" t="s">
        <v>346</v>
      </c>
      <c r="BL6" s="215" t="s">
        <v>724</v>
      </c>
      <c r="BM6" s="209"/>
      <c r="BN6" s="209"/>
      <c r="BO6" s="209"/>
      <c r="BP6" s="209"/>
      <c r="BQ6" s="210"/>
      <c r="BR6" s="319"/>
      <c r="BS6" s="317"/>
      <c r="BT6" s="317"/>
      <c r="BU6" s="320"/>
      <c r="BW6" s="285" t="b">
        <v>0</v>
      </c>
      <c r="BX6" s="192" t="s">
        <v>71</v>
      </c>
      <c r="BY6" s="178"/>
      <c r="BZ6" s="178"/>
      <c r="CA6" s="178"/>
      <c r="CB6" s="178"/>
      <c r="CC6" s="193"/>
      <c r="CD6" s="193"/>
      <c r="CE6" s="193"/>
      <c r="CF6" s="178"/>
      <c r="CG6" s="178"/>
      <c r="CH6" s="178"/>
      <c r="CM6" s="264" t="s">
        <v>916</v>
      </c>
      <c r="CN6" s="265">
        <v>46113</v>
      </c>
      <c r="CO6" s="264">
        <v>2</v>
      </c>
      <c r="CP6" s="264">
        <v>0</v>
      </c>
      <c r="CQ6" s="264">
        <v>0</v>
      </c>
      <c r="CR6" s="264">
        <v>0</v>
      </c>
    </row>
    <row r="7" spans="1:96" ht="22.5" customHeight="1">
      <c r="B7" s="735" t="s">
        <v>224</v>
      </c>
      <c r="C7" s="736"/>
      <c r="D7" s="736"/>
      <c r="E7" s="736"/>
      <c r="F7" s="737"/>
      <c r="G7" s="321">
        <v>31</v>
      </c>
      <c r="H7" s="321"/>
      <c r="I7" s="321"/>
      <c r="J7" s="321">
        <v>52</v>
      </c>
      <c r="K7" s="321"/>
      <c r="L7" s="321"/>
      <c r="M7" s="321">
        <v>57</v>
      </c>
      <c r="N7" s="321"/>
      <c r="O7" s="321"/>
      <c r="P7" s="321" t="str">
        <f ca="1">IFERROR(INDEX(INDIRECT("'"&amp;P$3&amp;"'!L:L"),MATCH($D$1,INDIRECT("'"&amp;P$3&amp;"'!A:A"),0)),"")</f>
        <v/>
      </c>
      <c r="Q7" s="321"/>
      <c r="R7" s="321"/>
      <c r="S7" s="321" t="str">
        <f ca="1">IFERROR(INDEX(INDIRECT("'"&amp;S$3&amp;"'!L:L"),MATCH($D$1,INDIRECT("'"&amp;S$3&amp;"'!A:A"),0)),"")</f>
        <v/>
      </c>
      <c r="T7" s="321"/>
      <c r="U7" s="321"/>
      <c r="V7" s="321" t="str">
        <f t="shared" ref="V7" ca="1" si="6">IFERROR(INDEX(INDIRECT("'"&amp;V$3&amp;"'!L:L"),MATCH($D$1,INDIRECT("'"&amp;V$3&amp;"'!A:A"),0)),"")</f>
        <v/>
      </c>
      <c r="W7" s="321"/>
      <c r="X7" s="321"/>
      <c r="Y7" s="321" t="str">
        <f t="shared" ref="Y7" ca="1" si="7">IFERROR(INDEX(INDIRECT("'"&amp;Y$3&amp;"'!L:L"),MATCH($D$1,INDIRECT("'"&amp;Y$3&amp;"'!A:A"),0)),"")</f>
        <v/>
      </c>
      <c r="Z7" s="321"/>
      <c r="AA7" s="321"/>
      <c r="AC7" s="322" t="s">
        <v>254</v>
      </c>
      <c r="AD7" s="322"/>
      <c r="AE7" s="322" t="s">
        <v>27</v>
      </c>
      <c r="AF7" s="322"/>
      <c r="AG7" s="322" t="s">
        <v>226</v>
      </c>
      <c r="AH7" s="322"/>
      <c r="AI7" s="322" t="s">
        <v>15</v>
      </c>
      <c r="AJ7" s="322"/>
      <c r="AK7" s="322" t="s">
        <v>23</v>
      </c>
      <c r="AL7" s="322"/>
      <c r="AM7" s="322" t="s">
        <v>256</v>
      </c>
      <c r="AN7" s="322"/>
      <c r="AQ7" s="322" t="s">
        <v>254</v>
      </c>
      <c r="AR7" s="322"/>
      <c r="AS7" s="322" t="s">
        <v>27</v>
      </c>
      <c r="AT7" s="322"/>
      <c r="AU7" s="322" t="s">
        <v>226</v>
      </c>
      <c r="AV7" s="322"/>
      <c r="AW7" s="322" t="s">
        <v>15</v>
      </c>
      <c r="AX7" s="322"/>
      <c r="AY7" s="322" t="s">
        <v>23</v>
      </c>
      <c r="AZ7" s="322"/>
      <c r="BA7" s="322" t="s">
        <v>256</v>
      </c>
      <c r="BB7" s="322"/>
      <c r="BE7" s="187">
        <v>5</v>
      </c>
      <c r="BF7" s="317" t="s">
        <v>381</v>
      </c>
      <c r="BG7" s="317" t="s">
        <v>268</v>
      </c>
      <c r="BH7" s="317"/>
      <c r="BI7" s="317"/>
      <c r="BJ7" s="317"/>
      <c r="BK7" s="318"/>
      <c r="BL7" s="215"/>
      <c r="BM7" s="209"/>
      <c r="BN7" s="209"/>
      <c r="BO7" s="209"/>
      <c r="BP7" s="209"/>
      <c r="BQ7" s="210"/>
      <c r="BR7" s="319"/>
      <c r="BS7" s="317"/>
      <c r="BT7" s="317"/>
      <c r="BU7" s="320"/>
      <c r="BW7" s="285" t="b">
        <v>0</v>
      </c>
      <c r="BX7" s="192" t="s">
        <v>74</v>
      </c>
      <c r="BY7" s="178"/>
      <c r="BZ7" s="178"/>
      <c r="CA7" s="178"/>
      <c r="CB7" s="178"/>
      <c r="CC7" s="193"/>
      <c r="CD7" s="193"/>
      <c r="CE7" s="193"/>
      <c r="CF7" s="178"/>
      <c r="CG7" s="178"/>
      <c r="CH7" s="178"/>
      <c r="CM7" s="264" t="s">
        <v>916</v>
      </c>
      <c r="CN7" s="265">
        <v>46113</v>
      </c>
      <c r="CO7" s="264">
        <v>1</v>
      </c>
      <c r="CP7" s="264">
        <v>0</v>
      </c>
      <c r="CQ7" s="264">
        <v>0</v>
      </c>
      <c r="CR7" s="264">
        <v>0</v>
      </c>
    </row>
    <row r="8" spans="1:96" ht="22.5" customHeight="1">
      <c r="B8" s="338" t="s">
        <v>34</v>
      </c>
      <c r="C8" s="339"/>
      <c r="D8" s="339"/>
      <c r="E8" s="339"/>
      <c r="F8" s="340"/>
      <c r="G8" s="341">
        <f>IFERROR(G7/(G1*DAY(EOMONTH(DATE(2024,LEFT(G3,LEN(G3)-1),1),0))),"")</f>
        <v>0.05</v>
      </c>
      <c r="H8" s="341"/>
      <c r="I8" s="341"/>
      <c r="J8" s="341">
        <f>J7/60</f>
        <v>0.8666666666666667</v>
      </c>
      <c r="K8" s="341"/>
      <c r="L8" s="341"/>
      <c r="M8" s="341">
        <f>M7/62</f>
        <v>0.91935483870967738</v>
      </c>
      <c r="N8" s="341"/>
      <c r="O8" s="341"/>
      <c r="P8" s="341" t="str">
        <f ca="1">IFERROR(P7/(P1*DAY(EOMONTH(DATE(2024,LEFT(P3,LEN(P3)-1),1),0))),"")</f>
        <v/>
      </c>
      <c r="Q8" s="341"/>
      <c r="R8" s="341"/>
      <c r="S8" s="341" t="str">
        <f ca="1">IFERROR(S7/(S1*DAY(EOMONTH(DATE(2024,LEFT(S3,LEN(S3)-1),1),0))),"")</f>
        <v/>
      </c>
      <c r="T8" s="341"/>
      <c r="U8" s="341"/>
      <c r="V8" s="341" t="str">
        <f t="shared" ref="V8" ca="1" si="8">IFERROR(V7/(V1*DAY(EOMONTH(DATE(2024,LEFT(V3,LEN(V3)-1),1),0))),"")</f>
        <v/>
      </c>
      <c r="W8" s="341"/>
      <c r="X8" s="341"/>
      <c r="Y8" s="341" t="str">
        <f t="shared" ref="Y8" ca="1" si="9">IFERROR(Y7/(Y1*DAY(EOMONTH(DATE(2024,LEFT(Y3,LEN(Y3)-1),1),0))),"")</f>
        <v/>
      </c>
      <c r="Z8" s="341"/>
      <c r="AA8" s="341"/>
      <c r="AC8" s="330">
        <v>0</v>
      </c>
      <c r="AD8" s="330"/>
      <c r="AE8" s="330">
        <v>1</v>
      </c>
      <c r="AF8" s="330"/>
      <c r="AG8" s="330">
        <v>1</v>
      </c>
      <c r="AH8" s="330"/>
      <c r="AI8" s="330"/>
      <c r="AJ8" s="330"/>
      <c r="AK8" s="330"/>
      <c r="AL8" s="330"/>
      <c r="AM8" s="330"/>
      <c r="AN8" s="330"/>
      <c r="AQ8" s="330">
        <v>1</v>
      </c>
      <c r="AR8" s="330"/>
      <c r="AS8" s="330">
        <v>2</v>
      </c>
      <c r="AT8" s="330"/>
      <c r="AU8" s="330">
        <v>1</v>
      </c>
      <c r="AV8" s="330"/>
      <c r="AW8" s="330"/>
      <c r="AX8" s="330"/>
      <c r="AY8" s="330"/>
      <c r="AZ8" s="330"/>
      <c r="BA8" s="330"/>
      <c r="BB8" s="330"/>
      <c r="BE8" s="187">
        <v>6</v>
      </c>
      <c r="BF8" s="317" t="s">
        <v>382</v>
      </c>
      <c r="BG8" s="317" t="s">
        <v>269</v>
      </c>
      <c r="BH8" s="317" t="s">
        <v>414</v>
      </c>
      <c r="BI8" s="317" t="s">
        <v>347</v>
      </c>
      <c r="BJ8" s="317" t="s">
        <v>347</v>
      </c>
      <c r="BK8" s="318" t="s">
        <v>347</v>
      </c>
      <c r="BL8" s="215" t="s">
        <v>724</v>
      </c>
      <c r="BM8" s="209"/>
      <c r="BN8" s="209"/>
      <c r="BO8" s="209"/>
      <c r="BP8" s="209"/>
      <c r="BQ8" s="210"/>
      <c r="BR8" s="319"/>
      <c r="BS8" s="317"/>
      <c r="BT8" s="317"/>
      <c r="BU8" s="320"/>
      <c r="BW8" s="285" t="b">
        <v>0</v>
      </c>
      <c r="BX8" s="192" t="s">
        <v>72</v>
      </c>
      <c r="BY8" s="178"/>
      <c r="BZ8" s="178"/>
      <c r="CA8" s="178"/>
      <c r="CB8" s="178"/>
      <c r="CC8" s="193"/>
      <c r="CD8" s="193"/>
      <c r="CE8" s="193"/>
      <c r="CF8" s="178"/>
      <c r="CG8" s="178"/>
      <c r="CH8" s="178"/>
      <c r="CM8" s="264" t="s">
        <v>916</v>
      </c>
      <c r="CN8" s="265">
        <v>46113</v>
      </c>
      <c r="CO8" s="264" t="s">
        <v>904</v>
      </c>
      <c r="CP8" s="264">
        <v>0</v>
      </c>
      <c r="CQ8" s="264">
        <v>0</v>
      </c>
      <c r="CR8" s="264">
        <v>0</v>
      </c>
    </row>
    <row r="9" spans="1:96" ht="22.5" customHeight="1">
      <c r="B9" s="735" t="s">
        <v>175</v>
      </c>
      <c r="C9" s="736"/>
      <c r="D9" s="736"/>
      <c r="E9" s="736"/>
      <c r="F9" s="737"/>
      <c r="G9" s="321">
        <f ca="1">IFERROR(INDEX(INDIRECT("'"&amp;G$3&amp;"'!O:O"),MATCH($D$1,INDIRECT("'"&amp;G$3&amp;"'!A:A"),0)),"")</f>
        <v>596</v>
      </c>
      <c r="H9" s="321"/>
      <c r="I9" s="321"/>
      <c r="J9" s="321">
        <v>599</v>
      </c>
      <c r="K9" s="321"/>
      <c r="L9" s="321"/>
      <c r="M9" s="321">
        <v>560</v>
      </c>
      <c r="N9" s="321"/>
      <c r="O9" s="321"/>
      <c r="P9" s="321" t="str">
        <f ca="1">IFERROR(INDEX(INDIRECT("'"&amp;P$3&amp;"'!O:O"),MATCH($D$1,INDIRECT("'"&amp;P$3&amp;"'!A:A"),0)),"")</f>
        <v/>
      </c>
      <c r="Q9" s="321"/>
      <c r="R9" s="321"/>
      <c r="S9" s="321" t="str">
        <f ca="1">IFERROR(INDEX(INDIRECT("'"&amp;S$3&amp;"'!O:O"),MATCH($D$1,INDIRECT("'"&amp;S$3&amp;"'!A:A"),0)),"")</f>
        <v/>
      </c>
      <c r="T9" s="321"/>
      <c r="U9" s="321"/>
      <c r="V9" s="321" t="str">
        <f t="shared" ref="V9" ca="1" si="10">IFERROR(INDEX(INDIRECT("'"&amp;V$3&amp;"'!O:O"),MATCH($D$1,INDIRECT("'"&amp;V$3&amp;"'!A:A"),0)),"")</f>
        <v/>
      </c>
      <c r="W9" s="321"/>
      <c r="X9" s="321"/>
      <c r="Y9" s="321" t="str">
        <f t="shared" ref="Y9" ca="1" si="11">IFERROR(INDEX(INDIRECT("'"&amp;Y$3&amp;"'!O:O"),MATCH($D$1,INDIRECT("'"&amp;Y$3&amp;"'!A:A"),0)),"")</f>
        <v/>
      </c>
      <c r="Z9" s="321"/>
      <c r="AA9" s="321"/>
      <c r="AC9" s="179" t="s">
        <v>250</v>
      </c>
      <c r="AD9" s="179"/>
      <c r="AE9" s="179"/>
      <c r="AF9" s="179"/>
      <c r="AG9" s="179"/>
      <c r="AH9" s="179"/>
      <c r="AI9" s="179"/>
      <c r="AJ9" s="179"/>
      <c r="AK9" s="179"/>
      <c r="AL9" s="179"/>
      <c r="AM9" s="179"/>
      <c r="AN9" s="179"/>
      <c r="AO9" s="179"/>
      <c r="AP9" s="179"/>
      <c r="AQ9" s="180"/>
      <c r="AR9" s="179"/>
      <c r="AS9" s="179"/>
      <c r="AT9" s="179"/>
      <c r="AU9" s="179"/>
      <c r="AV9" s="179"/>
      <c r="AW9" s="179"/>
      <c r="AX9" s="179"/>
      <c r="AY9" s="179"/>
      <c r="AZ9" s="179"/>
      <c r="BA9" s="179"/>
      <c r="BB9" s="179"/>
      <c r="BE9" s="187">
        <v>7</v>
      </c>
      <c r="BF9" s="317" t="s">
        <v>382</v>
      </c>
      <c r="BG9" s="317" t="s">
        <v>269</v>
      </c>
      <c r="BH9" s="317" t="s">
        <v>415</v>
      </c>
      <c r="BI9" s="317" t="s">
        <v>348</v>
      </c>
      <c r="BJ9" s="317" t="s">
        <v>348</v>
      </c>
      <c r="BK9" s="318" t="s">
        <v>348</v>
      </c>
      <c r="BL9" s="215"/>
      <c r="BM9" s="209"/>
      <c r="BN9" s="209"/>
      <c r="BO9" s="209"/>
      <c r="BP9" s="209"/>
      <c r="BQ9" s="210"/>
      <c r="BR9" s="319"/>
      <c r="BS9" s="317"/>
      <c r="BT9" s="317"/>
      <c r="BU9" s="320"/>
      <c r="BW9" s="285" t="b">
        <v>0</v>
      </c>
      <c r="BX9" s="192" t="s">
        <v>73</v>
      </c>
      <c r="BY9" s="178"/>
      <c r="BZ9" s="178"/>
      <c r="CA9" s="178"/>
      <c r="CB9" s="178"/>
      <c r="CC9" s="193"/>
      <c r="CD9" s="193"/>
      <c r="CE9" s="193"/>
      <c r="CF9" s="178"/>
      <c r="CG9" s="178"/>
      <c r="CH9" s="178"/>
      <c r="CJ9" s="164"/>
    </row>
    <row r="10" spans="1:96" ht="22.5" customHeight="1">
      <c r="B10" s="338" t="s">
        <v>35</v>
      </c>
      <c r="C10" s="339"/>
      <c r="D10" s="339"/>
      <c r="E10" s="339"/>
      <c r="F10" s="340"/>
      <c r="G10" s="341">
        <f ca="1">IFERROR(G9/G5,"")</f>
        <v>0.96440129449838186</v>
      </c>
      <c r="H10" s="341"/>
      <c r="I10" s="341"/>
      <c r="J10" s="341">
        <f>IFERROR(J9/J5,"")</f>
        <v>1</v>
      </c>
      <c r="K10" s="341"/>
      <c r="L10" s="341"/>
      <c r="M10" s="341">
        <f>IFERROR(M9/M5,"")</f>
        <v>0.90322580645161288</v>
      </c>
      <c r="N10" s="341"/>
      <c r="O10" s="341"/>
      <c r="P10" s="341" t="str">
        <f ca="1">IFERROR(P9/P5,"")</f>
        <v/>
      </c>
      <c r="Q10" s="341"/>
      <c r="R10" s="341"/>
      <c r="S10" s="341" t="str">
        <f ca="1">IFERROR(S9/S5,"")</f>
        <v/>
      </c>
      <c r="T10" s="341"/>
      <c r="U10" s="341"/>
      <c r="V10" s="341" t="str">
        <f t="shared" ref="V10" ca="1" si="12">IFERROR(V9/V5,"")</f>
        <v/>
      </c>
      <c r="W10" s="341"/>
      <c r="X10" s="341"/>
      <c r="Y10" s="341" t="str">
        <f t="shared" ref="Y10" ca="1" si="13">IFERROR(Y9/Y5,"")</f>
        <v/>
      </c>
      <c r="Z10" s="341"/>
      <c r="AA10" s="341"/>
      <c r="AC10" s="342" t="s">
        <v>249</v>
      </c>
      <c r="AD10" s="343"/>
      <c r="AE10" s="343"/>
      <c r="AF10" s="343"/>
      <c r="AG10" s="343"/>
      <c r="AH10" s="343"/>
      <c r="AI10" s="343"/>
      <c r="AJ10" s="344"/>
      <c r="AK10" s="342" t="s">
        <v>63</v>
      </c>
      <c r="AL10" s="343"/>
      <c r="AM10" s="345"/>
      <c r="AN10" s="346" t="s">
        <v>111</v>
      </c>
      <c r="AO10" s="343"/>
      <c r="AP10" s="343"/>
      <c r="AQ10" s="343"/>
      <c r="AR10" s="343"/>
      <c r="AS10" s="343"/>
      <c r="AT10" s="343"/>
      <c r="AU10" s="343"/>
      <c r="AV10" s="343"/>
      <c r="AW10" s="343"/>
      <c r="AX10" s="343"/>
      <c r="AY10" s="343"/>
      <c r="AZ10" s="343"/>
      <c r="BA10" s="343"/>
      <c r="BB10" s="345"/>
      <c r="BE10" s="187">
        <v>8</v>
      </c>
      <c r="BF10" s="317" t="s">
        <v>381</v>
      </c>
      <c r="BG10" s="317" t="s">
        <v>268</v>
      </c>
      <c r="BH10" s="317" t="s">
        <v>709</v>
      </c>
      <c r="BI10" s="317" t="s">
        <v>349</v>
      </c>
      <c r="BJ10" s="317" t="s">
        <v>349</v>
      </c>
      <c r="BK10" s="318" t="s">
        <v>349</v>
      </c>
      <c r="BL10" s="215"/>
      <c r="BM10" s="209"/>
      <c r="BN10" s="209"/>
      <c r="BO10" s="209"/>
      <c r="BP10" s="209"/>
      <c r="BQ10" s="210"/>
      <c r="BR10" s="319"/>
      <c r="BS10" s="317"/>
      <c r="BT10" s="317"/>
      <c r="BU10" s="320"/>
      <c r="BW10" s="285" t="b">
        <v>0</v>
      </c>
      <c r="BX10" s="192" t="s">
        <v>76</v>
      </c>
      <c r="BY10" s="178"/>
      <c r="BZ10" s="178"/>
      <c r="CA10" s="178"/>
      <c r="CB10" s="178"/>
      <c r="CC10" s="193"/>
      <c r="CD10" s="193"/>
      <c r="CE10" s="193"/>
      <c r="CF10" s="178"/>
      <c r="CG10" s="178"/>
      <c r="CH10" s="178"/>
    </row>
    <row r="11" spans="1:96" ht="22.5" customHeight="1">
      <c r="B11" s="335" t="s">
        <v>179</v>
      </c>
      <c r="C11" s="336"/>
      <c r="D11" s="336"/>
      <c r="E11" s="336"/>
      <c r="F11" s="337"/>
      <c r="G11" s="321">
        <f ca="1">IFERROR(INDEX(INDIRECT("'"&amp;G$3&amp;"'!R:R"),MATCH($D$1,INDIRECT("'"&amp;G$3&amp;"'!A:A"),0)),"")</f>
        <v>135</v>
      </c>
      <c r="H11" s="321"/>
      <c r="I11" s="321"/>
      <c r="J11" s="321">
        <v>134</v>
      </c>
      <c r="K11" s="321"/>
      <c r="L11" s="321"/>
      <c r="M11" s="321">
        <v>128</v>
      </c>
      <c r="N11" s="321"/>
      <c r="O11" s="321"/>
      <c r="P11" s="321" t="str">
        <f ca="1">IFERROR(INDEX(INDIRECT("'"&amp;P$3&amp;"'!R:R"),MATCH($D$1,INDIRECT("'"&amp;P$3&amp;"'!A:A"),0)),"")</f>
        <v/>
      </c>
      <c r="Q11" s="321"/>
      <c r="R11" s="321"/>
      <c r="S11" s="321" t="str">
        <f ca="1">IFERROR(INDEX(INDIRECT("'"&amp;S$3&amp;"'!R:R"),MATCH($D$1,INDIRECT("'"&amp;S$3&amp;"'!A:A"),0)),"")</f>
        <v/>
      </c>
      <c r="T11" s="321"/>
      <c r="U11" s="321"/>
      <c r="V11" s="321" t="str">
        <f t="shared" ref="V11" ca="1" si="14">IFERROR(INDEX(INDIRECT("'"&amp;V$3&amp;"'!R:R"),MATCH($D$1,INDIRECT("'"&amp;V$3&amp;"'!A:A"),0)),"")</f>
        <v/>
      </c>
      <c r="W11" s="321"/>
      <c r="X11" s="321"/>
      <c r="Y11" s="321" t="str">
        <f t="shared" ref="Y11" ca="1" si="15">IFERROR(INDEX(INDIRECT("'"&amp;Y$3&amp;"'!R:R"),MATCH($D$1,INDIRECT("'"&amp;Y$3&amp;"'!A:A"),0)),"")</f>
        <v/>
      </c>
      <c r="Z11" s="321"/>
      <c r="AA11" s="321"/>
      <c r="AC11" s="354" t="s">
        <v>742</v>
      </c>
      <c r="AD11" s="355"/>
      <c r="AE11" s="355"/>
      <c r="AF11" s="355"/>
      <c r="AG11" s="355"/>
      <c r="AH11" s="355"/>
      <c r="AI11" s="355"/>
      <c r="AJ11" s="356"/>
      <c r="AK11" s="357" t="s">
        <v>740</v>
      </c>
      <c r="AL11" s="358"/>
      <c r="AM11" s="203" t="s">
        <v>730</v>
      </c>
      <c r="AN11" s="359" t="s">
        <v>743</v>
      </c>
      <c r="AO11" s="355"/>
      <c r="AP11" s="355"/>
      <c r="AQ11" s="355"/>
      <c r="AR11" s="355"/>
      <c r="AS11" s="355"/>
      <c r="AT11" s="355"/>
      <c r="AU11" s="355"/>
      <c r="AV11" s="355"/>
      <c r="AW11" s="355"/>
      <c r="AX11" s="355"/>
      <c r="AY11" s="355"/>
      <c r="AZ11" s="355"/>
      <c r="BA11" s="355"/>
      <c r="BB11" s="360"/>
      <c r="BE11" s="187">
        <v>9</v>
      </c>
      <c r="BF11" s="317" t="s">
        <v>381</v>
      </c>
      <c r="BG11" s="317" t="s">
        <v>268</v>
      </c>
      <c r="BH11" s="317" t="s">
        <v>710</v>
      </c>
      <c r="BI11" s="317" t="s">
        <v>350</v>
      </c>
      <c r="BJ11" s="317" t="s">
        <v>350</v>
      </c>
      <c r="BK11" s="318" t="s">
        <v>350</v>
      </c>
      <c r="BL11" s="215"/>
      <c r="BM11" s="209"/>
      <c r="BN11" s="209"/>
      <c r="BO11" s="209"/>
      <c r="BP11" s="209"/>
      <c r="BQ11" s="210"/>
      <c r="BR11" s="319"/>
      <c r="BS11" s="317"/>
      <c r="BT11" s="317"/>
      <c r="BU11" s="320"/>
      <c r="BW11" s="285" t="b">
        <v>0</v>
      </c>
      <c r="BX11" s="192" t="s">
        <v>239</v>
      </c>
      <c r="BY11" s="178"/>
      <c r="BZ11" s="178"/>
      <c r="CA11" s="178"/>
      <c r="CB11" s="178"/>
      <c r="CC11" s="193"/>
      <c r="CD11" s="193"/>
      <c r="CE11" s="193"/>
      <c r="CF11" s="178"/>
      <c r="CG11" s="178"/>
      <c r="CH11" s="178"/>
    </row>
    <row r="12" spans="1:96" ht="22.5" customHeight="1">
      <c r="B12" s="338" t="s">
        <v>218</v>
      </c>
      <c r="C12" s="339"/>
      <c r="D12" s="339"/>
      <c r="E12" s="339"/>
      <c r="F12" s="340"/>
      <c r="G12" s="341">
        <f ca="1">IFERROR(G11/G5,"")</f>
        <v>0.21844660194174756</v>
      </c>
      <c r="H12" s="341"/>
      <c r="I12" s="341"/>
      <c r="J12" s="341">
        <f>IFERROR(J11/J5,"")</f>
        <v>0.22370617696160267</v>
      </c>
      <c r="K12" s="341"/>
      <c r="L12" s="341"/>
      <c r="M12" s="341">
        <f>IFERROR(M11/M5,"")</f>
        <v>0.20645161290322581</v>
      </c>
      <c r="N12" s="341"/>
      <c r="O12" s="341"/>
      <c r="P12" s="341" t="str">
        <f ca="1">IFERROR(P11/P5,"")</f>
        <v/>
      </c>
      <c r="Q12" s="341"/>
      <c r="R12" s="341"/>
      <c r="S12" s="341" t="str">
        <f ca="1">IFERROR(S11/S5,"")</f>
        <v/>
      </c>
      <c r="T12" s="341"/>
      <c r="U12" s="341"/>
      <c r="V12" s="341" t="str">
        <f t="shared" ref="V12" ca="1" si="16">IFERROR(V11/V5,"")</f>
        <v/>
      </c>
      <c r="W12" s="341"/>
      <c r="X12" s="341"/>
      <c r="Y12" s="341" t="str">
        <f t="shared" ref="Y12" ca="1" si="17">IFERROR(Y11/Y5,"")</f>
        <v/>
      </c>
      <c r="Z12" s="341"/>
      <c r="AA12" s="341"/>
      <c r="AC12" s="347" t="s">
        <v>738</v>
      </c>
      <c r="AD12" s="348"/>
      <c r="AE12" s="348"/>
      <c r="AF12" s="348"/>
      <c r="AG12" s="348"/>
      <c r="AH12" s="348"/>
      <c r="AI12" s="348"/>
      <c r="AJ12" s="349"/>
      <c r="AK12" s="350" t="s">
        <v>739</v>
      </c>
      <c r="AL12" s="351"/>
      <c r="AM12" s="202" t="s">
        <v>730</v>
      </c>
      <c r="AN12" s="352" t="s">
        <v>744</v>
      </c>
      <c r="AO12" s="348"/>
      <c r="AP12" s="348"/>
      <c r="AQ12" s="348"/>
      <c r="AR12" s="348"/>
      <c r="AS12" s="348"/>
      <c r="AT12" s="348"/>
      <c r="AU12" s="348"/>
      <c r="AV12" s="348"/>
      <c r="AW12" s="348"/>
      <c r="AX12" s="348"/>
      <c r="AY12" s="348"/>
      <c r="AZ12" s="348"/>
      <c r="BA12" s="348"/>
      <c r="BB12" s="353"/>
      <c r="BE12" s="187">
        <v>10</v>
      </c>
      <c r="BF12" s="317" t="s">
        <v>382</v>
      </c>
      <c r="BG12" s="317" t="s">
        <v>269</v>
      </c>
      <c r="BH12" s="317" t="s">
        <v>416</v>
      </c>
      <c r="BI12" s="317" t="s">
        <v>351</v>
      </c>
      <c r="BJ12" s="317" t="s">
        <v>351</v>
      </c>
      <c r="BK12" s="318" t="s">
        <v>351</v>
      </c>
      <c r="BL12" s="215"/>
      <c r="BM12" s="209"/>
      <c r="BN12" s="209"/>
      <c r="BO12" s="209"/>
      <c r="BP12" s="209"/>
      <c r="BQ12" s="210"/>
      <c r="BR12" s="319"/>
      <c r="BS12" s="317"/>
      <c r="BT12" s="317"/>
      <c r="BU12" s="320"/>
      <c r="BW12" s="285" t="b">
        <v>0</v>
      </c>
      <c r="BX12" s="192" t="s">
        <v>77</v>
      </c>
      <c r="BY12" s="178"/>
      <c r="BZ12" s="178"/>
      <c r="CA12" s="178"/>
      <c r="CB12" s="178"/>
      <c r="CC12" s="193"/>
      <c r="CD12" s="193"/>
      <c r="CE12" s="193"/>
      <c r="CF12" s="178"/>
      <c r="CG12" s="178"/>
      <c r="CH12" s="178"/>
    </row>
    <row r="13" spans="1:96" ht="22.5" customHeight="1">
      <c r="B13" s="335" t="s">
        <v>47</v>
      </c>
      <c r="C13" s="336"/>
      <c r="D13" s="336"/>
      <c r="E13" s="336"/>
      <c r="F13" s="337"/>
      <c r="G13" s="361">
        <f ca="1">IFERROR(INDEX(INDIRECT("'"&amp;G$3&amp;"'!M:M"),MATCH($D$1,INDIRECT("'"&amp;G$3&amp;"'!A:A"),0)),"")</f>
        <v>0</v>
      </c>
      <c r="H13" s="361"/>
      <c r="I13" s="361"/>
      <c r="J13" s="361" t="str">
        <f ca="1">IFERROR(INDEX(INDIRECT("'"&amp;J$3&amp;"'!M:M"),MATCH($D$1,INDIRECT("'"&amp;J$3&amp;"'!A:A"),0)),"")</f>
        <v/>
      </c>
      <c r="K13" s="361"/>
      <c r="L13" s="361"/>
      <c r="M13" s="361" t="str">
        <f ca="1">IFERROR(INDEX(INDIRECT("'"&amp;M$3&amp;"'!M:M"),MATCH($D$1,INDIRECT("'"&amp;M$3&amp;"'!A:A"),0)),"")</f>
        <v/>
      </c>
      <c r="N13" s="361"/>
      <c r="O13" s="361"/>
      <c r="P13" s="361" t="str">
        <f ca="1">IFERROR(INDEX(INDIRECT("'"&amp;P$3&amp;"'!M:M"),MATCH($D$1,INDIRECT("'"&amp;P$3&amp;"'!A:A"),0)),"")</f>
        <v/>
      </c>
      <c r="Q13" s="361"/>
      <c r="R13" s="361"/>
      <c r="S13" s="361" t="str">
        <f ca="1">IFERROR(INDEX(INDIRECT("'"&amp;S$3&amp;"'!M:M"),MATCH($D$1,INDIRECT("'"&amp;S$3&amp;"'!A:A"),0)),"")</f>
        <v/>
      </c>
      <c r="T13" s="361"/>
      <c r="U13" s="361"/>
      <c r="V13" s="361" t="str">
        <f t="shared" ref="V13" ca="1" si="18">IFERROR(INDEX(INDIRECT("'"&amp;V$3&amp;"'!M:M"),MATCH($D$1,INDIRECT("'"&amp;V$3&amp;"'!A:A"),0)),"")</f>
        <v/>
      </c>
      <c r="W13" s="361"/>
      <c r="X13" s="361"/>
      <c r="Y13" s="361" t="str">
        <f t="shared" ref="Y13" ca="1" si="19">IFERROR(INDEX(INDIRECT("'"&amp;Y$3&amp;"'!M:M"),MATCH($D$1,INDIRECT("'"&amp;Y$3&amp;"'!A:A"),0)),"")</f>
        <v/>
      </c>
      <c r="Z13" s="361"/>
      <c r="AA13" s="361"/>
      <c r="AC13" s="367" t="s">
        <v>741</v>
      </c>
      <c r="AD13" s="368"/>
      <c r="AE13" s="368"/>
      <c r="AF13" s="368"/>
      <c r="AG13" s="368"/>
      <c r="AH13" s="368"/>
      <c r="AI13" s="368"/>
      <c r="AJ13" s="369"/>
      <c r="AK13" s="370" t="s">
        <v>740</v>
      </c>
      <c r="AL13" s="371"/>
      <c r="AM13" s="204" t="s">
        <v>730</v>
      </c>
      <c r="AN13" s="372" t="s">
        <v>737</v>
      </c>
      <c r="AO13" s="368"/>
      <c r="AP13" s="368"/>
      <c r="AQ13" s="368"/>
      <c r="AR13" s="368"/>
      <c r="AS13" s="368"/>
      <c r="AT13" s="368"/>
      <c r="AU13" s="368"/>
      <c r="AV13" s="368"/>
      <c r="AW13" s="368"/>
      <c r="AX13" s="368"/>
      <c r="AY13" s="368"/>
      <c r="AZ13" s="368"/>
      <c r="BA13" s="368"/>
      <c r="BB13" s="373"/>
      <c r="BE13" s="187">
        <v>11</v>
      </c>
      <c r="BF13" s="317" t="s">
        <v>383</v>
      </c>
      <c r="BG13" s="317" t="s">
        <v>270</v>
      </c>
      <c r="BH13" s="317" t="s">
        <v>417</v>
      </c>
      <c r="BI13" s="317" t="s">
        <v>352</v>
      </c>
      <c r="BJ13" s="317" t="s">
        <v>352</v>
      </c>
      <c r="BK13" s="318" t="s">
        <v>352</v>
      </c>
      <c r="BL13" s="215" t="s">
        <v>724</v>
      </c>
      <c r="BM13" s="209" t="s">
        <v>724</v>
      </c>
      <c r="BN13" s="209"/>
      <c r="BO13" s="209"/>
      <c r="BP13" s="209"/>
      <c r="BQ13" s="210"/>
      <c r="BR13" s="362"/>
      <c r="BS13" s="319"/>
      <c r="BT13" s="317"/>
      <c r="BU13" s="320"/>
      <c r="BW13" s="285" t="b">
        <v>0</v>
      </c>
      <c r="BX13" s="192" t="s">
        <v>78</v>
      </c>
      <c r="BY13" s="178"/>
      <c r="BZ13" s="178"/>
      <c r="CA13" s="178"/>
      <c r="CB13" s="178"/>
      <c r="CC13" s="193"/>
      <c r="CD13" s="193"/>
      <c r="CE13" s="193"/>
      <c r="CF13" s="178"/>
      <c r="CG13" s="178"/>
      <c r="CH13" s="178"/>
    </row>
    <row r="14" spans="1:96" ht="22.5" customHeight="1" thickBot="1">
      <c r="A14" s="201" t="s">
        <v>251</v>
      </c>
      <c r="B14" s="363" t="s">
        <v>227</v>
      </c>
      <c r="C14" s="364"/>
      <c r="D14" s="364"/>
      <c r="E14" s="364"/>
      <c r="F14" s="365"/>
      <c r="G14" s="366"/>
      <c r="H14" s="366"/>
      <c r="I14" s="366"/>
      <c r="J14" s="366"/>
      <c r="K14" s="366"/>
      <c r="L14" s="366"/>
      <c r="M14" s="366"/>
      <c r="N14" s="366"/>
      <c r="O14" s="366"/>
      <c r="P14" s="366"/>
      <c r="Q14" s="366"/>
      <c r="R14" s="366"/>
      <c r="S14" s="366"/>
      <c r="T14" s="366"/>
      <c r="U14" s="366"/>
      <c r="V14" s="366"/>
      <c r="W14" s="366"/>
      <c r="X14" s="366"/>
      <c r="Y14" s="366"/>
      <c r="Z14" s="366"/>
      <c r="AA14" s="366"/>
      <c r="AC14" s="367"/>
      <c r="AD14" s="368"/>
      <c r="AE14" s="368"/>
      <c r="AF14" s="368"/>
      <c r="AG14" s="368"/>
      <c r="AH14" s="368"/>
      <c r="AI14" s="368"/>
      <c r="AJ14" s="369"/>
      <c r="AK14" s="370"/>
      <c r="AL14" s="371"/>
      <c r="AM14" s="204"/>
      <c r="AN14" s="372"/>
      <c r="AO14" s="368"/>
      <c r="AP14" s="368"/>
      <c r="AQ14" s="368"/>
      <c r="AR14" s="368"/>
      <c r="AS14" s="368"/>
      <c r="AT14" s="368"/>
      <c r="AU14" s="368"/>
      <c r="AV14" s="368"/>
      <c r="AW14" s="368"/>
      <c r="AX14" s="368"/>
      <c r="AY14" s="368"/>
      <c r="AZ14" s="368"/>
      <c r="BA14" s="368"/>
      <c r="BB14" s="373"/>
      <c r="BE14" s="187">
        <v>12</v>
      </c>
      <c r="BF14" s="317" t="s">
        <v>382</v>
      </c>
      <c r="BG14" s="317" t="s">
        <v>269</v>
      </c>
      <c r="BH14" s="317" t="s">
        <v>418</v>
      </c>
      <c r="BI14" s="317" t="s">
        <v>353</v>
      </c>
      <c r="BJ14" s="317" t="s">
        <v>353</v>
      </c>
      <c r="BK14" s="318" t="s">
        <v>353</v>
      </c>
      <c r="BL14" s="215" t="s">
        <v>724</v>
      </c>
      <c r="BM14" s="209"/>
      <c r="BN14" s="209"/>
      <c r="BO14" s="209"/>
      <c r="BP14" s="209"/>
      <c r="BQ14" s="210"/>
      <c r="BR14" s="362"/>
      <c r="BS14" s="319"/>
      <c r="BT14" s="317"/>
      <c r="BU14" s="320"/>
      <c r="BW14" s="285" t="b">
        <v>0</v>
      </c>
      <c r="BX14" s="192" t="s">
        <v>79</v>
      </c>
      <c r="BY14" s="178"/>
      <c r="BZ14" s="178"/>
      <c r="CA14" s="178"/>
      <c r="CB14" s="178"/>
      <c r="CC14" s="178"/>
      <c r="CD14" s="178"/>
      <c r="CE14" s="178"/>
      <c r="CF14" s="178"/>
      <c r="CG14" s="178"/>
      <c r="CH14" s="178"/>
    </row>
    <row r="15" spans="1:96" ht="22.5" customHeight="1" thickTop="1">
      <c r="B15" s="739" t="s">
        <v>264</v>
      </c>
      <c r="C15" s="740"/>
      <c r="D15" s="740"/>
      <c r="E15" s="740"/>
      <c r="F15" s="741"/>
      <c r="G15" s="385">
        <f ca="1">IFERROR(INDEX(INDIRECT("'"&amp;G$3&amp;"'!X:X"),MATCH($D$1,INDIRECT("'"&amp;G$3&amp;"'!A:A"),0)),"")</f>
        <v>764721.67200000002</v>
      </c>
      <c r="H15" s="385"/>
      <c r="I15" s="385"/>
      <c r="J15" s="385" t="str">
        <f ca="1">IFERROR(INDEX(INDIRECT("'"&amp;J$3&amp;"'!X:X"),MATCH($D$1,INDIRECT("'"&amp;J$3&amp;"'!A:A"),0)),"")</f>
        <v/>
      </c>
      <c r="K15" s="385"/>
      <c r="L15" s="385"/>
      <c r="M15" s="385" t="str">
        <f ca="1">IFERROR(INDEX(INDIRECT("'"&amp;M$3&amp;"'!X:X"),MATCH($D$1,INDIRECT("'"&amp;M$3&amp;"'!A:A"),0)),"")</f>
        <v/>
      </c>
      <c r="N15" s="385"/>
      <c r="O15" s="385"/>
      <c r="P15" s="385" t="str">
        <f ca="1">IFERROR(INDEX(INDIRECT("'"&amp;P$3&amp;"'!X:X"),MATCH($D$1,INDIRECT("'"&amp;P$3&amp;"'!A:A"),0)),"")</f>
        <v/>
      </c>
      <c r="Q15" s="385"/>
      <c r="R15" s="385"/>
      <c r="S15" s="385" t="str">
        <f ca="1">IFERROR(INDEX(INDIRECT("'"&amp;S$3&amp;"'!X:X"),MATCH($D$1,INDIRECT("'"&amp;S$3&amp;"'!A:A"),0)),"")</f>
        <v/>
      </c>
      <c r="T15" s="385"/>
      <c r="U15" s="385"/>
      <c r="V15" s="386" t="s">
        <v>266</v>
      </c>
      <c r="W15" s="387"/>
      <c r="X15" s="388">
        <f ca="1">AVERAGE(G15:U15)</f>
        <v>764721.67200000002</v>
      </c>
      <c r="Y15" s="388"/>
      <c r="Z15" s="388"/>
      <c r="AA15" s="389"/>
      <c r="AB15" s="162"/>
      <c r="BE15" s="187">
        <v>13</v>
      </c>
      <c r="BF15" s="317" t="s">
        <v>382</v>
      </c>
      <c r="BG15" s="317" t="s">
        <v>269</v>
      </c>
      <c r="BH15" s="317" t="s">
        <v>419</v>
      </c>
      <c r="BI15" s="317" t="s">
        <v>354</v>
      </c>
      <c r="BJ15" s="317" t="s">
        <v>354</v>
      </c>
      <c r="BK15" s="318" t="s">
        <v>354</v>
      </c>
      <c r="BL15" s="215"/>
      <c r="BM15" s="209"/>
      <c r="BN15" s="209"/>
      <c r="BO15" s="209"/>
      <c r="BP15" s="209"/>
      <c r="BQ15" s="210"/>
      <c r="BR15" s="362"/>
      <c r="BS15" s="319"/>
      <c r="BT15" s="317"/>
      <c r="BU15" s="320"/>
      <c r="BW15" s="285" t="b">
        <v>0</v>
      </c>
      <c r="BX15" s="192" t="s">
        <v>80</v>
      </c>
      <c r="BY15" s="178"/>
      <c r="BZ15" s="178"/>
      <c r="CA15" s="178"/>
      <c r="CB15" s="178"/>
      <c r="CC15" s="178"/>
      <c r="CD15" s="178"/>
      <c r="CE15" s="178"/>
      <c r="CF15" s="178"/>
      <c r="CG15" s="178"/>
      <c r="CH15" s="178"/>
    </row>
    <row r="16" spans="1:96" s="164" customFormat="1" ht="22.5" customHeight="1">
      <c r="V16" s="220"/>
      <c r="W16" s="220"/>
      <c r="X16" s="220"/>
      <c r="Y16" s="220"/>
      <c r="Z16" s="220"/>
      <c r="AA16" s="220"/>
      <c r="AB16" s="162"/>
      <c r="AC16" s="374" t="s">
        <v>236</v>
      </c>
      <c r="AD16" s="375"/>
      <c r="AE16" s="375"/>
      <c r="AF16" s="375"/>
      <c r="AG16" s="375"/>
      <c r="AH16" s="375"/>
      <c r="AI16" s="375"/>
      <c r="AJ16" s="376"/>
      <c r="AK16" s="377" t="s">
        <v>254</v>
      </c>
      <c r="AL16" s="378"/>
      <c r="AM16" s="379"/>
      <c r="AN16" s="380" t="s">
        <v>27</v>
      </c>
      <c r="AO16" s="378"/>
      <c r="AP16" s="381"/>
      <c r="AQ16" s="377" t="s">
        <v>226</v>
      </c>
      <c r="AR16" s="378"/>
      <c r="AS16" s="379"/>
      <c r="AT16" s="380" t="s">
        <v>14</v>
      </c>
      <c r="AU16" s="378"/>
      <c r="AV16" s="381"/>
      <c r="AW16" s="377" t="s">
        <v>22</v>
      </c>
      <c r="AX16" s="378"/>
      <c r="AY16" s="379"/>
      <c r="AZ16" s="380" t="s">
        <v>1</v>
      </c>
      <c r="BA16" s="378"/>
      <c r="BB16" s="379"/>
      <c r="BE16" s="187">
        <v>14</v>
      </c>
      <c r="BF16" s="317" t="s">
        <v>382</v>
      </c>
      <c r="BG16" s="317" t="s">
        <v>269</v>
      </c>
      <c r="BH16" s="317" t="s">
        <v>420</v>
      </c>
      <c r="BI16" s="317" t="s">
        <v>355</v>
      </c>
      <c r="BJ16" s="317" t="s">
        <v>355</v>
      </c>
      <c r="BK16" s="318" t="s">
        <v>355</v>
      </c>
      <c r="BL16" s="215"/>
      <c r="BM16" s="209"/>
      <c r="BN16" s="209"/>
      <c r="BO16" s="209"/>
      <c r="BP16" s="209"/>
      <c r="BQ16" s="210"/>
      <c r="BR16" s="319"/>
      <c r="BS16" s="317"/>
      <c r="BT16" s="317"/>
      <c r="BU16" s="320"/>
      <c r="BW16" s="285" t="b">
        <v>0</v>
      </c>
      <c r="BX16" s="192" t="s">
        <v>81</v>
      </c>
      <c r="BY16" s="194"/>
      <c r="BZ16" s="194"/>
      <c r="CA16" s="194"/>
      <c r="CB16" s="194"/>
      <c r="CC16" s="194"/>
      <c r="CD16" s="194"/>
      <c r="CE16" s="194"/>
      <c r="CF16" s="194"/>
      <c r="CG16" s="194"/>
      <c r="CH16" s="194"/>
      <c r="CJ16" s="161"/>
    </row>
    <row r="17" spans="2:86" ht="22.5" customHeight="1">
      <c r="B17" s="850">
        <f ca="1">NOW()</f>
        <v>46202.751855324073</v>
      </c>
      <c r="C17" s="851"/>
      <c r="D17" s="851"/>
      <c r="E17" s="851"/>
      <c r="F17" s="852"/>
      <c r="G17" s="303" t="s">
        <v>777</v>
      </c>
      <c r="H17" s="304"/>
      <c r="I17" s="305"/>
      <c r="J17" s="303" t="s">
        <v>778</v>
      </c>
      <c r="K17" s="304"/>
      <c r="L17" s="305"/>
      <c r="M17" s="303" t="s">
        <v>779</v>
      </c>
      <c r="N17" s="304"/>
      <c r="O17" s="305"/>
      <c r="P17" s="303" t="s">
        <v>780</v>
      </c>
      <c r="Q17" s="304"/>
      <c r="R17" s="305"/>
      <c r="S17" s="303" t="s">
        <v>781</v>
      </c>
      <c r="T17" s="304"/>
      <c r="U17" s="305"/>
      <c r="V17" s="853" t="s">
        <v>782</v>
      </c>
      <c r="W17" s="854"/>
      <c r="X17" s="855"/>
      <c r="AB17" s="165"/>
      <c r="AC17" s="392" t="s">
        <v>234</v>
      </c>
      <c r="AD17" s="393"/>
      <c r="AE17" s="393"/>
      <c r="AF17" s="394"/>
      <c r="AG17" s="398" t="s">
        <v>262</v>
      </c>
      <c r="AH17" s="399"/>
      <c r="AI17" s="399"/>
      <c r="AJ17" s="400"/>
      <c r="AK17" s="401">
        <v>10.8</v>
      </c>
      <c r="AL17" s="402"/>
      <c r="AM17" s="403"/>
      <c r="AN17" s="404">
        <v>10.8</v>
      </c>
      <c r="AO17" s="402"/>
      <c r="AP17" s="405"/>
      <c r="AQ17" s="401"/>
      <c r="AR17" s="402"/>
      <c r="AS17" s="403"/>
      <c r="AT17" s="404"/>
      <c r="AU17" s="402"/>
      <c r="AV17" s="405"/>
      <c r="AW17" s="401"/>
      <c r="AX17" s="402"/>
      <c r="AY17" s="403"/>
      <c r="AZ17" s="404"/>
      <c r="BA17" s="402"/>
      <c r="BB17" s="403"/>
      <c r="BE17" s="187">
        <v>15</v>
      </c>
      <c r="BF17" s="317" t="s">
        <v>381</v>
      </c>
      <c r="BG17" s="317" t="s">
        <v>268</v>
      </c>
      <c r="BH17" s="317" t="s">
        <v>421</v>
      </c>
      <c r="BI17" s="317" t="s">
        <v>356</v>
      </c>
      <c r="BJ17" s="317" t="s">
        <v>356</v>
      </c>
      <c r="BK17" s="318" t="s">
        <v>356</v>
      </c>
      <c r="BL17" s="215" t="s">
        <v>724</v>
      </c>
      <c r="BM17" s="209" t="s">
        <v>724</v>
      </c>
      <c r="BN17" s="209"/>
      <c r="BO17" s="209"/>
      <c r="BP17" s="209"/>
      <c r="BQ17" s="210"/>
      <c r="BR17" s="319"/>
      <c r="BS17" s="317"/>
      <c r="BT17" s="317"/>
      <c r="BU17" s="320"/>
      <c r="BX17" s="178"/>
      <c r="BY17" s="178"/>
      <c r="BZ17" s="178"/>
      <c r="CA17" s="178"/>
      <c r="CB17" s="178"/>
      <c r="CC17" s="178"/>
      <c r="CD17" s="178"/>
      <c r="CE17" s="178"/>
      <c r="CF17" s="178"/>
      <c r="CG17" s="178"/>
      <c r="CH17" s="178"/>
    </row>
    <row r="18" spans="2:86" ht="22.5" customHeight="1">
      <c r="B18" s="335" t="s">
        <v>32</v>
      </c>
      <c r="C18" s="336"/>
      <c r="D18" s="336"/>
      <c r="E18" s="336"/>
      <c r="F18" s="337"/>
      <c r="G18" s="321">
        <v>20</v>
      </c>
      <c r="H18" s="321"/>
      <c r="I18" s="321"/>
      <c r="J18" s="321">
        <v>20</v>
      </c>
      <c r="K18" s="321"/>
      <c r="L18" s="321"/>
      <c r="M18" s="321">
        <v>20</v>
      </c>
      <c r="N18" s="321"/>
      <c r="O18" s="321"/>
      <c r="P18" s="321"/>
      <c r="Q18" s="321"/>
      <c r="R18" s="321"/>
      <c r="S18" s="321"/>
      <c r="T18" s="321"/>
      <c r="U18" s="321"/>
      <c r="V18" s="782"/>
      <c r="W18" s="782"/>
      <c r="X18" s="782"/>
      <c r="AB18" s="162"/>
      <c r="AC18" s="395"/>
      <c r="AD18" s="396"/>
      <c r="AE18" s="396"/>
      <c r="AF18" s="397"/>
      <c r="AG18" s="407" t="s">
        <v>50</v>
      </c>
      <c r="AH18" s="408"/>
      <c r="AI18" s="408"/>
      <c r="AJ18" s="409"/>
      <c r="AK18" s="410">
        <f>30/160</f>
        <v>0.1875</v>
      </c>
      <c r="AL18" s="411"/>
      <c r="AM18" s="412"/>
      <c r="AN18" s="413">
        <v>0.3</v>
      </c>
      <c r="AO18" s="411"/>
      <c r="AP18" s="414"/>
      <c r="AQ18" s="410"/>
      <c r="AR18" s="411"/>
      <c r="AS18" s="412"/>
      <c r="AT18" s="413"/>
      <c r="AU18" s="411"/>
      <c r="AV18" s="414"/>
      <c r="AW18" s="410"/>
      <c r="AX18" s="411"/>
      <c r="AY18" s="412"/>
      <c r="AZ18" s="413"/>
      <c r="BA18" s="411"/>
      <c r="BB18" s="412"/>
      <c r="BE18" s="187">
        <v>16</v>
      </c>
      <c r="BF18" s="317"/>
      <c r="BG18" s="317"/>
      <c r="BH18" s="317"/>
      <c r="BI18" s="317"/>
      <c r="BJ18" s="317"/>
      <c r="BK18" s="318"/>
      <c r="BL18" s="215"/>
      <c r="BM18" s="209"/>
      <c r="BN18" s="209"/>
      <c r="BO18" s="209"/>
      <c r="BP18" s="209"/>
      <c r="BQ18" s="210"/>
      <c r="BR18" s="319"/>
      <c r="BS18" s="317"/>
      <c r="BT18" s="317"/>
      <c r="BU18" s="320"/>
      <c r="BW18" s="181" t="s">
        <v>949</v>
      </c>
      <c r="BX18" s="179"/>
      <c r="BY18" s="179"/>
      <c r="BZ18" s="179"/>
      <c r="CA18" s="179"/>
      <c r="CB18" s="179"/>
      <c r="CC18" s="179"/>
      <c r="CD18" s="179"/>
      <c r="CE18" s="179"/>
      <c r="CF18" s="179"/>
      <c r="CG18" s="179"/>
      <c r="CH18" s="179"/>
    </row>
    <row r="19" spans="2:86" ht="22.5" customHeight="1">
      <c r="B19" s="858" t="s">
        <v>225</v>
      </c>
      <c r="C19" s="775"/>
      <c r="D19" s="775"/>
      <c r="E19" s="775"/>
      <c r="F19" s="859"/>
      <c r="G19" s="334">
        <v>598</v>
      </c>
      <c r="H19" s="334"/>
      <c r="I19" s="334"/>
      <c r="J19" s="334">
        <v>598</v>
      </c>
      <c r="K19" s="334"/>
      <c r="L19" s="334"/>
      <c r="M19" s="334">
        <v>598</v>
      </c>
      <c r="N19" s="334"/>
      <c r="O19" s="334"/>
      <c r="P19" s="334"/>
      <c r="Q19" s="334"/>
      <c r="R19" s="334"/>
      <c r="S19" s="334"/>
      <c r="T19" s="334"/>
      <c r="U19" s="334"/>
      <c r="V19" s="784"/>
      <c r="W19" s="784"/>
      <c r="X19" s="784"/>
      <c r="AB19" s="162"/>
      <c r="AC19" s="446">
        <v>10.6</v>
      </c>
      <c r="AD19" s="447"/>
      <c r="AE19" s="447"/>
      <c r="AF19" s="448"/>
      <c r="AG19" s="452" t="s">
        <v>51</v>
      </c>
      <c r="AH19" s="453"/>
      <c r="AI19" s="453"/>
      <c r="AJ19" s="454"/>
      <c r="AK19" s="421">
        <f>731/160</f>
        <v>4.5687499999999996</v>
      </c>
      <c r="AL19" s="416"/>
      <c r="AM19" s="417"/>
      <c r="AN19" s="415">
        <v>4.3</v>
      </c>
      <c r="AO19" s="416"/>
      <c r="AP19" s="442"/>
      <c r="AQ19" s="421"/>
      <c r="AR19" s="416"/>
      <c r="AS19" s="417"/>
      <c r="AT19" s="415"/>
      <c r="AU19" s="416"/>
      <c r="AV19" s="442"/>
      <c r="AW19" s="421"/>
      <c r="AX19" s="416"/>
      <c r="AY19" s="417"/>
      <c r="AZ19" s="415"/>
      <c r="BA19" s="416"/>
      <c r="BB19" s="417"/>
      <c r="BE19" s="187">
        <v>17</v>
      </c>
      <c r="BF19" s="317"/>
      <c r="BG19" s="317"/>
      <c r="BH19" s="317"/>
      <c r="BI19" s="317"/>
      <c r="BJ19" s="317"/>
      <c r="BK19" s="318"/>
      <c r="BL19" s="215"/>
      <c r="BM19" s="209"/>
      <c r="BN19" s="209"/>
      <c r="BO19" s="209"/>
      <c r="BP19" s="209"/>
      <c r="BQ19" s="210"/>
      <c r="BR19" s="319"/>
      <c r="BS19" s="317"/>
      <c r="BT19" s="317"/>
      <c r="BU19" s="320"/>
      <c r="BW19" s="285" t="b">
        <v>0</v>
      </c>
      <c r="BX19" s="178" t="s">
        <v>100</v>
      </c>
      <c r="BY19" s="178"/>
      <c r="BZ19" s="178"/>
      <c r="CA19" s="178"/>
      <c r="CB19" s="178"/>
      <c r="CC19" s="178"/>
      <c r="CD19" s="178"/>
      <c r="CE19" s="178"/>
      <c r="CF19" s="178"/>
      <c r="CG19" s="178"/>
      <c r="CH19" s="178"/>
    </row>
    <row r="20" spans="2:86" ht="22.5" customHeight="1">
      <c r="B20" s="338" t="s">
        <v>33</v>
      </c>
      <c r="C20" s="339"/>
      <c r="D20" s="339"/>
      <c r="E20" s="339"/>
      <c r="F20" s="340"/>
      <c r="G20" s="341">
        <f>G19/600</f>
        <v>0.9966666666666667</v>
      </c>
      <c r="H20" s="341"/>
      <c r="I20" s="341"/>
      <c r="J20" s="341">
        <f>J19/600</f>
        <v>0.9966666666666667</v>
      </c>
      <c r="K20" s="341"/>
      <c r="L20" s="341"/>
      <c r="M20" s="341">
        <f>M19/600</f>
        <v>0.9966666666666667</v>
      </c>
      <c r="N20" s="341"/>
      <c r="O20" s="341"/>
      <c r="P20" s="341"/>
      <c r="Q20" s="341"/>
      <c r="R20" s="341"/>
      <c r="S20" s="341"/>
      <c r="T20" s="341"/>
      <c r="U20" s="341"/>
      <c r="V20" s="786"/>
      <c r="W20" s="786"/>
      <c r="X20" s="786"/>
      <c r="AB20" s="162"/>
      <c r="AC20" s="446"/>
      <c r="AD20" s="447"/>
      <c r="AE20" s="447"/>
      <c r="AF20" s="448"/>
      <c r="AG20" s="439" t="s">
        <v>232</v>
      </c>
      <c r="AH20" s="440"/>
      <c r="AI20" s="440"/>
      <c r="AJ20" s="441"/>
      <c r="AK20" s="410">
        <f>(160+144+8)/160</f>
        <v>1.95</v>
      </c>
      <c r="AL20" s="411"/>
      <c r="AM20" s="412"/>
      <c r="AN20" s="413">
        <v>2.7</v>
      </c>
      <c r="AO20" s="411"/>
      <c r="AP20" s="414"/>
      <c r="AQ20" s="410"/>
      <c r="AR20" s="411"/>
      <c r="AS20" s="412"/>
      <c r="AT20" s="413"/>
      <c r="AU20" s="411"/>
      <c r="AV20" s="414"/>
      <c r="AW20" s="410"/>
      <c r="AX20" s="411"/>
      <c r="AY20" s="412"/>
      <c r="AZ20" s="413"/>
      <c r="BA20" s="411"/>
      <c r="BB20" s="412"/>
      <c r="BE20" s="187">
        <v>18</v>
      </c>
      <c r="BF20" s="317"/>
      <c r="BG20" s="317"/>
      <c r="BH20" s="317"/>
      <c r="BI20" s="317"/>
      <c r="BJ20" s="317"/>
      <c r="BK20" s="318"/>
      <c r="BL20" s="215"/>
      <c r="BM20" s="209"/>
      <c r="BN20" s="209"/>
      <c r="BO20" s="209"/>
      <c r="BP20" s="209"/>
      <c r="BQ20" s="210"/>
      <c r="BR20" s="319"/>
      <c r="BS20" s="317"/>
      <c r="BT20" s="317"/>
      <c r="BU20" s="320"/>
      <c r="BW20" s="285" t="b">
        <v>0</v>
      </c>
      <c r="BX20" s="178" t="s">
        <v>98</v>
      </c>
      <c r="BY20" s="178"/>
      <c r="BZ20" s="178"/>
      <c r="CA20" s="194"/>
      <c r="CB20" s="193"/>
      <c r="CC20" s="178"/>
      <c r="CD20" s="178"/>
      <c r="CE20" s="178"/>
      <c r="CF20" s="178"/>
      <c r="CG20" s="178"/>
      <c r="CH20" s="178"/>
    </row>
    <row r="21" spans="2:86" ht="22.5" customHeight="1" thickBot="1">
      <c r="B21" s="858" t="s">
        <v>783</v>
      </c>
      <c r="C21" s="775"/>
      <c r="D21" s="775"/>
      <c r="E21" s="775"/>
      <c r="F21" s="859"/>
      <c r="G21" s="860">
        <v>600</v>
      </c>
      <c r="H21" s="860"/>
      <c r="I21" s="860"/>
      <c r="J21" s="860">
        <v>600</v>
      </c>
      <c r="K21" s="860"/>
      <c r="L21" s="860"/>
      <c r="M21" s="860">
        <v>600</v>
      </c>
      <c r="N21" s="860"/>
      <c r="O21" s="860"/>
      <c r="P21" s="860"/>
      <c r="Q21" s="860"/>
      <c r="R21" s="860"/>
      <c r="S21" s="860"/>
      <c r="T21" s="860"/>
      <c r="U21" s="860"/>
      <c r="V21" s="786"/>
      <c r="W21" s="786"/>
      <c r="X21" s="786"/>
      <c r="AB21" s="162"/>
      <c r="AC21" s="446"/>
      <c r="AD21" s="447"/>
      <c r="AE21" s="447"/>
      <c r="AF21" s="448"/>
      <c r="AG21" s="443" t="s">
        <v>233</v>
      </c>
      <c r="AH21" s="444"/>
      <c r="AI21" s="444"/>
      <c r="AJ21" s="445"/>
      <c r="AK21" s="421">
        <f>118/160</f>
        <v>0.73750000000000004</v>
      </c>
      <c r="AL21" s="416"/>
      <c r="AM21" s="417"/>
      <c r="AN21" s="415">
        <v>0.8</v>
      </c>
      <c r="AO21" s="416"/>
      <c r="AP21" s="442"/>
      <c r="AQ21" s="421"/>
      <c r="AR21" s="416"/>
      <c r="AS21" s="417"/>
      <c r="AT21" s="415"/>
      <c r="AU21" s="416"/>
      <c r="AV21" s="442"/>
      <c r="AW21" s="421"/>
      <c r="AX21" s="416"/>
      <c r="AY21" s="417"/>
      <c r="AZ21" s="415"/>
      <c r="BA21" s="416"/>
      <c r="BB21" s="417"/>
      <c r="BE21" s="187">
        <v>19</v>
      </c>
      <c r="BF21" s="317"/>
      <c r="BG21" s="317"/>
      <c r="BH21" s="317"/>
      <c r="BI21" s="317"/>
      <c r="BJ21" s="317"/>
      <c r="BK21" s="318"/>
      <c r="BL21" s="215"/>
      <c r="BM21" s="209"/>
      <c r="BN21" s="209"/>
      <c r="BO21" s="209"/>
      <c r="BP21" s="209"/>
      <c r="BQ21" s="210"/>
      <c r="BR21" s="319"/>
      <c r="BS21" s="317"/>
      <c r="BT21" s="317"/>
      <c r="BU21" s="320"/>
      <c r="BW21" s="285" t="b">
        <v>0</v>
      </c>
      <c r="BX21" s="178" t="s">
        <v>99</v>
      </c>
      <c r="BY21" s="178"/>
      <c r="BZ21" s="178"/>
      <c r="CA21" s="194"/>
      <c r="CB21" s="193"/>
      <c r="CC21" s="178"/>
      <c r="CD21" s="178"/>
      <c r="CE21" s="178"/>
      <c r="CF21" s="178"/>
      <c r="CG21" s="178"/>
      <c r="CH21" s="178"/>
    </row>
    <row r="22" spans="2:86" ht="22.5" customHeight="1" thickTop="1">
      <c r="B22" s="338" t="s">
        <v>784</v>
      </c>
      <c r="C22" s="339"/>
      <c r="D22" s="339"/>
      <c r="E22" s="339"/>
      <c r="F22" s="340"/>
      <c r="G22" s="341"/>
      <c r="H22" s="341"/>
      <c r="I22" s="341"/>
      <c r="J22" s="341"/>
      <c r="K22" s="341"/>
      <c r="L22" s="341"/>
      <c r="M22" s="341"/>
      <c r="N22" s="341"/>
      <c r="O22" s="341"/>
      <c r="P22" s="341"/>
      <c r="Q22" s="341"/>
      <c r="R22" s="341"/>
      <c r="S22" s="341"/>
      <c r="T22" s="341"/>
      <c r="U22" s="341"/>
      <c r="V22" s="786"/>
      <c r="W22" s="786"/>
      <c r="X22" s="786"/>
      <c r="AB22" s="162"/>
      <c r="AC22" s="449"/>
      <c r="AD22" s="450"/>
      <c r="AE22" s="450"/>
      <c r="AF22" s="451"/>
      <c r="AG22" s="418" t="s">
        <v>235</v>
      </c>
      <c r="AH22" s="419"/>
      <c r="AI22" s="419"/>
      <c r="AJ22" s="420"/>
      <c r="AK22" s="462">
        <f>IFERROR((AK20+AK21)/AK17,"")</f>
        <v>0.24884259259259259</v>
      </c>
      <c r="AL22" s="463"/>
      <c r="AM22" s="464"/>
      <c r="AN22" s="462">
        <f>IFERROR((AN20+AN21)/AN17,"")</f>
        <v>0.32407407407407407</v>
      </c>
      <c r="AO22" s="463"/>
      <c r="AP22" s="464"/>
      <c r="AQ22" s="462" t="str">
        <f>IFERROR((AQ20+AQ21)/AQ17,"")</f>
        <v/>
      </c>
      <c r="AR22" s="463"/>
      <c r="AS22" s="464"/>
      <c r="AT22" s="462" t="str">
        <f>IFERROR((AT20+AT21)/AT17,"")</f>
        <v/>
      </c>
      <c r="AU22" s="463"/>
      <c r="AV22" s="464"/>
      <c r="AW22" s="462" t="str">
        <f>IFERROR((AW20+AW21)/AW17,"")</f>
        <v/>
      </c>
      <c r="AX22" s="463"/>
      <c r="AY22" s="464"/>
      <c r="AZ22" s="462" t="str">
        <f>IFERROR((AZ20+AZ21)/AZ17,"")</f>
        <v/>
      </c>
      <c r="BA22" s="463"/>
      <c r="BB22" s="464"/>
      <c r="BE22" s="187">
        <v>20</v>
      </c>
      <c r="BF22" s="317"/>
      <c r="BG22" s="317"/>
      <c r="BH22" s="317"/>
      <c r="BI22" s="317"/>
      <c r="BJ22" s="317"/>
      <c r="BK22" s="318"/>
      <c r="BL22" s="215"/>
      <c r="BM22" s="209"/>
      <c r="BN22" s="209"/>
      <c r="BO22" s="209"/>
      <c r="BP22" s="209"/>
      <c r="BQ22" s="210"/>
      <c r="BR22" s="319"/>
      <c r="BS22" s="317"/>
      <c r="BT22" s="317"/>
      <c r="BU22" s="320"/>
      <c r="BW22" s="285" t="b">
        <v>0</v>
      </c>
      <c r="BX22" s="192" t="s">
        <v>95</v>
      </c>
      <c r="BY22" s="178"/>
      <c r="BZ22" s="178"/>
      <c r="CA22" s="194"/>
      <c r="CB22" s="193"/>
      <c r="CC22" s="178"/>
      <c r="CD22" s="178"/>
      <c r="CE22" s="178"/>
      <c r="CF22" s="178"/>
      <c r="CG22" s="178"/>
      <c r="CH22" s="178"/>
    </row>
    <row r="23" spans="2:86" ht="22.5" customHeight="1">
      <c r="B23" s="735" t="s">
        <v>224</v>
      </c>
      <c r="C23" s="736"/>
      <c r="D23" s="736"/>
      <c r="E23" s="736"/>
      <c r="F23" s="737"/>
      <c r="G23" s="321">
        <v>51</v>
      </c>
      <c r="H23" s="321"/>
      <c r="I23" s="321"/>
      <c r="J23" s="321">
        <v>55</v>
      </c>
      <c r="K23" s="321"/>
      <c r="L23" s="321"/>
      <c r="M23" s="321">
        <v>55</v>
      </c>
      <c r="N23" s="321"/>
      <c r="O23" s="321"/>
      <c r="P23" s="321"/>
      <c r="Q23" s="321"/>
      <c r="R23" s="321"/>
      <c r="S23" s="321" t="str">
        <f ca="1">IFERROR(INDEX(INDIRECT("'"&amp;S$3&amp;"'!L:L"),MATCH($D$1,INDIRECT("'"&amp;S$3&amp;"'!A:A"),0)),"")</f>
        <v/>
      </c>
      <c r="T23" s="321"/>
      <c r="U23" s="321"/>
      <c r="V23" s="782" t="str">
        <f ca="1">IFERROR(INDEX(INDIRECT("'"&amp;#REF!&amp;"'!L:L"),MATCH($D$1,INDIRECT("'"&amp;#REF!&amp;"'!A:A"),0)),"")</f>
        <v/>
      </c>
      <c r="W23" s="782"/>
      <c r="X23" s="782"/>
      <c r="AB23" s="162"/>
      <c r="BE23" s="187">
        <v>21</v>
      </c>
      <c r="BF23" s="317"/>
      <c r="BG23" s="317"/>
      <c r="BH23" s="317"/>
      <c r="BI23" s="317"/>
      <c r="BJ23" s="317"/>
      <c r="BK23" s="318"/>
      <c r="BL23" s="215"/>
      <c r="BM23" s="209"/>
      <c r="BN23" s="209"/>
      <c r="BO23" s="209"/>
      <c r="BP23" s="209"/>
      <c r="BQ23" s="210"/>
      <c r="BR23" s="319"/>
      <c r="BS23" s="317"/>
      <c r="BT23" s="317"/>
      <c r="BU23" s="320"/>
      <c r="BW23" s="285" t="b">
        <v>0</v>
      </c>
      <c r="BX23" s="192" t="s">
        <v>94</v>
      </c>
      <c r="BY23" s="178"/>
      <c r="BZ23" s="178"/>
      <c r="CA23" s="194"/>
      <c r="CB23" s="193"/>
      <c r="CC23" s="178"/>
      <c r="CD23" s="178"/>
      <c r="CE23" s="178"/>
      <c r="CF23" s="178"/>
      <c r="CG23" s="178"/>
      <c r="CH23" s="178"/>
    </row>
    <row r="24" spans="2:86" ht="22.5" customHeight="1">
      <c r="B24" s="338" t="s">
        <v>34</v>
      </c>
      <c r="C24" s="339"/>
      <c r="D24" s="339"/>
      <c r="E24" s="339"/>
      <c r="F24" s="340"/>
      <c r="G24" s="341">
        <f>G23/60</f>
        <v>0.85</v>
      </c>
      <c r="H24" s="341"/>
      <c r="I24" s="341"/>
      <c r="J24" s="341">
        <f>J23/60</f>
        <v>0.91666666666666663</v>
      </c>
      <c r="K24" s="341"/>
      <c r="L24" s="341"/>
      <c r="M24" s="341">
        <f>M23/60</f>
        <v>0.91666666666666663</v>
      </c>
      <c r="N24" s="341"/>
      <c r="O24" s="341"/>
      <c r="P24" s="341"/>
      <c r="Q24" s="341"/>
      <c r="R24" s="341"/>
      <c r="S24" s="341"/>
      <c r="T24" s="341"/>
      <c r="U24" s="341"/>
      <c r="V24" s="786"/>
      <c r="W24" s="786"/>
      <c r="X24" s="786"/>
      <c r="AC24" s="182" t="s">
        <v>240</v>
      </c>
      <c r="AD24" s="182"/>
      <c r="AE24" s="182"/>
      <c r="AF24" s="182"/>
      <c r="AG24" s="182"/>
      <c r="AH24" s="182"/>
      <c r="AI24" s="183"/>
      <c r="AJ24" s="183"/>
      <c r="AK24" s="183"/>
      <c r="AL24" s="183"/>
      <c r="AM24" s="183"/>
      <c r="AN24" s="183"/>
      <c r="AO24" s="184"/>
      <c r="AP24" s="184"/>
      <c r="AQ24" s="184"/>
      <c r="AR24" s="184"/>
      <c r="AS24" s="185"/>
      <c r="AT24" s="185"/>
      <c r="AU24" s="185"/>
      <c r="AV24" s="185"/>
      <c r="AW24" s="186"/>
      <c r="AX24" s="186"/>
      <c r="AY24" s="186"/>
      <c r="AZ24" s="186"/>
      <c r="BA24" s="179"/>
      <c r="BB24" s="179"/>
      <c r="BE24" s="187">
        <v>22</v>
      </c>
      <c r="BF24" s="317"/>
      <c r="BG24" s="317"/>
      <c r="BH24" s="317"/>
      <c r="BI24" s="317"/>
      <c r="BJ24" s="317"/>
      <c r="BK24" s="318"/>
      <c r="BL24" s="215"/>
      <c r="BM24" s="209"/>
      <c r="BN24" s="209"/>
      <c r="BO24" s="209"/>
      <c r="BP24" s="209"/>
      <c r="BQ24" s="210"/>
      <c r="BR24" s="319"/>
      <c r="BS24" s="317"/>
      <c r="BT24" s="317"/>
      <c r="BU24" s="320"/>
      <c r="BW24" s="285" t="b">
        <v>0</v>
      </c>
      <c r="BX24" s="192" t="s">
        <v>93</v>
      </c>
      <c r="BY24" s="178"/>
      <c r="BZ24" s="178"/>
      <c r="CA24" s="194"/>
      <c r="CB24" s="193"/>
      <c r="CC24" s="178"/>
      <c r="CD24" s="178"/>
      <c r="CE24" s="178"/>
      <c r="CF24" s="178"/>
      <c r="CG24" s="178"/>
      <c r="CH24" s="178"/>
    </row>
    <row r="25" spans="2:86" ht="22.5" customHeight="1">
      <c r="B25" s="779"/>
      <c r="C25" s="779"/>
      <c r="D25" s="779"/>
      <c r="E25" s="779"/>
      <c r="F25" s="779"/>
      <c r="G25" s="780"/>
      <c r="H25" s="780"/>
      <c r="I25" s="780"/>
      <c r="J25" s="780"/>
      <c r="K25" s="780"/>
      <c r="L25" s="780"/>
      <c r="M25" s="780"/>
      <c r="N25" s="780"/>
      <c r="O25" s="780"/>
      <c r="P25" s="780"/>
      <c r="Q25" s="780"/>
      <c r="R25" s="780"/>
      <c r="S25" s="780"/>
      <c r="T25" s="780"/>
      <c r="U25" s="780"/>
      <c r="V25" s="713"/>
      <c r="W25" s="713"/>
      <c r="X25" s="713"/>
      <c r="AB25" s="167"/>
      <c r="AC25" s="473"/>
      <c r="AD25" s="474"/>
      <c r="AE25" s="377" t="s">
        <v>254</v>
      </c>
      <c r="AF25" s="378"/>
      <c r="AG25" s="378"/>
      <c r="AH25" s="379"/>
      <c r="AI25" s="380" t="s">
        <v>255</v>
      </c>
      <c r="AJ25" s="378"/>
      <c r="AK25" s="378"/>
      <c r="AL25" s="381"/>
      <c r="AM25" s="377" t="s">
        <v>58</v>
      </c>
      <c r="AN25" s="378"/>
      <c r="AO25" s="378"/>
      <c r="AP25" s="379"/>
      <c r="AQ25" s="380" t="s">
        <v>14</v>
      </c>
      <c r="AR25" s="378"/>
      <c r="AS25" s="378"/>
      <c r="AT25" s="381"/>
      <c r="AU25" s="377" t="s">
        <v>22</v>
      </c>
      <c r="AV25" s="378"/>
      <c r="AW25" s="378"/>
      <c r="AX25" s="379"/>
      <c r="AY25" s="380" t="s">
        <v>1</v>
      </c>
      <c r="AZ25" s="378"/>
      <c r="BA25" s="378"/>
      <c r="BB25" s="379"/>
      <c r="BE25" s="187">
        <v>23</v>
      </c>
      <c r="BF25" s="317"/>
      <c r="BG25" s="317"/>
      <c r="BH25" s="317"/>
      <c r="BI25" s="317"/>
      <c r="BJ25" s="317"/>
      <c r="BK25" s="318"/>
      <c r="BL25" s="215"/>
      <c r="BM25" s="209"/>
      <c r="BN25" s="209"/>
      <c r="BO25" s="209"/>
      <c r="BP25" s="209"/>
      <c r="BQ25" s="210"/>
      <c r="BR25" s="319"/>
      <c r="BS25" s="317"/>
      <c r="BT25" s="317"/>
      <c r="BU25" s="320"/>
      <c r="BW25" s="285" t="b">
        <v>0</v>
      </c>
      <c r="BX25" s="192" t="s">
        <v>92</v>
      </c>
      <c r="BY25" s="178"/>
      <c r="BZ25" s="178"/>
      <c r="CA25" s="194"/>
      <c r="CB25" s="193"/>
      <c r="CC25" s="178"/>
      <c r="CD25" s="178"/>
      <c r="CE25" s="178"/>
      <c r="CF25" s="178"/>
      <c r="CG25" s="178"/>
      <c r="CH25" s="178"/>
    </row>
    <row r="26" spans="2:86" ht="22.5" customHeight="1">
      <c r="B26" s="374" t="s">
        <v>787</v>
      </c>
      <c r="C26" s="375"/>
      <c r="D26" s="375"/>
      <c r="E26" s="375"/>
      <c r="F26" s="375"/>
      <c r="G26" s="375"/>
      <c r="H26" s="375"/>
      <c r="I26" s="376"/>
      <c r="J26" s="377" t="s">
        <v>254</v>
      </c>
      <c r="K26" s="378"/>
      <c r="L26" s="379"/>
      <c r="M26" s="380" t="s">
        <v>27</v>
      </c>
      <c r="N26" s="378"/>
      <c r="O26" s="381"/>
      <c r="P26" s="377" t="s">
        <v>226</v>
      </c>
      <c r="Q26" s="378"/>
      <c r="R26" s="379"/>
      <c r="S26" s="380" t="s">
        <v>14</v>
      </c>
      <c r="T26" s="378"/>
      <c r="U26" s="381"/>
      <c r="V26" s="377" t="s">
        <v>22</v>
      </c>
      <c r="W26" s="378"/>
      <c r="X26" s="379"/>
      <c r="Y26" s="380" t="s">
        <v>1</v>
      </c>
      <c r="Z26" s="378"/>
      <c r="AA26" s="379"/>
      <c r="AB26" s="167"/>
      <c r="AC26" s="475"/>
      <c r="AD26" s="476"/>
      <c r="AE26" s="458" t="s">
        <v>120</v>
      </c>
      <c r="AF26" s="459"/>
      <c r="AG26" s="459" t="s">
        <v>121</v>
      </c>
      <c r="AH26" s="460"/>
      <c r="AI26" s="470" t="s">
        <v>120</v>
      </c>
      <c r="AJ26" s="459"/>
      <c r="AK26" s="459" t="s">
        <v>121</v>
      </c>
      <c r="AL26" s="471"/>
      <c r="AM26" s="458" t="s">
        <v>120</v>
      </c>
      <c r="AN26" s="459"/>
      <c r="AO26" s="459" t="s">
        <v>121</v>
      </c>
      <c r="AP26" s="460"/>
      <c r="AQ26" s="470" t="s">
        <v>120</v>
      </c>
      <c r="AR26" s="459"/>
      <c r="AS26" s="459" t="s">
        <v>121</v>
      </c>
      <c r="AT26" s="471"/>
      <c r="AU26" s="458" t="s">
        <v>120</v>
      </c>
      <c r="AV26" s="459"/>
      <c r="AW26" s="459" t="s">
        <v>121</v>
      </c>
      <c r="AX26" s="460"/>
      <c r="AY26" s="470" t="s">
        <v>120</v>
      </c>
      <c r="AZ26" s="459"/>
      <c r="BA26" s="459" t="s">
        <v>121</v>
      </c>
      <c r="BB26" s="460"/>
      <c r="BE26" s="187">
        <v>24</v>
      </c>
      <c r="BF26" s="317"/>
      <c r="BG26" s="317"/>
      <c r="BH26" s="317"/>
      <c r="BI26" s="317"/>
      <c r="BJ26" s="317"/>
      <c r="BK26" s="318"/>
      <c r="BL26" s="215"/>
      <c r="BM26" s="209"/>
      <c r="BN26" s="209"/>
      <c r="BO26" s="209"/>
      <c r="BP26" s="209"/>
      <c r="BQ26" s="210"/>
      <c r="BR26" s="319"/>
      <c r="BS26" s="317"/>
      <c r="BT26" s="317"/>
      <c r="BU26" s="320"/>
      <c r="BW26" s="285" t="b">
        <v>0</v>
      </c>
      <c r="BX26" s="192" t="s">
        <v>91</v>
      </c>
      <c r="BY26" s="178"/>
      <c r="BZ26" s="178"/>
      <c r="CA26" s="194"/>
      <c r="CB26" s="193"/>
      <c r="CC26" s="178"/>
      <c r="CD26" s="178"/>
      <c r="CE26" s="178"/>
      <c r="CF26" s="178"/>
      <c r="CG26" s="178"/>
      <c r="CH26" s="178"/>
    </row>
    <row r="27" spans="2:86" ht="22.5" customHeight="1">
      <c r="B27" s="819" t="s">
        <v>790</v>
      </c>
      <c r="C27" s="820"/>
      <c r="D27" s="820"/>
      <c r="E27" s="821"/>
      <c r="F27" s="808" t="s">
        <v>117</v>
      </c>
      <c r="G27" s="809"/>
      <c r="H27" s="809"/>
      <c r="I27" s="810"/>
      <c r="J27" s="798">
        <v>30</v>
      </c>
      <c r="K27" s="799"/>
      <c r="L27" s="800"/>
      <c r="M27" s="801">
        <v>71</v>
      </c>
      <c r="N27" s="802"/>
      <c r="O27" s="803"/>
      <c r="P27" s="801">
        <v>28</v>
      </c>
      <c r="Q27" s="802"/>
      <c r="R27" s="803"/>
      <c r="S27" s="804"/>
      <c r="T27" s="790"/>
      <c r="U27" s="805"/>
      <c r="V27" s="789"/>
      <c r="W27" s="790"/>
      <c r="X27" s="791"/>
      <c r="Y27" s="804"/>
      <c r="Z27" s="790"/>
      <c r="AA27" s="791"/>
      <c r="AB27" s="167"/>
      <c r="AC27" s="324" t="s">
        <v>117</v>
      </c>
      <c r="AD27" s="467"/>
      <c r="AE27" s="468">
        <v>4</v>
      </c>
      <c r="AF27" s="469"/>
      <c r="AG27" s="469">
        <v>0</v>
      </c>
      <c r="AH27" s="489"/>
      <c r="AI27" s="482">
        <v>9</v>
      </c>
      <c r="AJ27" s="469"/>
      <c r="AK27" s="469"/>
      <c r="AL27" s="488"/>
      <c r="AM27" s="468">
        <v>4</v>
      </c>
      <c r="AN27" s="469"/>
      <c r="AO27" s="469"/>
      <c r="AP27" s="489"/>
      <c r="AQ27" s="482"/>
      <c r="AR27" s="469"/>
      <c r="AS27" s="469"/>
      <c r="AT27" s="488"/>
      <c r="AU27" s="468"/>
      <c r="AV27" s="469"/>
      <c r="AW27" s="469"/>
      <c r="AX27" s="489"/>
      <c r="AY27" s="482"/>
      <c r="AZ27" s="469"/>
      <c r="BA27" s="469"/>
      <c r="BB27" s="489"/>
      <c r="BE27" s="187">
        <v>25</v>
      </c>
      <c r="BF27" s="317"/>
      <c r="BG27" s="317"/>
      <c r="BH27" s="317"/>
      <c r="BI27" s="317"/>
      <c r="BJ27" s="317"/>
      <c r="BK27" s="318"/>
      <c r="BL27" s="215"/>
      <c r="BM27" s="209"/>
      <c r="BN27" s="209"/>
      <c r="BO27" s="209"/>
      <c r="BP27" s="209"/>
      <c r="BQ27" s="210"/>
      <c r="BR27" s="319"/>
      <c r="BS27" s="317"/>
      <c r="BT27" s="317"/>
      <c r="BU27" s="320"/>
      <c r="BW27" s="285" t="b">
        <v>0</v>
      </c>
      <c r="BX27" s="178" t="s">
        <v>90</v>
      </c>
      <c r="BY27" s="178"/>
      <c r="BZ27" s="178"/>
      <c r="CA27" s="194"/>
      <c r="CB27" s="193"/>
      <c r="CC27" s="178"/>
      <c r="CD27" s="178"/>
      <c r="CE27" s="178"/>
      <c r="CF27" s="178"/>
      <c r="CG27" s="178"/>
      <c r="CH27" s="178"/>
    </row>
    <row r="28" spans="2:86" ht="22.5" customHeight="1">
      <c r="B28" s="822"/>
      <c r="C28" s="823"/>
      <c r="D28" s="823"/>
      <c r="E28" s="824"/>
      <c r="F28" s="808" t="s">
        <v>118</v>
      </c>
      <c r="G28" s="809"/>
      <c r="H28" s="809"/>
      <c r="I28" s="810"/>
      <c r="J28" s="801">
        <v>731</v>
      </c>
      <c r="K28" s="802"/>
      <c r="L28" s="803"/>
      <c r="M28" s="801">
        <v>452</v>
      </c>
      <c r="N28" s="802"/>
      <c r="O28" s="803"/>
      <c r="P28" s="801">
        <v>560</v>
      </c>
      <c r="Q28" s="802"/>
      <c r="R28" s="803"/>
      <c r="S28" s="806"/>
      <c r="T28" s="793"/>
      <c r="U28" s="807"/>
      <c r="V28" s="792"/>
      <c r="W28" s="793"/>
      <c r="X28" s="794"/>
      <c r="Y28" s="806"/>
      <c r="Z28" s="793"/>
      <c r="AA28" s="794"/>
      <c r="AC28" s="486" t="s">
        <v>118</v>
      </c>
      <c r="AD28" s="487"/>
      <c r="AE28" s="427">
        <v>33</v>
      </c>
      <c r="AF28" s="426"/>
      <c r="AG28" s="426">
        <v>1</v>
      </c>
      <c r="AH28" s="428"/>
      <c r="AI28" s="423">
        <v>20</v>
      </c>
      <c r="AJ28" s="426"/>
      <c r="AK28" s="426"/>
      <c r="AL28" s="424"/>
      <c r="AM28" s="427">
        <v>26</v>
      </c>
      <c r="AN28" s="426"/>
      <c r="AO28" s="426"/>
      <c r="AP28" s="428"/>
      <c r="AQ28" s="423"/>
      <c r="AR28" s="426"/>
      <c r="AS28" s="426"/>
      <c r="AT28" s="424"/>
      <c r="AU28" s="427"/>
      <c r="AV28" s="426"/>
      <c r="AW28" s="426"/>
      <c r="AX28" s="428"/>
      <c r="AY28" s="423"/>
      <c r="AZ28" s="426"/>
      <c r="BA28" s="426"/>
      <c r="BB28" s="428"/>
      <c r="BE28" s="187">
        <v>26</v>
      </c>
      <c r="BF28" s="317"/>
      <c r="BG28" s="317"/>
      <c r="BH28" s="317"/>
      <c r="BI28" s="317"/>
      <c r="BJ28" s="317"/>
      <c r="BK28" s="318"/>
      <c r="BL28" s="215"/>
      <c r="BM28" s="209"/>
      <c r="BN28" s="209"/>
      <c r="BO28" s="209"/>
      <c r="BP28" s="209"/>
      <c r="BQ28" s="210"/>
      <c r="BR28" s="319"/>
      <c r="BS28" s="317"/>
      <c r="BT28" s="317"/>
      <c r="BU28" s="320"/>
      <c r="BW28" s="285" t="b">
        <v>0</v>
      </c>
      <c r="BX28" s="192" t="s">
        <v>101</v>
      </c>
      <c r="BY28" s="178"/>
      <c r="BZ28" s="178"/>
      <c r="CA28" s="194"/>
      <c r="CB28" s="193"/>
      <c r="CC28" s="178"/>
      <c r="CD28" s="178"/>
      <c r="CE28" s="178"/>
      <c r="CF28" s="178"/>
      <c r="CG28" s="178"/>
      <c r="CH28" s="178"/>
    </row>
    <row r="29" spans="2:86" ht="22.5" customHeight="1" thickBot="1">
      <c r="B29" s="825"/>
      <c r="C29" s="826"/>
      <c r="D29" s="826"/>
      <c r="E29" s="827"/>
      <c r="F29" s="811" t="s">
        <v>789</v>
      </c>
      <c r="G29" s="812"/>
      <c r="H29" s="812"/>
      <c r="I29" s="813"/>
      <c r="J29" s="795">
        <f>SUM(J27:L28)</f>
        <v>761</v>
      </c>
      <c r="K29" s="796"/>
      <c r="L29" s="797"/>
      <c r="M29" s="795">
        <f t="shared" ref="M29" si="20">SUM(M27:O28)</f>
        <v>523</v>
      </c>
      <c r="N29" s="796"/>
      <c r="O29" s="797"/>
      <c r="P29" s="795">
        <f t="shared" ref="P29" si="21">SUM(P27:R28)</f>
        <v>588</v>
      </c>
      <c r="Q29" s="796"/>
      <c r="R29" s="797"/>
      <c r="S29" s="814"/>
      <c r="T29" s="796"/>
      <c r="U29" s="830"/>
      <c r="V29" s="795"/>
      <c r="W29" s="796"/>
      <c r="X29" s="797"/>
      <c r="Y29" s="814"/>
      <c r="Z29" s="796"/>
      <c r="AA29" s="797"/>
      <c r="AC29" s="508" t="s">
        <v>119</v>
      </c>
      <c r="AD29" s="509"/>
      <c r="AE29" s="507">
        <v>10</v>
      </c>
      <c r="AF29" s="499"/>
      <c r="AG29" s="499">
        <v>0</v>
      </c>
      <c r="AH29" s="500"/>
      <c r="AI29" s="505">
        <v>0</v>
      </c>
      <c r="AJ29" s="499"/>
      <c r="AK29" s="499"/>
      <c r="AL29" s="506"/>
      <c r="AM29" s="507">
        <v>0</v>
      </c>
      <c r="AN29" s="499"/>
      <c r="AO29" s="499"/>
      <c r="AP29" s="500"/>
      <c r="AQ29" s="505"/>
      <c r="AR29" s="499"/>
      <c r="AS29" s="499"/>
      <c r="AT29" s="506"/>
      <c r="AU29" s="507"/>
      <c r="AV29" s="499"/>
      <c r="AW29" s="499"/>
      <c r="AX29" s="500"/>
      <c r="AY29" s="505"/>
      <c r="AZ29" s="499"/>
      <c r="BA29" s="499"/>
      <c r="BB29" s="500"/>
      <c r="BE29" s="187">
        <v>27</v>
      </c>
      <c r="BF29" s="317"/>
      <c r="BG29" s="317"/>
      <c r="BH29" s="317"/>
      <c r="BI29" s="317"/>
      <c r="BJ29" s="317"/>
      <c r="BK29" s="318"/>
      <c r="BL29" s="215"/>
      <c r="BM29" s="209"/>
      <c r="BN29" s="209"/>
      <c r="BO29" s="209"/>
      <c r="BP29" s="209"/>
      <c r="BQ29" s="210"/>
      <c r="BR29" s="319"/>
      <c r="BS29" s="317"/>
      <c r="BT29" s="317"/>
      <c r="BU29" s="320"/>
      <c r="BW29" s="285" t="b">
        <v>0</v>
      </c>
      <c r="BX29" s="192" t="s">
        <v>83</v>
      </c>
      <c r="BY29" s="178"/>
      <c r="BZ29" s="178"/>
      <c r="CA29" s="178"/>
      <c r="CB29" s="178"/>
      <c r="CC29" s="178"/>
      <c r="CD29" s="178"/>
      <c r="CE29" s="178"/>
      <c r="CF29" s="178"/>
      <c r="CG29" s="178"/>
      <c r="CH29" s="178"/>
    </row>
    <row r="30" spans="2:86" ht="22.5" customHeight="1" thickTop="1" thickBot="1">
      <c r="B30" s="818" t="s">
        <v>788</v>
      </c>
      <c r="C30" s="818"/>
      <c r="D30" s="818"/>
      <c r="E30" s="818"/>
      <c r="F30" s="439" t="s">
        <v>785</v>
      </c>
      <c r="G30" s="440"/>
      <c r="H30" s="440"/>
      <c r="I30" s="441"/>
      <c r="J30" s="792">
        <v>509</v>
      </c>
      <c r="K30" s="793"/>
      <c r="L30" s="794"/>
      <c r="M30" s="806">
        <v>601</v>
      </c>
      <c r="N30" s="793"/>
      <c r="O30" s="807"/>
      <c r="P30" s="792">
        <v>661</v>
      </c>
      <c r="Q30" s="793"/>
      <c r="R30" s="794"/>
      <c r="S30" s="806"/>
      <c r="T30" s="793"/>
      <c r="U30" s="807"/>
      <c r="V30" s="792"/>
      <c r="W30" s="793"/>
      <c r="X30" s="794"/>
      <c r="Y30" s="806"/>
      <c r="Z30" s="793"/>
      <c r="AA30" s="794"/>
      <c r="AC30" s="501" t="s">
        <v>108</v>
      </c>
      <c r="AD30" s="502"/>
      <c r="AE30" s="497">
        <f>IF(SUM(AE27:AE29)=0,"",SUM(AE27:AE29))</f>
        <v>47</v>
      </c>
      <c r="AF30" s="495"/>
      <c r="AG30" s="495">
        <f>IF(SUM(AG27:AG29)=0,"",SUM(AG27:AG29))</f>
        <v>1</v>
      </c>
      <c r="AH30" s="498"/>
      <c r="AI30" s="497">
        <f>IF(SUM(AI27:AI29)=0,"",SUM(AI27:AI29))</f>
        <v>29</v>
      </c>
      <c r="AJ30" s="495"/>
      <c r="AK30" s="495" t="str">
        <f>IF(SUM(AK27:AK29)=0,"",SUM(AK27:AK29))</f>
        <v/>
      </c>
      <c r="AL30" s="498"/>
      <c r="AM30" s="497">
        <f>IF(SUM(AM27:AM29)=0,"",SUM(AM27:AM29))</f>
        <v>30</v>
      </c>
      <c r="AN30" s="495"/>
      <c r="AO30" s="495" t="str">
        <f>IF(SUM(AO27:AO29)=0,"",SUM(AO27:AO29))</f>
        <v/>
      </c>
      <c r="AP30" s="498"/>
      <c r="AQ30" s="494" t="str">
        <f>IF(SUM(AQ27:AQ29)=0,"",SUM(AQ27:AQ29))</f>
        <v/>
      </c>
      <c r="AR30" s="495"/>
      <c r="AS30" s="495" t="str">
        <f>IF(SUM(AS27:AS29)=0,"",SUM(AS27:AS29))</f>
        <v/>
      </c>
      <c r="AT30" s="496"/>
      <c r="AU30" s="497" t="str">
        <f>IF(SUM(AU27:AU29)=0,"",SUM(AU27:AU29))</f>
        <v/>
      </c>
      <c r="AV30" s="495"/>
      <c r="AW30" s="495" t="str">
        <f>IF(SUM(AW27:AW29)=0,"",SUM(AW27:AW29))</f>
        <v/>
      </c>
      <c r="AX30" s="498"/>
      <c r="AY30" s="494" t="str">
        <f>IF(SUM(AY27:AY29)=0,"",SUM(AY27:AY29))</f>
        <v/>
      </c>
      <c r="AZ30" s="495"/>
      <c r="BA30" s="495" t="str">
        <f>IF(SUM(BA27:BA29)=0,"",SUM(BA27:BA29))</f>
        <v/>
      </c>
      <c r="BB30" s="498"/>
      <c r="BE30" s="187">
        <v>28</v>
      </c>
      <c r="BF30" s="317"/>
      <c r="BG30" s="317"/>
      <c r="BH30" s="317"/>
      <c r="BI30" s="317"/>
      <c r="BJ30" s="317"/>
      <c r="BK30" s="318"/>
      <c r="BL30" s="215"/>
      <c r="BM30" s="209"/>
      <c r="BN30" s="209"/>
      <c r="BO30" s="209"/>
      <c r="BP30" s="209"/>
      <c r="BQ30" s="210"/>
      <c r="BR30" s="319"/>
      <c r="BS30" s="317"/>
      <c r="BT30" s="317"/>
      <c r="BU30" s="320"/>
      <c r="BW30" s="285" t="b">
        <v>0</v>
      </c>
      <c r="BX30" s="192" t="s">
        <v>84</v>
      </c>
      <c r="BY30" s="195"/>
      <c r="BZ30" s="196"/>
      <c r="CA30" s="196"/>
      <c r="CB30" s="196"/>
      <c r="CC30" s="196"/>
      <c r="CD30" s="196"/>
      <c r="CE30" s="196"/>
      <c r="CF30" s="196"/>
      <c r="CG30" s="196"/>
      <c r="CH30" s="178"/>
    </row>
    <row r="31" spans="2:86" ht="22.5" customHeight="1" thickBot="1">
      <c r="B31" s="818"/>
      <c r="C31" s="818"/>
      <c r="D31" s="818"/>
      <c r="E31" s="818"/>
      <c r="F31" s="443" t="s">
        <v>786</v>
      </c>
      <c r="G31" s="444"/>
      <c r="H31" s="444"/>
      <c r="I31" s="445"/>
      <c r="J31" s="828">
        <v>9</v>
      </c>
      <c r="K31" s="816"/>
      <c r="L31" s="817"/>
      <c r="M31" s="815"/>
      <c r="N31" s="816"/>
      <c r="O31" s="829"/>
      <c r="P31" s="828"/>
      <c r="Q31" s="816"/>
      <c r="R31" s="817"/>
      <c r="S31" s="815"/>
      <c r="T31" s="816"/>
      <c r="U31" s="829"/>
      <c r="V31" s="828"/>
      <c r="W31" s="816"/>
      <c r="X31" s="817"/>
      <c r="Y31" s="815"/>
      <c r="Z31" s="816"/>
      <c r="AA31" s="817"/>
      <c r="AC31" s="839" t="s">
        <v>122</v>
      </c>
      <c r="AD31" s="840"/>
      <c r="AE31" s="536">
        <f>IFERROR(AG30/AE30,"")</f>
        <v>2.1276595744680851E-2</v>
      </c>
      <c r="AF31" s="537"/>
      <c r="AG31" s="537"/>
      <c r="AH31" s="538"/>
      <c r="AI31" s="539" t="str">
        <f>IFERROR(AK30/AI30,"")</f>
        <v/>
      </c>
      <c r="AJ31" s="537"/>
      <c r="AK31" s="537"/>
      <c r="AL31" s="540"/>
      <c r="AM31" s="536" t="str">
        <f t="shared" ref="AM31" si="22">IFERROR(AO30/AM30,"")</f>
        <v/>
      </c>
      <c r="AN31" s="537"/>
      <c r="AO31" s="537"/>
      <c r="AP31" s="538"/>
      <c r="AQ31" s="539" t="str">
        <f>IFERROR(AS30/AQ30,"")</f>
        <v/>
      </c>
      <c r="AR31" s="537"/>
      <c r="AS31" s="537"/>
      <c r="AT31" s="540"/>
      <c r="AU31" s="536" t="str">
        <f t="shared" ref="AU31" si="23">IFERROR(AW30/AU30,"")</f>
        <v/>
      </c>
      <c r="AV31" s="537"/>
      <c r="AW31" s="537"/>
      <c r="AX31" s="538"/>
      <c r="AY31" s="539" t="str">
        <f t="shared" ref="AY31" si="24">IFERROR(BA30/AY30,"")</f>
        <v/>
      </c>
      <c r="AZ31" s="537"/>
      <c r="BA31" s="537"/>
      <c r="BB31" s="538"/>
      <c r="BE31" s="187">
        <v>29</v>
      </c>
      <c r="BF31" s="317"/>
      <c r="BG31" s="317"/>
      <c r="BH31" s="317"/>
      <c r="BI31" s="317"/>
      <c r="BJ31" s="317"/>
      <c r="BK31" s="318"/>
      <c r="BL31" s="215"/>
      <c r="BM31" s="209"/>
      <c r="BN31" s="209"/>
      <c r="BO31" s="209"/>
      <c r="BP31" s="209"/>
      <c r="BQ31" s="210"/>
      <c r="BR31" s="319"/>
      <c r="BS31" s="317"/>
      <c r="BT31" s="317"/>
      <c r="BU31" s="320"/>
      <c r="BW31" s="285" t="b">
        <v>0</v>
      </c>
      <c r="BX31" s="192" t="s">
        <v>85</v>
      </c>
      <c r="BY31" s="195"/>
      <c r="BZ31" s="196"/>
      <c r="CA31" s="196"/>
      <c r="CB31" s="196"/>
      <c r="CC31" s="196"/>
      <c r="CD31" s="196"/>
      <c r="CE31" s="196"/>
      <c r="CF31" s="196"/>
      <c r="CG31" s="196"/>
      <c r="CH31" s="178"/>
    </row>
    <row r="32" spans="2:86" ht="22.5" customHeight="1" thickTop="1">
      <c r="B32" s="257"/>
      <c r="C32" s="258"/>
      <c r="D32" s="258"/>
      <c r="E32" s="259"/>
      <c r="F32" s="418"/>
      <c r="G32" s="419"/>
      <c r="H32" s="419"/>
      <c r="I32" s="420"/>
      <c r="J32" s="462"/>
      <c r="K32" s="463"/>
      <c r="L32" s="464"/>
      <c r="M32" s="462"/>
      <c r="N32" s="463"/>
      <c r="O32" s="464"/>
      <c r="P32" s="462"/>
      <c r="Q32" s="463"/>
      <c r="R32" s="464"/>
      <c r="S32" s="462"/>
      <c r="T32" s="463"/>
      <c r="U32" s="464"/>
      <c r="V32" s="462"/>
      <c r="W32" s="463"/>
      <c r="X32" s="464"/>
      <c r="Y32" s="462"/>
      <c r="Z32" s="463"/>
      <c r="AA32" s="464"/>
      <c r="AC32" s="486" t="s">
        <v>124</v>
      </c>
      <c r="AD32" s="487"/>
      <c r="AE32" s="580">
        <v>1</v>
      </c>
      <c r="AF32" s="581"/>
      <c r="AG32" s="581"/>
      <c r="AH32" s="582"/>
      <c r="AI32" s="583"/>
      <c r="AJ32" s="581"/>
      <c r="AK32" s="581"/>
      <c r="AL32" s="584"/>
      <c r="AM32" s="580"/>
      <c r="AN32" s="581"/>
      <c r="AO32" s="581"/>
      <c r="AP32" s="582"/>
      <c r="AQ32" s="583"/>
      <c r="AR32" s="581"/>
      <c r="AS32" s="581"/>
      <c r="AT32" s="584"/>
      <c r="AU32" s="580"/>
      <c r="AV32" s="581"/>
      <c r="AW32" s="581"/>
      <c r="AX32" s="582"/>
      <c r="AY32" s="583"/>
      <c r="AZ32" s="581"/>
      <c r="BA32" s="581"/>
      <c r="BB32" s="582"/>
      <c r="BE32" s="188">
        <v>30</v>
      </c>
      <c r="BF32" s="534"/>
      <c r="BG32" s="534"/>
      <c r="BH32" s="534"/>
      <c r="BI32" s="534"/>
      <c r="BJ32" s="534"/>
      <c r="BK32" s="742"/>
      <c r="BL32" s="216"/>
      <c r="BM32" s="213"/>
      <c r="BN32" s="213"/>
      <c r="BO32" s="213"/>
      <c r="BP32" s="213"/>
      <c r="BQ32" s="214"/>
      <c r="BR32" s="707"/>
      <c r="BS32" s="534"/>
      <c r="BT32" s="534"/>
      <c r="BU32" s="535"/>
      <c r="BW32" s="285" t="b">
        <v>0</v>
      </c>
      <c r="BX32" s="178" t="s">
        <v>65</v>
      </c>
      <c r="BY32" s="195"/>
      <c r="BZ32" s="196"/>
      <c r="CA32" s="196"/>
      <c r="CB32" s="196"/>
      <c r="CC32" s="196"/>
      <c r="CD32" s="196"/>
      <c r="CE32" s="196"/>
      <c r="CF32" s="196"/>
      <c r="CG32" s="196"/>
      <c r="CH32" s="178"/>
    </row>
    <row r="33" spans="2:87" ht="22.5" customHeight="1">
      <c r="B33" s="178"/>
      <c r="C33" s="178"/>
      <c r="D33" s="178"/>
      <c r="E33" s="178"/>
      <c r="F33" s="178"/>
      <c r="G33" s="588"/>
      <c r="H33" s="588"/>
      <c r="I33" s="588"/>
      <c r="J33" s="588"/>
      <c r="K33" s="588"/>
      <c r="L33" s="588"/>
      <c r="M33" s="588"/>
      <c r="N33" s="588"/>
      <c r="O33" s="588"/>
      <c r="P33" s="588"/>
      <c r="Q33" s="588"/>
      <c r="R33" s="588"/>
      <c r="S33" s="588"/>
      <c r="T33" s="588"/>
      <c r="U33" s="588"/>
      <c r="V33" s="588"/>
      <c r="W33" s="588"/>
      <c r="X33" s="588"/>
      <c r="AC33" s="575" t="s">
        <v>123</v>
      </c>
      <c r="AD33" s="576"/>
      <c r="AE33" s="552">
        <f>IFERROR(AE32/AG30,"")</f>
        <v>1</v>
      </c>
      <c r="AF33" s="553"/>
      <c r="AG33" s="553"/>
      <c r="AH33" s="554"/>
      <c r="AI33" s="552" t="str">
        <f>IFERROR(AI32/AK30,"")</f>
        <v/>
      </c>
      <c r="AJ33" s="553"/>
      <c r="AK33" s="553"/>
      <c r="AL33" s="554"/>
      <c r="AM33" s="552" t="str">
        <f>IFERROR(AM32/AO30,"")</f>
        <v/>
      </c>
      <c r="AN33" s="553"/>
      <c r="AO33" s="553"/>
      <c r="AP33" s="554"/>
      <c r="AQ33" s="552" t="str">
        <f>IFERROR(AQ32/AS30,"")</f>
        <v/>
      </c>
      <c r="AR33" s="553"/>
      <c r="AS33" s="553"/>
      <c r="AT33" s="554"/>
      <c r="AU33" s="552" t="str">
        <f>IFERROR(AU32/AW30,"")</f>
        <v/>
      </c>
      <c r="AV33" s="553"/>
      <c r="AW33" s="553"/>
      <c r="AX33" s="554"/>
      <c r="AY33" s="552" t="str">
        <f>IFERROR(AY32/BA30,"")</f>
        <v/>
      </c>
      <c r="AZ33" s="553"/>
      <c r="BA33" s="553"/>
      <c r="BB33" s="554"/>
      <c r="BL33" s="589" t="s">
        <v>125</v>
      </c>
      <c r="BM33" s="590"/>
      <c r="BN33" s="591"/>
      <c r="BO33" s="555" t="str">
        <f>IF(COUNTA(BH3:BH32)=0,"",
IF(COUNTIF(BN3:BN32,"完")/COUNTA(BH3:BH32)&gt;=0.8,"A",
IF(COUNTIF(BN3:BN32,"完")/COUNTA(BH3:BH32)&gt;=0.5,"B",
IF(COUNTIF(BN3:BN32,"完")/COUNTA(BH3:BH32)&gt;=0.3,"C",
IF(COUNTIF(BN3:BN32,"完")/COUNTA(BH3:BH32)&gt;=0.1,"D","E")))))</f>
        <v>E</v>
      </c>
      <c r="BP33" s="556"/>
      <c r="BQ33" s="556"/>
      <c r="BR33" s="557"/>
      <c r="BS33" s="561">
        <f>IF(COUNTA(BH3:BH32)=0,"",COUNTIF(BN3:BN32,"完")/COUNTA(BH3:BH32))</f>
        <v>7.1428571428571425E-2</v>
      </c>
      <c r="BT33" s="562"/>
      <c r="BU33" s="563"/>
      <c r="BW33" s="285" t="b">
        <v>0</v>
      </c>
      <c r="BX33" s="178" t="s">
        <v>96</v>
      </c>
      <c r="BY33" s="178"/>
      <c r="BZ33" s="178"/>
      <c r="CA33" s="178"/>
      <c r="CB33" s="178"/>
      <c r="CC33" s="178"/>
      <c r="CD33" s="196"/>
      <c r="CE33" s="196"/>
      <c r="CF33" s="196"/>
      <c r="CG33" s="196"/>
      <c r="CH33" s="178"/>
    </row>
    <row r="34" spans="2:87" ht="22.5" customHeight="1">
      <c r="BL34" s="592"/>
      <c r="BM34" s="593"/>
      <c r="BN34" s="594"/>
      <c r="BO34" s="558"/>
      <c r="BP34" s="559"/>
      <c r="BQ34" s="559"/>
      <c r="BR34" s="560"/>
      <c r="BS34" s="564"/>
      <c r="BT34" s="565"/>
      <c r="BU34" s="566"/>
      <c r="BY34" s="178"/>
      <c r="BZ34" s="178"/>
      <c r="CA34" s="178"/>
      <c r="CB34" s="178"/>
      <c r="CC34" s="178"/>
      <c r="CD34" s="178"/>
      <c r="CE34" s="178"/>
      <c r="CF34" s="178"/>
      <c r="CG34" s="196"/>
      <c r="CH34" s="196"/>
      <c r="CI34" s="178"/>
    </row>
    <row r="35" spans="2:87" ht="22.5" customHeight="1">
      <c r="B35" s="567" t="s">
        <v>38</v>
      </c>
      <c r="C35" s="568"/>
      <c r="D35" s="568"/>
      <c r="E35" s="568"/>
      <c r="F35" s="568"/>
      <c r="G35" s="568"/>
      <c r="H35" s="568"/>
      <c r="I35" s="568"/>
      <c r="J35" s="568"/>
      <c r="K35" s="568"/>
      <c r="L35" s="568"/>
      <c r="M35" s="568"/>
      <c r="N35" s="568"/>
      <c r="O35" s="568"/>
      <c r="P35" s="568"/>
      <c r="Q35" s="568"/>
      <c r="R35" s="568"/>
      <c r="S35" s="568"/>
      <c r="T35" s="568"/>
      <c r="U35" s="569"/>
      <c r="V35" s="570">
        <f>IF(COUNT(J37:J66)=0,"",AVERAGE(J37:J66))</f>
        <v>4.3499999999999996</v>
      </c>
      <c r="W35" s="571"/>
      <c r="X35" s="572"/>
      <c r="Y35" s="835" t="s">
        <v>39</v>
      </c>
      <c r="Z35" s="836"/>
      <c r="AA35" s="836"/>
      <c r="AB35" s="836"/>
      <c r="AC35" s="836"/>
      <c r="AD35" s="836"/>
      <c r="AE35" s="836"/>
      <c r="AF35" s="836"/>
      <c r="AG35" s="837"/>
      <c r="AH35" s="574" t="s">
        <v>736</v>
      </c>
      <c r="AI35" s="436"/>
      <c r="AJ35" s="438"/>
      <c r="AL35" s="160" t="s">
        <v>59</v>
      </c>
      <c r="BW35" s="181" t="s">
        <v>950</v>
      </c>
      <c r="BX35" s="179"/>
      <c r="BY35" s="179"/>
      <c r="BZ35" s="179"/>
      <c r="CA35" s="179"/>
      <c r="CB35" s="179"/>
      <c r="CC35" s="179"/>
      <c r="CD35" s="179"/>
      <c r="CE35" s="179"/>
      <c r="CF35" s="186"/>
      <c r="CG35" s="186"/>
      <c r="CH35" s="179"/>
    </row>
    <row r="36" spans="2:87" ht="22.5" customHeight="1">
      <c r="B36" s="458" t="s">
        <v>41</v>
      </c>
      <c r="C36" s="459"/>
      <c r="D36" s="459"/>
      <c r="E36" s="459"/>
      <c r="F36" s="459"/>
      <c r="G36" s="459"/>
      <c r="H36" s="459"/>
      <c r="I36" s="459"/>
      <c r="J36" s="459" t="s">
        <v>42</v>
      </c>
      <c r="K36" s="459"/>
      <c r="L36" s="459" t="s">
        <v>43</v>
      </c>
      <c r="M36" s="459"/>
      <c r="N36" s="459"/>
      <c r="O36" s="459"/>
      <c r="P36" s="459"/>
      <c r="Q36" s="459"/>
      <c r="R36" s="459"/>
      <c r="S36" s="459" t="s">
        <v>44</v>
      </c>
      <c r="T36" s="459"/>
      <c r="U36" s="459"/>
      <c r="V36" s="459"/>
      <c r="W36" s="459"/>
      <c r="X36" s="460"/>
      <c r="Y36" s="825" t="s">
        <v>45</v>
      </c>
      <c r="Z36" s="826"/>
      <c r="AA36" s="826"/>
      <c r="AB36" s="826"/>
      <c r="AC36" s="598"/>
      <c r="AD36" s="459" t="s">
        <v>260</v>
      </c>
      <c r="AE36" s="459"/>
      <c r="AF36" s="459" t="s">
        <v>46</v>
      </c>
      <c r="AG36" s="459"/>
      <c r="AH36" s="459"/>
      <c r="AI36" s="459"/>
      <c r="AJ36" s="460"/>
      <c r="AL36" s="182" t="s">
        <v>247</v>
      </c>
      <c r="AM36" s="182"/>
      <c r="AN36" s="182"/>
      <c r="AO36" s="182"/>
      <c r="AP36" s="182"/>
      <c r="AQ36" s="182"/>
      <c r="AR36" s="183"/>
      <c r="AS36" s="183"/>
      <c r="AT36" s="183"/>
      <c r="AU36" s="183"/>
      <c r="AV36" s="183"/>
      <c r="AW36" s="183"/>
      <c r="AX36" s="183"/>
      <c r="AY36" s="179"/>
      <c r="AZ36" s="179"/>
      <c r="BA36" s="179"/>
      <c r="BB36" s="179"/>
      <c r="BC36" s="179"/>
      <c r="BD36" s="179"/>
      <c r="BE36" s="179"/>
      <c r="BF36" s="179"/>
      <c r="BG36" s="179"/>
      <c r="BH36" s="179"/>
      <c r="BI36" s="179"/>
      <c r="BK36" s="406" t="s">
        <v>244</v>
      </c>
      <c r="BL36" s="406"/>
      <c r="BM36" s="406"/>
      <c r="BN36" s="406"/>
      <c r="BO36" s="406"/>
      <c r="BP36" s="406"/>
      <c r="BQ36" s="406" t="s">
        <v>64</v>
      </c>
      <c r="BR36" s="406"/>
      <c r="BS36" s="406"/>
      <c r="BT36" s="406"/>
      <c r="BU36" s="406"/>
      <c r="BW36" s="285" t="b">
        <v>0</v>
      </c>
      <c r="BX36" s="192" t="s">
        <v>102</v>
      </c>
      <c r="BY36" s="178"/>
      <c r="BZ36" s="178"/>
      <c r="CA36" s="178"/>
      <c r="CB36" s="178"/>
      <c r="CC36" s="178"/>
      <c r="CD36" s="196"/>
      <c r="CE36" s="196"/>
      <c r="CF36" s="196"/>
      <c r="CG36" s="196"/>
      <c r="CH36" s="178"/>
    </row>
    <row r="37" spans="2:87" ht="22.5" customHeight="1">
      <c r="B37" s="324">
        <v>101</v>
      </c>
      <c r="C37" s="325"/>
      <c r="D37" s="531" t="s">
        <v>458</v>
      </c>
      <c r="E37" s="531" t="s">
        <v>357</v>
      </c>
      <c r="F37" s="531" t="s">
        <v>357</v>
      </c>
      <c r="G37" s="531" t="s">
        <v>357</v>
      </c>
      <c r="H37" s="531" t="s">
        <v>357</v>
      </c>
      <c r="I37" s="531" t="s">
        <v>357</v>
      </c>
      <c r="J37" s="469">
        <v>4</v>
      </c>
      <c r="K37" s="469">
        <v>4</v>
      </c>
      <c r="L37" s="595"/>
      <c r="M37" s="595"/>
      <c r="N37" s="595"/>
      <c r="O37" s="595"/>
      <c r="P37" s="595"/>
      <c r="Q37" s="595"/>
      <c r="R37" s="595"/>
      <c r="S37" s="208"/>
      <c r="T37" s="595"/>
      <c r="U37" s="595"/>
      <c r="V37" s="595"/>
      <c r="W37" s="595"/>
      <c r="X37" s="596"/>
      <c r="Y37" s="841"/>
      <c r="Z37" s="842"/>
      <c r="AA37" s="842"/>
      <c r="AB37" s="842"/>
      <c r="AC37" s="843"/>
      <c r="AD37" s="531"/>
      <c r="AE37" s="531"/>
      <c r="AF37" s="531"/>
      <c r="AG37" s="531"/>
      <c r="AH37" s="531"/>
      <c r="AI37" s="531"/>
      <c r="AJ37" s="532"/>
      <c r="AL37" s="600" t="s">
        <v>27</v>
      </c>
      <c r="AM37" s="600"/>
      <c r="AN37" s="600" t="s">
        <v>58</v>
      </c>
      <c r="AO37" s="600"/>
      <c r="AP37" s="600" t="s">
        <v>14</v>
      </c>
      <c r="AQ37" s="600"/>
      <c r="AR37" s="600" t="s">
        <v>22</v>
      </c>
      <c r="AS37" s="600"/>
      <c r="AT37" s="600" t="s">
        <v>1</v>
      </c>
      <c r="AU37" s="600"/>
      <c r="AV37" s="600" t="s">
        <v>18</v>
      </c>
      <c r="AW37" s="600"/>
      <c r="AX37" s="600" t="s">
        <v>28</v>
      </c>
      <c r="AY37" s="600"/>
      <c r="AZ37" s="600" t="s">
        <v>24</v>
      </c>
      <c r="BA37" s="600"/>
      <c r="BB37" s="600" t="s">
        <v>16</v>
      </c>
      <c r="BC37" s="600"/>
      <c r="BD37" s="600" t="s">
        <v>67</v>
      </c>
      <c r="BE37" s="600"/>
      <c r="BF37" s="600" t="s">
        <v>20</v>
      </c>
      <c r="BG37" s="600"/>
      <c r="BH37" s="600" t="s">
        <v>68</v>
      </c>
      <c r="BI37" s="600"/>
      <c r="BK37" s="601" t="s">
        <v>762</v>
      </c>
      <c r="BL37" s="601"/>
      <c r="BM37" s="601"/>
      <c r="BN37" s="601"/>
      <c r="BO37" s="601"/>
      <c r="BP37" s="601"/>
      <c r="BQ37" s="602" t="b">
        <v>0</v>
      </c>
      <c r="BR37" s="603"/>
      <c r="BS37" s="603"/>
      <c r="BT37" s="603"/>
      <c r="BU37" s="604"/>
      <c r="BV37" s="170"/>
      <c r="BW37" s="285" t="b">
        <v>0</v>
      </c>
      <c r="BX37" s="192" t="s">
        <v>86</v>
      </c>
      <c r="BY37" s="178"/>
      <c r="BZ37" s="178"/>
      <c r="CA37" s="178"/>
      <c r="CB37" s="178"/>
      <c r="CC37" s="178"/>
      <c r="CD37" s="196"/>
      <c r="CE37" s="196"/>
      <c r="CF37" s="196"/>
      <c r="CG37" s="196"/>
      <c r="CH37" s="178"/>
    </row>
    <row r="38" spans="2:87" ht="22.5" customHeight="1">
      <c r="B38" s="486">
        <v>102</v>
      </c>
      <c r="C38" s="606"/>
      <c r="D38" s="317" t="s">
        <v>459</v>
      </c>
      <c r="E38" s="317" t="s">
        <v>358</v>
      </c>
      <c r="F38" s="317" t="s">
        <v>358</v>
      </c>
      <c r="G38" s="317" t="s">
        <v>358</v>
      </c>
      <c r="H38" s="317" t="s">
        <v>358</v>
      </c>
      <c r="I38" s="317" t="s">
        <v>358</v>
      </c>
      <c r="J38" s="426">
        <v>5</v>
      </c>
      <c r="K38" s="426">
        <v>5</v>
      </c>
      <c r="L38" s="607"/>
      <c r="M38" s="607"/>
      <c r="N38" s="607"/>
      <c r="O38" s="607"/>
      <c r="P38" s="607"/>
      <c r="Q38" s="607"/>
      <c r="R38" s="607"/>
      <c r="S38" s="209"/>
      <c r="T38" s="607"/>
      <c r="U38" s="607"/>
      <c r="V38" s="607"/>
      <c r="W38" s="607"/>
      <c r="X38" s="608"/>
      <c r="Y38" s="362"/>
      <c r="Z38" s="390"/>
      <c r="AA38" s="390"/>
      <c r="AB38" s="390"/>
      <c r="AC38" s="319"/>
      <c r="AD38" s="317"/>
      <c r="AE38" s="317"/>
      <c r="AF38" s="317"/>
      <c r="AG38" s="317"/>
      <c r="AH38" s="317"/>
      <c r="AI38" s="317"/>
      <c r="AJ38" s="320"/>
      <c r="AL38" s="330">
        <v>0</v>
      </c>
      <c r="AM38" s="330"/>
      <c r="AN38" s="330">
        <v>0</v>
      </c>
      <c r="AO38" s="330"/>
      <c r="AP38" s="330"/>
      <c r="AQ38" s="330"/>
      <c r="AR38" s="330"/>
      <c r="AS38" s="330"/>
      <c r="AT38" s="330"/>
      <c r="AU38" s="330"/>
      <c r="AV38" s="330"/>
      <c r="AW38" s="330"/>
      <c r="AX38" s="330"/>
      <c r="AY38" s="330"/>
      <c r="AZ38" s="330"/>
      <c r="BA38" s="330"/>
      <c r="BB38" s="330"/>
      <c r="BC38" s="330"/>
      <c r="BD38" s="330"/>
      <c r="BE38" s="330"/>
      <c r="BF38" s="330"/>
      <c r="BG38" s="330"/>
      <c r="BH38" s="330">
        <v>18</v>
      </c>
      <c r="BI38" s="330"/>
      <c r="BK38" s="605"/>
      <c r="BL38" s="605"/>
      <c r="BM38" s="605"/>
      <c r="BN38" s="605"/>
      <c r="BO38" s="605"/>
      <c r="BP38" s="605"/>
      <c r="BQ38" s="609" t="b">
        <v>0</v>
      </c>
      <c r="BR38" s="610"/>
      <c r="BS38" s="610"/>
      <c r="BT38" s="610"/>
      <c r="BU38" s="611"/>
      <c r="BV38" s="170"/>
      <c r="BW38" s="285" t="b">
        <v>0</v>
      </c>
      <c r="BX38" s="192" t="s">
        <v>87</v>
      </c>
      <c r="BY38" s="178"/>
      <c r="BZ38" s="178"/>
      <c r="CA38" s="178"/>
      <c r="CB38" s="178"/>
      <c r="CC38" s="178"/>
      <c r="CD38" s="196"/>
      <c r="CE38" s="196"/>
      <c r="CF38" s="196"/>
      <c r="CG38" s="196"/>
      <c r="CH38" s="178"/>
    </row>
    <row r="39" spans="2:87" ht="22.5" customHeight="1">
      <c r="B39" s="486">
        <v>103</v>
      </c>
      <c r="C39" s="606"/>
      <c r="D39" s="317" t="s">
        <v>460</v>
      </c>
      <c r="E39" s="317" t="s">
        <v>359</v>
      </c>
      <c r="F39" s="317" t="s">
        <v>359</v>
      </c>
      <c r="G39" s="317" t="s">
        <v>359</v>
      </c>
      <c r="H39" s="317" t="s">
        <v>359</v>
      </c>
      <c r="I39" s="317" t="s">
        <v>359</v>
      </c>
      <c r="J39" s="426">
        <v>6</v>
      </c>
      <c r="K39" s="426">
        <v>6</v>
      </c>
      <c r="L39" s="607"/>
      <c r="M39" s="607"/>
      <c r="N39" s="607"/>
      <c r="O39" s="607"/>
      <c r="P39" s="607"/>
      <c r="Q39" s="607"/>
      <c r="R39" s="607"/>
      <c r="S39" s="209"/>
      <c r="T39" s="607"/>
      <c r="U39" s="607"/>
      <c r="V39" s="607"/>
      <c r="W39" s="607"/>
      <c r="X39" s="608"/>
      <c r="Y39" s="362"/>
      <c r="Z39" s="390"/>
      <c r="AA39" s="390"/>
      <c r="AB39" s="390"/>
      <c r="AC39" s="319"/>
      <c r="AD39" s="317"/>
      <c r="AE39" s="317"/>
      <c r="AF39" s="317"/>
      <c r="AG39" s="317"/>
      <c r="AH39" s="317"/>
      <c r="AI39" s="317"/>
      <c r="AJ39" s="320"/>
      <c r="BK39" s="605"/>
      <c r="BL39" s="605"/>
      <c r="BM39" s="605"/>
      <c r="BN39" s="605"/>
      <c r="BO39" s="605"/>
      <c r="BP39" s="605"/>
      <c r="BQ39" s="609" t="b">
        <v>0</v>
      </c>
      <c r="BR39" s="610"/>
      <c r="BS39" s="610"/>
      <c r="BT39" s="610"/>
      <c r="BU39" s="611"/>
      <c r="BW39" s="285" t="b">
        <v>0</v>
      </c>
      <c r="BX39" s="192" t="s">
        <v>88</v>
      </c>
      <c r="BY39" s="178"/>
      <c r="BZ39" s="178"/>
      <c r="CA39" s="178"/>
      <c r="CB39" s="178"/>
      <c r="CC39" s="178"/>
      <c r="CD39" s="196"/>
      <c r="CE39" s="196"/>
      <c r="CF39" s="196"/>
      <c r="CG39" s="196"/>
      <c r="CH39" s="178"/>
    </row>
    <row r="40" spans="2:87" ht="22.5" customHeight="1">
      <c r="B40" s="486">
        <v>104</v>
      </c>
      <c r="C40" s="606"/>
      <c r="D40" s="317" t="s">
        <v>461</v>
      </c>
      <c r="E40" s="317" t="s">
        <v>360</v>
      </c>
      <c r="F40" s="317" t="s">
        <v>360</v>
      </c>
      <c r="G40" s="317" t="s">
        <v>360</v>
      </c>
      <c r="H40" s="317" t="s">
        <v>360</v>
      </c>
      <c r="I40" s="317" t="s">
        <v>360</v>
      </c>
      <c r="J40" s="426">
        <v>3</v>
      </c>
      <c r="K40" s="426">
        <v>3</v>
      </c>
      <c r="L40" s="607"/>
      <c r="M40" s="607"/>
      <c r="N40" s="607"/>
      <c r="O40" s="607"/>
      <c r="P40" s="607"/>
      <c r="Q40" s="607"/>
      <c r="R40" s="607"/>
      <c r="S40" s="209"/>
      <c r="T40" s="607"/>
      <c r="U40" s="607"/>
      <c r="V40" s="607"/>
      <c r="W40" s="607"/>
      <c r="X40" s="608"/>
      <c r="Y40" s="362"/>
      <c r="Z40" s="390"/>
      <c r="AA40" s="390"/>
      <c r="AB40" s="390"/>
      <c r="AC40" s="319"/>
      <c r="AD40" s="317"/>
      <c r="AE40" s="317"/>
      <c r="AF40" s="317"/>
      <c r="AG40" s="317"/>
      <c r="AH40" s="317"/>
      <c r="AI40" s="317"/>
      <c r="AJ40" s="320"/>
      <c r="AL40" s="182" t="s">
        <v>248</v>
      </c>
      <c r="AM40" s="182"/>
      <c r="AN40" s="182"/>
      <c r="AO40" s="182"/>
      <c r="AP40" s="182"/>
      <c r="AQ40" s="182"/>
      <c r="AR40" s="183"/>
      <c r="AS40" s="183"/>
      <c r="AT40" s="183"/>
      <c r="AU40" s="183"/>
      <c r="AV40" s="183"/>
      <c r="AW40" s="183"/>
      <c r="AX40" s="183"/>
      <c r="AY40" s="179"/>
      <c r="AZ40" s="179"/>
      <c r="BA40" s="179"/>
      <c r="BB40" s="179"/>
      <c r="BC40" s="179"/>
      <c r="BD40" s="179"/>
      <c r="BE40" s="179"/>
      <c r="BF40" s="179"/>
      <c r="BG40" s="179"/>
      <c r="BH40" s="179"/>
      <c r="BI40" s="179"/>
      <c r="BK40" s="605"/>
      <c r="BL40" s="605"/>
      <c r="BM40" s="605"/>
      <c r="BN40" s="605"/>
      <c r="BO40" s="605"/>
      <c r="BP40" s="605"/>
      <c r="BQ40" s="609" t="b">
        <v>0</v>
      </c>
      <c r="BR40" s="610"/>
      <c r="BS40" s="610"/>
      <c r="BT40" s="610"/>
      <c r="BU40" s="611"/>
      <c r="BW40" s="285" t="b">
        <v>0</v>
      </c>
      <c r="BX40" s="192" t="s">
        <v>89</v>
      </c>
      <c r="BY40" s="178"/>
      <c r="BZ40" s="178"/>
      <c r="CA40" s="178"/>
      <c r="CB40" s="178"/>
      <c r="CC40" s="178"/>
      <c r="CD40" s="196"/>
      <c r="CE40" s="196"/>
      <c r="CF40" s="196"/>
      <c r="CG40" s="196"/>
      <c r="CH40" s="178"/>
    </row>
    <row r="41" spans="2:87" ht="22.5" customHeight="1">
      <c r="B41" s="486">
        <v>105</v>
      </c>
      <c r="C41" s="606"/>
      <c r="D41" s="317" t="s">
        <v>462</v>
      </c>
      <c r="E41" s="317" t="s">
        <v>361</v>
      </c>
      <c r="F41" s="317" t="s">
        <v>361</v>
      </c>
      <c r="G41" s="317" t="s">
        <v>361</v>
      </c>
      <c r="H41" s="317" t="s">
        <v>361</v>
      </c>
      <c r="I41" s="317" t="s">
        <v>361</v>
      </c>
      <c r="J41" s="426">
        <v>5</v>
      </c>
      <c r="K41" s="426">
        <v>5</v>
      </c>
      <c r="L41" s="607"/>
      <c r="M41" s="607"/>
      <c r="N41" s="607"/>
      <c r="O41" s="607"/>
      <c r="P41" s="607"/>
      <c r="Q41" s="607"/>
      <c r="R41" s="607"/>
      <c r="S41" s="209"/>
      <c r="T41" s="607"/>
      <c r="U41" s="607"/>
      <c r="V41" s="607"/>
      <c r="W41" s="607"/>
      <c r="X41" s="608"/>
      <c r="Y41" s="362"/>
      <c r="Z41" s="390"/>
      <c r="AA41" s="390"/>
      <c r="AB41" s="390"/>
      <c r="AC41" s="319"/>
      <c r="AD41" s="317"/>
      <c r="AE41" s="317"/>
      <c r="AF41" s="317"/>
      <c r="AG41" s="317"/>
      <c r="AH41" s="317"/>
      <c r="AI41" s="317"/>
      <c r="AJ41" s="320"/>
      <c r="AL41" s="600" t="s">
        <v>27</v>
      </c>
      <c r="AM41" s="600"/>
      <c r="AN41" s="600" t="s">
        <v>58</v>
      </c>
      <c r="AO41" s="600"/>
      <c r="AP41" s="600" t="s">
        <v>14</v>
      </c>
      <c r="AQ41" s="600"/>
      <c r="AR41" s="600" t="s">
        <v>22</v>
      </c>
      <c r="AS41" s="600"/>
      <c r="AT41" s="600" t="s">
        <v>1</v>
      </c>
      <c r="AU41" s="600"/>
      <c r="AV41" s="600" t="s">
        <v>18</v>
      </c>
      <c r="AW41" s="600"/>
      <c r="AX41" s="600" t="s">
        <v>28</v>
      </c>
      <c r="AY41" s="600"/>
      <c r="AZ41" s="600" t="s">
        <v>24</v>
      </c>
      <c r="BA41" s="600"/>
      <c r="BB41" s="600" t="s">
        <v>16</v>
      </c>
      <c r="BC41" s="600"/>
      <c r="BD41" s="600" t="s">
        <v>67</v>
      </c>
      <c r="BE41" s="600"/>
      <c r="BF41" s="600" t="s">
        <v>20</v>
      </c>
      <c r="BG41" s="600"/>
      <c r="BH41" s="600" t="s">
        <v>68</v>
      </c>
      <c r="BI41" s="600"/>
      <c r="BK41" s="605"/>
      <c r="BL41" s="605"/>
      <c r="BM41" s="605"/>
      <c r="BN41" s="605"/>
      <c r="BO41" s="605"/>
      <c r="BP41" s="605"/>
      <c r="BQ41" s="609" t="b">
        <v>0</v>
      </c>
      <c r="BR41" s="610"/>
      <c r="BS41" s="610"/>
      <c r="BT41" s="610"/>
      <c r="BU41" s="611"/>
      <c r="BW41" s="285" t="b">
        <v>0</v>
      </c>
      <c r="BX41" s="192" t="s">
        <v>103</v>
      </c>
      <c r="BY41" s="178"/>
      <c r="BZ41" s="178"/>
      <c r="CA41" s="178"/>
      <c r="CB41" s="178"/>
      <c r="CC41" s="178"/>
      <c r="CD41" s="196"/>
      <c r="CE41" s="196"/>
      <c r="CF41" s="196"/>
      <c r="CG41" s="196"/>
      <c r="CH41" s="178"/>
    </row>
    <row r="42" spans="2:87" ht="22.5" customHeight="1">
      <c r="B42" s="486">
        <v>106</v>
      </c>
      <c r="C42" s="606"/>
      <c r="D42" s="317" t="s">
        <v>463</v>
      </c>
      <c r="E42" s="317" t="s">
        <v>362</v>
      </c>
      <c r="F42" s="317" t="s">
        <v>362</v>
      </c>
      <c r="G42" s="317" t="s">
        <v>362</v>
      </c>
      <c r="H42" s="317" t="s">
        <v>362</v>
      </c>
      <c r="I42" s="317" t="s">
        <v>362</v>
      </c>
      <c r="J42" s="426">
        <v>4</v>
      </c>
      <c r="K42" s="426">
        <v>4</v>
      </c>
      <c r="L42" s="607"/>
      <c r="M42" s="607"/>
      <c r="N42" s="607"/>
      <c r="O42" s="607"/>
      <c r="P42" s="607"/>
      <c r="Q42" s="607"/>
      <c r="R42" s="607"/>
      <c r="S42" s="209"/>
      <c r="T42" s="607"/>
      <c r="U42" s="607"/>
      <c r="V42" s="607"/>
      <c r="W42" s="607"/>
      <c r="X42" s="608"/>
      <c r="Y42" s="362"/>
      <c r="Z42" s="390"/>
      <c r="AA42" s="390"/>
      <c r="AB42" s="390"/>
      <c r="AC42" s="319"/>
      <c r="AD42" s="317"/>
      <c r="AE42" s="317"/>
      <c r="AF42" s="317"/>
      <c r="AG42" s="317"/>
      <c r="AH42" s="317"/>
      <c r="AI42" s="317"/>
      <c r="AJ42" s="320"/>
      <c r="AL42" s="330">
        <v>5</v>
      </c>
      <c r="AM42" s="330"/>
      <c r="AN42" s="330">
        <v>3</v>
      </c>
      <c r="AO42" s="330"/>
      <c r="AP42" s="330"/>
      <c r="AQ42" s="330"/>
      <c r="AR42" s="330"/>
      <c r="AS42" s="330"/>
      <c r="AT42" s="330"/>
      <c r="AU42" s="330"/>
      <c r="AV42" s="330"/>
      <c r="AW42" s="330"/>
      <c r="AX42" s="330"/>
      <c r="AY42" s="330"/>
      <c r="AZ42" s="330"/>
      <c r="BA42" s="330"/>
      <c r="BB42" s="330"/>
      <c r="BC42" s="330"/>
      <c r="BD42" s="330"/>
      <c r="BE42" s="330"/>
      <c r="BF42" s="330"/>
      <c r="BG42" s="330"/>
      <c r="BH42" s="330"/>
      <c r="BI42" s="330"/>
      <c r="BK42" s="612"/>
      <c r="BL42" s="612"/>
      <c r="BM42" s="612"/>
      <c r="BN42" s="612"/>
      <c r="BO42" s="612"/>
      <c r="BP42" s="612"/>
      <c r="BQ42" s="613" t="b">
        <v>0</v>
      </c>
      <c r="BR42" s="614"/>
      <c r="BS42" s="614"/>
      <c r="BT42" s="614"/>
      <c r="BU42" s="615"/>
      <c r="BW42" s="285" t="b">
        <v>0</v>
      </c>
      <c r="BX42" s="192" t="s">
        <v>82</v>
      </c>
      <c r="BY42" s="178"/>
      <c r="BZ42" s="178"/>
      <c r="CA42" s="178"/>
      <c r="CB42" s="178"/>
      <c r="CC42" s="178"/>
      <c r="CD42" s="196"/>
      <c r="CE42" s="196"/>
      <c r="CF42" s="196"/>
      <c r="CG42" s="196"/>
      <c r="CH42" s="178"/>
    </row>
    <row r="43" spans="2:87" ht="22.5" customHeight="1">
      <c r="B43" s="486">
        <v>107</v>
      </c>
      <c r="C43" s="606"/>
      <c r="D43" s="317" t="s">
        <v>464</v>
      </c>
      <c r="E43" s="317" t="s">
        <v>363</v>
      </c>
      <c r="F43" s="317" t="s">
        <v>363</v>
      </c>
      <c r="G43" s="317" t="s">
        <v>363</v>
      </c>
      <c r="H43" s="317" t="s">
        <v>363</v>
      </c>
      <c r="I43" s="317" t="s">
        <v>363</v>
      </c>
      <c r="J43" s="426">
        <v>4</v>
      </c>
      <c r="K43" s="426">
        <v>4</v>
      </c>
      <c r="L43" s="607"/>
      <c r="M43" s="607"/>
      <c r="N43" s="607"/>
      <c r="O43" s="607"/>
      <c r="P43" s="607"/>
      <c r="Q43" s="607"/>
      <c r="R43" s="607"/>
      <c r="S43" s="209"/>
      <c r="T43" s="607"/>
      <c r="U43" s="607"/>
      <c r="V43" s="607"/>
      <c r="W43" s="607"/>
      <c r="X43" s="608"/>
      <c r="Y43" s="362"/>
      <c r="Z43" s="390"/>
      <c r="AA43" s="390"/>
      <c r="AB43" s="390"/>
      <c r="AC43" s="319"/>
      <c r="AD43" s="317"/>
      <c r="AE43" s="317"/>
      <c r="AF43" s="317"/>
      <c r="AG43" s="317"/>
      <c r="AH43" s="317"/>
      <c r="AI43" s="317"/>
      <c r="AJ43" s="320"/>
      <c r="AL43" s="171"/>
      <c r="AM43" s="171"/>
      <c r="AN43" s="171"/>
      <c r="AO43" s="171"/>
      <c r="AP43" s="171"/>
      <c r="AQ43" s="171"/>
      <c r="AR43" s="171"/>
      <c r="AS43" s="171"/>
      <c r="AT43" s="171"/>
      <c r="AU43" s="171"/>
      <c r="AV43" s="171"/>
      <c r="AW43" s="171"/>
      <c r="AX43" s="171"/>
      <c r="AY43" s="171"/>
      <c r="AZ43" s="171"/>
      <c r="BA43" s="171"/>
      <c r="BB43" s="171"/>
      <c r="BC43" s="171"/>
      <c r="BD43" s="171"/>
      <c r="BE43" s="171"/>
      <c r="BF43" s="171"/>
      <c r="BG43" s="171"/>
      <c r="BH43" s="171"/>
      <c r="BI43" s="171"/>
      <c r="BV43" s="164"/>
    </row>
    <row r="44" spans="2:87" ht="22.5" customHeight="1">
      <c r="B44" s="486">
        <v>108</v>
      </c>
      <c r="C44" s="606"/>
      <c r="D44" s="317" t="s">
        <v>465</v>
      </c>
      <c r="E44" s="317" t="s">
        <v>364</v>
      </c>
      <c r="F44" s="317" t="s">
        <v>364</v>
      </c>
      <c r="G44" s="317" t="s">
        <v>364</v>
      </c>
      <c r="H44" s="317" t="s">
        <v>364</v>
      </c>
      <c r="I44" s="317" t="s">
        <v>364</v>
      </c>
      <c r="J44" s="426">
        <v>4</v>
      </c>
      <c r="K44" s="426">
        <v>4</v>
      </c>
      <c r="L44" s="607"/>
      <c r="M44" s="607"/>
      <c r="N44" s="607"/>
      <c r="O44" s="607"/>
      <c r="P44" s="607"/>
      <c r="Q44" s="607"/>
      <c r="R44" s="607"/>
      <c r="S44" s="209"/>
      <c r="T44" s="607"/>
      <c r="U44" s="607"/>
      <c r="V44" s="607"/>
      <c r="W44" s="607"/>
      <c r="X44" s="608"/>
      <c r="Y44" s="362"/>
      <c r="Z44" s="390"/>
      <c r="AA44" s="390"/>
      <c r="AB44" s="390"/>
      <c r="AC44" s="319"/>
      <c r="AD44" s="317"/>
      <c r="AE44" s="317"/>
      <c r="AF44" s="317"/>
      <c r="AG44" s="317"/>
      <c r="AH44" s="317"/>
      <c r="AI44" s="317"/>
      <c r="AJ44" s="320"/>
      <c r="AL44" s="179" t="s">
        <v>246</v>
      </c>
      <c r="AM44" s="179"/>
      <c r="AN44" s="179"/>
      <c r="AO44" s="179"/>
      <c r="AP44" s="179"/>
      <c r="AQ44" s="179"/>
      <c r="AR44" s="179"/>
      <c r="AS44" s="179"/>
      <c r="AT44" s="179"/>
      <c r="AU44" s="179"/>
      <c r="AV44" s="179"/>
      <c r="AW44" s="179"/>
      <c r="AX44" s="179"/>
      <c r="AY44" s="179"/>
      <c r="AZ44" s="179"/>
      <c r="BA44" s="179"/>
      <c r="BB44" s="179"/>
      <c r="BC44" s="179"/>
      <c r="BD44" s="179"/>
      <c r="BE44" s="179"/>
      <c r="BF44" s="179"/>
      <c r="BG44" s="179"/>
      <c r="BH44" s="179"/>
      <c r="BI44" s="179"/>
      <c r="BJ44" s="163"/>
      <c r="BK44" s="163"/>
      <c r="BL44" s="163"/>
      <c r="BM44" s="163"/>
      <c r="BN44" s="163"/>
      <c r="BO44" s="163"/>
      <c r="BP44" s="163"/>
      <c r="BQ44" s="163"/>
      <c r="BR44" s="163"/>
      <c r="BS44" s="163"/>
      <c r="BT44" s="163"/>
      <c r="BU44" s="163"/>
      <c r="BV44" s="164"/>
      <c r="BW44" s="179" t="s">
        <v>75</v>
      </c>
      <c r="BX44" s="179"/>
      <c r="BY44" s="179"/>
      <c r="BZ44" s="179"/>
      <c r="CA44" s="179"/>
      <c r="CB44" s="179"/>
      <c r="CC44" s="179"/>
      <c r="CD44" s="179"/>
      <c r="CE44" s="179"/>
      <c r="CF44" s="179"/>
      <c r="CG44" s="179"/>
      <c r="CH44" s="179"/>
    </row>
    <row r="45" spans="2:87" ht="22.5" customHeight="1">
      <c r="B45" s="486">
        <v>109</v>
      </c>
      <c r="C45" s="606"/>
      <c r="D45" s="317" t="s">
        <v>466</v>
      </c>
      <c r="E45" s="317" t="s">
        <v>365</v>
      </c>
      <c r="F45" s="317" t="s">
        <v>365</v>
      </c>
      <c r="G45" s="317" t="s">
        <v>365</v>
      </c>
      <c r="H45" s="317" t="s">
        <v>365</v>
      </c>
      <c r="I45" s="317" t="s">
        <v>365</v>
      </c>
      <c r="J45" s="426">
        <v>5</v>
      </c>
      <c r="K45" s="426">
        <v>5</v>
      </c>
      <c r="L45" s="607"/>
      <c r="M45" s="607"/>
      <c r="N45" s="607"/>
      <c r="O45" s="607"/>
      <c r="P45" s="607"/>
      <c r="Q45" s="607"/>
      <c r="R45" s="607"/>
      <c r="S45" s="209"/>
      <c r="T45" s="607"/>
      <c r="U45" s="607"/>
      <c r="V45" s="607"/>
      <c r="W45" s="607"/>
      <c r="X45" s="608"/>
      <c r="Y45" s="844"/>
      <c r="Z45" s="845"/>
      <c r="AA45" s="845"/>
      <c r="AB45" s="845"/>
      <c r="AC45" s="616"/>
      <c r="AD45" s="317"/>
      <c r="AE45" s="317"/>
      <c r="AF45" s="317"/>
      <c r="AG45" s="317"/>
      <c r="AH45" s="317"/>
      <c r="AI45" s="317"/>
      <c r="AJ45" s="320"/>
      <c r="AL45" s="618" t="s">
        <v>27</v>
      </c>
      <c r="AM45" s="618"/>
      <c r="AN45" s="618" t="s">
        <v>58</v>
      </c>
      <c r="AO45" s="618"/>
      <c r="AP45" s="618" t="s">
        <v>14</v>
      </c>
      <c r="AQ45" s="618"/>
      <c r="AR45" s="618" t="s">
        <v>22</v>
      </c>
      <c r="AS45" s="618"/>
      <c r="AT45" s="618" t="s">
        <v>1</v>
      </c>
      <c r="AU45" s="618"/>
      <c r="AV45" s="618" t="s">
        <v>18</v>
      </c>
      <c r="AW45" s="618"/>
      <c r="AX45" s="618" t="s">
        <v>28</v>
      </c>
      <c r="AY45" s="618"/>
      <c r="AZ45" s="618" t="s">
        <v>24</v>
      </c>
      <c r="BA45" s="618"/>
      <c r="BB45" s="618" t="s">
        <v>16</v>
      </c>
      <c r="BC45" s="618"/>
      <c r="BD45" s="618" t="s">
        <v>67</v>
      </c>
      <c r="BE45" s="618"/>
      <c r="BF45" s="618" t="s">
        <v>20</v>
      </c>
      <c r="BG45" s="618"/>
      <c r="BH45" s="618" t="s">
        <v>68</v>
      </c>
      <c r="BI45" s="618"/>
      <c r="BK45" s="630" t="s">
        <v>108</v>
      </c>
      <c r="BL45" s="631"/>
      <c r="BM45" s="634">
        <f>SUM(AL46:BI46)</f>
        <v>3</v>
      </c>
      <c r="BN45" s="635"/>
      <c r="BO45" s="636"/>
      <c r="BP45" s="640" t="s">
        <v>107</v>
      </c>
      <c r="BQ45" s="641"/>
      <c r="BR45" s="631"/>
      <c r="BS45" s="642" t="str">
        <f>IF(OR(BP46="",ISBLANK(BP46)),"",
IF(BP46&gt;=5,"A",
IF(BP46&gt;=4,"B",
IF(BP46&gt;=3,"C",
IF(BP46&gt;=1,"D","E")))))</f>
        <v>D</v>
      </c>
      <c r="BT45" s="556"/>
      <c r="BU45" s="557"/>
      <c r="BV45" s="164"/>
      <c r="BW45" s="619"/>
      <c r="BX45" s="620"/>
      <c r="BY45" s="620"/>
      <c r="BZ45" s="620"/>
      <c r="CA45" s="620"/>
      <c r="CB45" s="620"/>
      <c r="CC45" s="620"/>
      <c r="CD45" s="620"/>
      <c r="CE45" s="620"/>
      <c r="CF45" s="620"/>
      <c r="CG45" s="620"/>
      <c r="CH45" s="621"/>
    </row>
    <row r="46" spans="2:87" ht="22.5" customHeight="1" thickBot="1">
      <c r="B46" s="622">
        <v>110</v>
      </c>
      <c r="C46" s="623"/>
      <c r="D46" s="624" t="s">
        <v>467</v>
      </c>
      <c r="E46" s="624" t="s">
        <v>366</v>
      </c>
      <c r="F46" s="624" t="s">
        <v>366</v>
      </c>
      <c r="G46" s="624" t="s">
        <v>366</v>
      </c>
      <c r="H46" s="624" t="s">
        <v>366</v>
      </c>
      <c r="I46" s="624" t="s">
        <v>366</v>
      </c>
      <c r="J46" s="625">
        <v>5</v>
      </c>
      <c r="K46" s="625">
        <v>5</v>
      </c>
      <c r="L46" s="626"/>
      <c r="M46" s="626"/>
      <c r="N46" s="626"/>
      <c r="O46" s="626"/>
      <c r="P46" s="626"/>
      <c r="Q46" s="626"/>
      <c r="R46" s="626"/>
      <c r="S46" s="211"/>
      <c r="T46" s="626"/>
      <c r="U46" s="626"/>
      <c r="V46" s="626"/>
      <c r="W46" s="626"/>
      <c r="X46" s="627"/>
      <c r="Y46" s="846"/>
      <c r="Z46" s="847"/>
      <c r="AA46" s="847"/>
      <c r="AB46" s="847"/>
      <c r="AC46" s="628"/>
      <c r="AD46" s="624"/>
      <c r="AE46" s="624"/>
      <c r="AF46" s="624"/>
      <c r="AG46" s="624"/>
      <c r="AH46" s="624"/>
      <c r="AI46" s="624"/>
      <c r="AJ46" s="629"/>
      <c r="AL46" s="330">
        <v>1</v>
      </c>
      <c r="AM46" s="330"/>
      <c r="AN46" s="330">
        <v>2</v>
      </c>
      <c r="AO46" s="330"/>
      <c r="AP46" s="330"/>
      <c r="AQ46" s="330"/>
      <c r="AR46" s="330"/>
      <c r="AS46" s="330"/>
      <c r="AT46" s="330"/>
      <c r="AU46" s="330"/>
      <c r="AV46" s="330"/>
      <c r="AW46" s="330"/>
      <c r="AX46" s="330"/>
      <c r="AY46" s="330"/>
      <c r="AZ46" s="330"/>
      <c r="BA46" s="330"/>
      <c r="BB46" s="330"/>
      <c r="BC46" s="330"/>
      <c r="BD46" s="330"/>
      <c r="BE46" s="330"/>
      <c r="BF46" s="330"/>
      <c r="BG46" s="330"/>
      <c r="BH46" s="330"/>
      <c r="BI46" s="330"/>
      <c r="BK46" s="632"/>
      <c r="BL46" s="633"/>
      <c r="BM46" s="637"/>
      <c r="BN46" s="638"/>
      <c r="BO46" s="639"/>
      <c r="BP46" s="652">
        <f>IF(COUNT(AL46:BI46)=0,"",ROUND(AVERAGE(AL46:BI46),1))</f>
        <v>1.5</v>
      </c>
      <c r="BQ46" s="653"/>
      <c r="BR46" s="654"/>
      <c r="BS46" s="643"/>
      <c r="BT46" s="559"/>
      <c r="BU46" s="560"/>
      <c r="BV46" s="164"/>
      <c r="BW46" s="644"/>
      <c r="BX46" s="607"/>
      <c r="BY46" s="607"/>
      <c r="BZ46" s="607"/>
      <c r="CA46" s="607"/>
      <c r="CB46" s="607"/>
      <c r="CC46" s="607"/>
      <c r="CD46" s="607"/>
      <c r="CE46" s="607"/>
      <c r="CF46" s="607"/>
      <c r="CG46" s="607"/>
      <c r="CH46" s="608"/>
    </row>
    <row r="47" spans="2:87" ht="22.5" customHeight="1">
      <c r="B47" s="550">
        <v>201</v>
      </c>
      <c r="C47" s="645"/>
      <c r="D47" s="646" t="s">
        <v>468</v>
      </c>
      <c r="E47" s="646" t="s">
        <v>367</v>
      </c>
      <c r="F47" s="646" t="s">
        <v>367</v>
      </c>
      <c r="G47" s="646" t="s">
        <v>367</v>
      </c>
      <c r="H47" s="646" t="s">
        <v>367</v>
      </c>
      <c r="I47" s="646" t="s">
        <v>367</v>
      </c>
      <c r="J47" s="647">
        <v>3</v>
      </c>
      <c r="K47" s="647">
        <v>3</v>
      </c>
      <c r="L47" s="648"/>
      <c r="M47" s="648"/>
      <c r="N47" s="648"/>
      <c r="O47" s="648"/>
      <c r="P47" s="648"/>
      <c r="Q47" s="648"/>
      <c r="R47" s="648"/>
      <c r="S47" s="212"/>
      <c r="T47" s="648"/>
      <c r="U47" s="648"/>
      <c r="V47" s="648"/>
      <c r="W47" s="648"/>
      <c r="X47" s="649"/>
      <c r="Y47" s="848"/>
      <c r="Z47" s="849"/>
      <c r="AA47" s="849"/>
      <c r="AB47" s="849"/>
      <c r="AC47" s="650"/>
      <c r="AD47" s="646"/>
      <c r="AE47" s="646"/>
      <c r="AF47" s="646"/>
      <c r="AG47" s="646"/>
      <c r="AH47" s="646"/>
      <c r="AI47" s="646"/>
      <c r="AJ47" s="651"/>
      <c r="BV47" s="164"/>
      <c r="BW47" s="644"/>
      <c r="BX47" s="607"/>
      <c r="BY47" s="607"/>
      <c r="BZ47" s="607"/>
      <c r="CA47" s="607"/>
      <c r="CB47" s="607"/>
      <c r="CC47" s="607"/>
      <c r="CD47" s="607"/>
      <c r="CE47" s="607"/>
      <c r="CF47" s="607"/>
      <c r="CG47" s="607"/>
      <c r="CH47" s="608"/>
    </row>
    <row r="48" spans="2:87" ht="22.5" customHeight="1">
      <c r="B48" s="486">
        <v>202</v>
      </c>
      <c r="C48" s="606"/>
      <c r="D48" s="317" t="s">
        <v>469</v>
      </c>
      <c r="E48" s="317" t="s">
        <v>368</v>
      </c>
      <c r="F48" s="317" t="s">
        <v>368</v>
      </c>
      <c r="G48" s="317" t="s">
        <v>368</v>
      </c>
      <c r="H48" s="317" t="s">
        <v>368</v>
      </c>
      <c r="I48" s="317" t="s">
        <v>368</v>
      </c>
      <c r="J48" s="426">
        <v>5</v>
      </c>
      <c r="K48" s="426">
        <v>5</v>
      </c>
      <c r="L48" s="607"/>
      <c r="M48" s="607"/>
      <c r="N48" s="607"/>
      <c r="O48" s="607"/>
      <c r="P48" s="607"/>
      <c r="Q48" s="607"/>
      <c r="R48" s="607"/>
      <c r="S48" s="209"/>
      <c r="T48" s="607"/>
      <c r="U48" s="607"/>
      <c r="V48" s="607"/>
      <c r="W48" s="607"/>
      <c r="X48" s="608"/>
      <c r="Y48" s="362" t="s">
        <v>580</v>
      </c>
      <c r="Z48" s="390" t="s">
        <v>272</v>
      </c>
      <c r="AA48" s="390" t="s">
        <v>272</v>
      </c>
      <c r="AB48" s="390" t="s">
        <v>272</v>
      </c>
      <c r="AC48" s="319" t="s">
        <v>272</v>
      </c>
      <c r="AD48" s="317" t="s">
        <v>723</v>
      </c>
      <c r="AE48" s="317"/>
      <c r="AF48" s="317" t="s">
        <v>733</v>
      </c>
      <c r="AG48" s="317"/>
      <c r="AH48" s="317"/>
      <c r="AI48" s="317"/>
      <c r="AJ48" s="320"/>
      <c r="AL48" s="182" t="s">
        <v>241</v>
      </c>
      <c r="AM48" s="182"/>
      <c r="AN48" s="182"/>
      <c r="AO48" s="182"/>
      <c r="AP48" s="182"/>
      <c r="AQ48" s="182"/>
      <c r="AR48" s="183"/>
      <c r="AS48" s="183"/>
      <c r="AT48" s="183"/>
      <c r="AU48" s="183"/>
      <c r="AV48" s="183"/>
      <c r="AW48" s="183"/>
      <c r="AX48" s="184"/>
      <c r="AY48" s="184"/>
      <c r="AZ48" s="184"/>
      <c r="BA48" s="184"/>
      <c r="BB48" s="185"/>
      <c r="BC48" s="185"/>
      <c r="BD48" s="185"/>
      <c r="BE48" s="185"/>
      <c r="BF48" s="186"/>
      <c r="BG48" s="186"/>
      <c r="BH48" s="186"/>
      <c r="BI48" s="186"/>
      <c r="BJ48" s="163"/>
      <c r="BK48" s="163"/>
      <c r="BL48" s="163"/>
      <c r="BM48" s="163"/>
      <c r="BN48" s="163"/>
      <c r="BO48" s="163"/>
      <c r="BP48" s="163"/>
      <c r="BQ48" s="163"/>
      <c r="BR48" s="163"/>
      <c r="BS48" s="163"/>
      <c r="BT48" s="163"/>
      <c r="BU48" s="163"/>
      <c r="BV48" s="164"/>
      <c r="BW48" s="644"/>
      <c r="BX48" s="607"/>
      <c r="BY48" s="607"/>
      <c r="BZ48" s="607"/>
      <c r="CA48" s="607"/>
      <c r="CB48" s="607"/>
      <c r="CC48" s="607"/>
      <c r="CD48" s="607"/>
      <c r="CE48" s="607"/>
      <c r="CF48" s="607"/>
      <c r="CG48" s="607"/>
      <c r="CH48" s="608"/>
    </row>
    <row r="49" spans="2:86" ht="22.5" customHeight="1">
      <c r="B49" s="486">
        <v>203</v>
      </c>
      <c r="C49" s="606"/>
      <c r="D49" s="317" t="s">
        <v>470</v>
      </c>
      <c r="E49" s="317" t="s">
        <v>369</v>
      </c>
      <c r="F49" s="317" t="s">
        <v>369</v>
      </c>
      <c r="G49" s="317" t="s">
        <v>369</v>
      </c>
      <c r="H49" s="317" t="s">
        <v>369</v>
      </c>
      <c r="I49" s="317" t="s">
        <v>369</v>
      </c>
      <c r="J49" s="426">
        <v>5</v>
      </c>
      <c r="K49" s="426">
        <v>5</v>
      </c>
      <c r="L49" s="607"/>
      <c r="M49" s="607"/>
      <c r="N49" s="607"/>
      <c r="O49" s="607"/>
      <c r="P49" s="607"/>
      <c r="Q49" s="607"/>
      <c r="R49" s="607"/>
      <c r="S49" s="209"/>
      <c r="T49" s="607"/>
      <c r="U49" s="607"/>
      <c r="V49" s="607"/>
      <c r="W49" s="607"/>
      <c r="X49" s="608"/>
      <c r="Y49" s="362" t="s">
        <v>580</v>
      </c>
      <c r="Z49" s="390" t="s">
        <v>272</v>
      </c>
      <c r="AA49" s="390" t="s">
        <v>272</v>
      </c>
      <c r="AB49" s="390" t="s">
        <v>272</v>
      </c>
      <c r="AC49" s="319" t="s">
        <v>272</v>
      </c>
      <c r="AD49" s="317" t="s">
        <v>723</v>
      </c>
      <c r="AE49" s="317"/>
      <c r="AF49" s="317" t="s">
        <v>733</v>
      </c>
      <c r="AG49" s="317"/>
      <c r="AH49" s="317"/>
      <c r="AI49" s="317"/>
      <c r="AJ49" s="320"/>
      <c r="AL49" s="600" t="s">
        <v>27</v>
      </c>
      <c r="AM49" s="600"/>
      <c r="AN49" s="600" t="s">
        <v>58</v>
      </c>
      <c r="AO49" s="600"/>
      <c r="AP49" s="600" t="s">
        <v>14</v>
      </c>
      <c r="AQ49" s="600"/>
      <c r="AR49" s="600" t="s">
        <v>22</v>
      </c>
      <c r="AS49" s="600"/>
      <c r="AT49" s="600" t="s">
        <v>1</v>
      </c>
      <c r="AU49" s="600"/>
      <c r="AV49" s="600" t="s">
        <v>18</v>
      </c>
      <c r="AW49" s="600"/>
      <c r="AX49" s="600" t="s">
        <v>28</v>
      </c>
      <c r="AY49" s="600"/>
      <c r="AZ49" s="600" t="s">
        <v>24</v>
      </c>
      <c r="BA49" s="600"/>
      <c r="BB49" s="600" t="s">
        <v>16</v>
      </c>
      <c r="BC49" s="600"/>
      <c r="BD49" s="600" t="s">
        <v>67</v>
      </c>
      <c r="BE49" s="600"/>
      <c r="BF49" s="600" t="s">
        <v>20</v>
      </c>
      <c r="BG49" s="600"/>
      <c r="BH49" s="600" t="s">
        <v>68</v>
      </c>
      <c r="BI49" s="600"/>
      <c r="BK49" s="658" t="s">
        <v>108</v>
      </c>
      <c r="BL49" s="326"/>
      <c r="BM49" s="659">
        <f>SUM(AL50:BI50)</f>
        <v>5</v>
      </c>
      <c r="BN49" s="660"/>
      <c r="BO49" s="661"/>
      <c r="BP49" s="327" t="s">
        <v>107</v>
      </c>
      <c r="BQ49" s="328"/>
      <c r="BR49" s="326"/>
      <c r="BS49" s="665"/>
      <c r="BT49" s="666"/>
      <c r="BU49" s="667"/>
      <c r="BV49" s="164"/>
      <c r="BW49" s="655"/>
      <c r="BX49" s="656"/>
      <c r="BY49" s="656"/>
      <c r="BZ49" s="656"/>
      <c r="CA49" s="656"/>
      <c r="CB49" s="656"/>
      <c r="CC49" s="656"/>
      <c r="CD49" s="656"/>
      <c r="CE49" s="656"/>
      <c r="CF49" s="656"/>
      <c r="CG49" s="656"/>
      <c r="CH49" s="657"/>
    </row>
    <row r="50" spans="2:86" ht="22.5" customHeight="1">
      <c r="B50" s="486">
        <v>204</v>
      </c>
      <c r="C50" s="606"/>
      <c r="D50" s="317" t="s">
        <v>471</v>
      </c>
      <c r="E50" s="317" t="s">
        <v>370</v>
      </c>
      <c r="F50" s="317" t="s">
        <v>370</v>
      </c>
      <c r="G50" s="317" t="s">
        <v>370</v>
      </c>
      <c r="H50" s="317" t="s">
        <v>370</v>
      </c>
      <c r="I50" s="317" t="s">
        <v>370</v>
      </c>
      <c r="J50" s="426">
        <v>5</v>
      </c>
      <c r="K50" s="426">
        <v>5</v>
      </c>
      <c r="L50" s="607"/>
      <c r="M50" s="607"/>
      <c r="N50" s="607"/>
      <c r="O50" s="607"/>
      <c r="P50" s="607"/>
      <c r="Q50" s="607"/>
      <c r="R50" s="607"/>
      <c r="S50" s="209"/>
      <c r="T50" s="607"/>
      <c r="U50" s="607"/>
      <c r="V50" s="607"/>
      <c r="W50" s="607"/>
      <c r="X50" s="608"/>
      <c r="Y50" s="362"/>
      <c r="Z50" s="390"/>
      <c r="AA50" s="390"/>
      <c r="AB50" s="390"/>
      <c r="AC50" s="319"/>
      <c r="AD50" s="317"/>
      <c r="AE50" s="317"/>
      <c r="AF50" s="317"/>
      <c r="AG50" s="317"/>
      <c r="AH50" s="317"/>
      <c r="AI50" s="317"/>
      <c r="AJ50" s="320"/>
      <c r="AL50" s="330">
        <v>2</v>
      </c>
      <c r="AM50" s="330"/>
      <c r="AN50" s="330">
        <v>3</v>
      </c>
      <c r="AO50" s="330"/>
      <c r="AP50" s="330"/>
      <c r="AQ50" s="330"/>
      <c r="AR50" s="330"/>
      <c r="AS50" s="330"/>
      <c r="AT50" s="330"/>
      <c r="AU50" s="330"/>
      <c r="AV50" s="330"/>
      <c r="AW50" s="330"/>
      <c r="AX50" s="330"/>
      <c r="AY50" s="330"/>
      <c r="AZ50" s="330"/>
      <c r="BA50" s="330"/>
      <c r="BB50" s="330"/>
      <c r="BC50" s="330"/>
      <c r="BD50" s="330"/>
      <c r="BE50" s="330"/>
      <c r="BF50" s="330"/>
      <c r="BG50" s="330"/>
      <c r="BH50" s="330"/>
      <c r="BI50" s="330"/>
      <c r="BK50" s="575"/>
      <c r="BL50" s="576"/>
      <c r="BM50" s="662"/>
      <c r="BN50" s="663"/>
      <c r="BO50" s="664"/>
      <c r="BP50" s="652">
        <f>IF(COUNT(AL50:BI50)=0,"",ROUND(AVERAGE(AL50:BI50),1))</f>
        <v>2.5</v>
      </c>
      <c r="BQ50" s="653"/>
      <c r="BR50" s="654"/>
      <c r="BS50" s="668"/>
      <c r="BT50" s="669"/>
      <c r="BU50" s="670"/>
      <c r="BV50" s="164"/>
    </row>
    <row r="51" spans="2:86" ht="22.5" customHeight="1">
      <c r="B51" s="486">
        <v>205</v>
      </c>
      <c r="C51" s="606"/>
      <c r="D51" s="317" t="s">
        <v>472</v>
      </c>
      <c r="E51" s="317" t="s">
        <v>371</v>
      </c>
      <c r="F51" s="317" t="s">
        <v>371</v>
      </c>
      <c r="G51" s="317" t="s">
        <v>371</v>
      </c>
      <c r="H51" s="317" t="s">
        <v>371</v>
      </c>
      <c r="I51" s="317" t="s">
        <v>371</v>
      </c>
      <c r="J51" s="426">
        <v>3</v>
      </c>
      <c r="K51" s="426">
        <v>3</v>
      </c>
      <c r="L51" s="607" t="s">
        <v>735</v>
      </c>
      <c r="M51" s="607"/>
      <c r="N51" s="607"/>
      <c r="O51" s="607"/>
      <c r="P51" s="607"/>
      <c r="Q51" s="607"/>
      <c r="R51" s="607"/>
      <c r="S51" s="209" t="s">
        <v>728</v>
      </c>
      <c r="T51" s="607"/>
      <c r="U51" s="607"/>
      <c r="V51" s="607"/>
      <c r="W51" s="607"/>
      <c r="X51" s="608"/>
      <c r="Y51" s="362"/>
      <c r="Z51" s="390"/>
      <c r="AA51" s="390"/>
      <c r="AB51" s="390"/>
      <c r="AC51" s="319"/>
      <c r="AD51" s="317"/>
      <c r="AE51" s="317"/>
      <c r="AF51" s="317" t="s">
        <v>765</v>
      </c>
      <c r="AG51" s="317"/>
      <c r="AH51" s="317"/>
      <c r="AI51" s="317"/>
      <c r="AJ51" s="320"/>
      <c r="AQ51" s="169"/>
      <c r="AR51" s="168"/>
      <c r="AS51" s="168"/>
      <c r="AT51" s="168"/>
      <c r="AU51" s="168"/>
      <c r="AV51" s="168"/>
      <c r="AW51" s="169"/>
      <c r="AX51" s="172"/>
      <c r="AY51" s="172"/>
      <c r="AZ51" s="172"/>
      <c r="BA51" s="172"/>
      <c r="BB51" s="168"/>
      <c r="BC51" s="168"/>
      <c r="BD51" s="168"/>
      <c r="BE51" s="168"/>
      <c r="BF51" s="169"/>
      <c r="BG51" s="169"/>
      <c r="BH51" s="169"/>
      <c r="BI51" s="169"/>
      <c r="BW51" s="179" t="s">
        <v>259</v>
      </c>
      <c r="BX51" s="179"/>
      <c r="BY51" s="179"/>
      <c r="BZ51" s="179"/>
      <c r="CA51" s="179"/>
      <c r="CB51" s="179"/>
      <c r="CC51" s="179"/>
      <c r="CD51" s="179"/>
      <c r="CE51" s="179"/>
      <c r="CF51" s="179"/>
      <c r="CG51" s="179"/>
      <c r="CH51" s="179"/>
    </row>
    <row r="52" spans="2:86" ht="22.5" customHeight="1">
      <c r="B52" s="486">
        <v>206</v>
      </c>
      <c r="C52" s="606"/>
      <c r="D52" s="317" t="s">
        <v>473</v>
      </c>
      <c r="E52" s="317" t="s">
        <v>372</v>
      </c>
      <c r="F52" s="317" t="s">
        <v>372</v>
      </c>
      <c r="G52" s="317" t="s">
        <v>372</v>
      </c>
      <c r="H52" s="317" t="s">
        <v>372</v>
      </c>
      <c r="I52" s="317" t="s">
        <v>372</v>
      </c>
      <c r="J52" s="426">
        <v>3</v>
      </c>
      <c r="K52" s="426">
        <v>3</v>
      </c>
      <c r="L52" s="607" t="s">
        <v>766</v>
      </c>
      <c r="M52" s="607"/>
      <c r="N52" s="607"/>
      <c r="O52" s="607"/>
      <c r="P52" s="607"/>
      <c r="Q52" s="607"/>
      <c r="R52" s="607"/>
      <c r="S52" s="209" t="s">
        <v>767</v>
      </c>
      <c r="T52" s="607"/>
      <c r="U52" s="607"/>
      <c r="V52" s="607"/>
      <c r="W52" s="607"/>
      <c r="X52" s="608"/>
      <c r="Y52" s="362"/>
      <c r="Z52" s="390"/>
      <c r="AA52" s="390"/>
      <c r="AB52" s="390"/>
      <c r="AC52" s="319"/>
      <c r="AD52" s="317"/>
      <c r="AE52" s="317"/>
      <c r="AF52" s="317"/>
      <c r="AG52" s="317"/>
      <c r="AH52" s="317"/>
      <c r="AI52" s="317"/>
      <c r="AJ52" s="320"/>
      <c r="AL52" s="182" t="s">
        <v>242</v>
      </c>
      <c r="AM52" s="182"/>
      <c r="AN52" s="182"/>
      <c r="AO52" s="182"/>
      <c r="AP52" s="182"/>
      <c r="AQ52" s="182"/>
      <c r="AR52" s="183"/>
      <c r="AS52" s="183"/>
      <c r="AT52" s="183"/>
      <c r="AU52" s="183"/>
      <c r="AV52" s="183"/>
      <c r="AW52" s="183"/>
      <c r="AX52" s="184"/>
      <c r="AY52" s="184"/>
      <c r="AZ52" s="184"/>
      <c r="BA52" s="184"/>
      <c r="BB52" s="185"/>
      <c r="BC52" s="185"/>
      <c r="BD52" s="185"/>
      <c r="BE52" s="185"/>
      <c r="BF52" s="186"/>
      <c r="BG52" s="186"/>
      <c r="BH52" s="186"/>
      <c r="BI52" s="186"/>
      <c r="BJ52" s="163"/>
      <c r="BK52" s="163"/>
      <c r="BL52" s="163"/>
      <c r="BM52" s="163"/>
      <c r="BN52" s="163"/>
      <c r="BO52" s="163"/>
      <c r="BP52" s="163"/>
      <c r="BQ52" s="163"/>
      <c r="BR52" s="163"/>
      <c r="BS52" s="163"/>
      <c r="BT52" s="163"/>
      <c r="BU52" s="163"/>
      <c r="BW52" s="678"/>
      <c r="BX52" s="679"/>
      <c r="BY52" s="679"/>
      <c r="BZ52" s="679"/>
      <c r="CA52" s="679"/>
      <c r="CB52" s="679"/>
      <c r="CC52" s="679"/>
      <c r="CD52" s="679"/>
      <c r="CE52" s="679"/>
      <c r="CF52" s="679"/>
      <c r="CG52" s="679"/>
      <c r="CH52" s="680"/>
    </row>
    <row r="53" spans="2:86" ht="22.5" customHeight="1">
      <c r="B53" s="486">
        <v>207</v>
      </c>
      <c r="C53" s="606"/>
      <c r="D53" s="317" t="s">
        <v>474</v>
      </c>
      <c r="E53" s="317" t="s">
        <v>373</v>
      </c>
      <c r="F53" s="317" t="s">
        <v>373</v>
      </c>
      <c r="G53" s="317" t="s">
        <v>373</v>
      </c>
      <c r="H53" s="317" t="s">
        <v>373</v>
      </c>
      <c r="I53" s="317" t="s">
        <v>373</v>
      </c>
      <c r="J53" s="426">
        <v>5</v>
      </c>
      <c r="K53" s="426">
        <v>5</v>
      </c>
      <c r="L53" s="607"/>
      <c r="M53" s="607"/>
      <c r="N53" s="607"/>
      <c r="O53" s="607"/>
      <c r="P53" s="607"/>
      <c r="Q53" s="607"/>
      <c r="R53" s="607"/>
      <c r="S53" s="209"/>
      <c r="T53" s="607"/>
      <c r="U53" s="607"/>
      <c r="V53" s="607"/>
      <c r="W53" s="607"/>
      <c r="X53" s="608"/>
      <c r="Y53" s="234" t="s">
        <v>580</v>
      </c>
      <c r="Z53" s="209" t="s">
        <v>272</v>
      </c>
      <c r="AA53" s="209" t="s">
        <v>272</v>
      </c>
      <c r="AB53" s="209" t="s">
        <v>272</v>
      </c>
      <c r="AC53" s="209" t="s">
        <v>272</v>
      </c>
      <c r="AD53" s="317" t="s">
        <v>723</v>
      </c>
      <c r="AE53" s="317"/>
      <c r="AF53" s="317" t="s">
        <v>733</v>
      </c>
      <c r="AG53" s="317"/>
      <c r="AH53" s="317"/>
      <c r="AI53" s="317"/>
      <c r="AJ53" s="320"/>
      <c r="AL53" s="671" t="s">
        <v>27</v>
      </c>
      <c r="AM53" s="671"/>
      <c r="AN53" s="671" t="s">
        <v>58</v>
      </c>
      <c r="AO53" s="671"/>
      <c r="AP53" s="671" t="s">
        <v>14</v>
      </c>
      <c r="AQ53" s="671"/>
      <c r="AR53" s="671" t="s">
        <v>22</v>
      </c>
      <c r="AS53" s="671"/>
      <c r="AT53" s="671" t="s">
        <v>1</v>
      </c>
      <c r="AU53" s="671"/>
      <c r="AV53" s="671" t="s">
        <v>18</v>
      </c>
      <c r="AW53" s="671"/>
      <c r="AX53" s="671" t="s">
        <v>28</v>
      </c>
      <c r="AY53" s="671"/>
      <c r="AZ53" s="671" t="s">
        <v>24</v>
      </c>
      <c r="BA53" s="671"/>
      <c r="BB53" s="671" t="s">
        <v>16</v>
      </c>
      <c r="BC53" s="671"/>
      <c r="BD53" s="671" t="s">
        <v>67</v>
      </c>
      <c r="BE53" s="671"/>
      <c r="BF53" s="671" t="s">
        <v>20</v>
      </c>
      <c r="BG53" s="671"/>
      <c r="BH53" s="671" t="s">
        <v>68</v>
      </c>
      <c r="BI53" s="671"/>
      <c r="BK53" s="672" t="s">
        <v>108</v>
      </c>
      <c r="BL53" s="673"/>
      <c r="BM53" s="659">
        <f>SUM(AL54:BI54)</f>
        <v>3</v>
      </c>
      <c r="BN53" s="660"/>
      <c r="BO53" s="661"/>
      <c r="BP53" s="676" t="s">
        <v>107</v>
      </c>
      <c r="BQ53" s="677"/>
      <c r="BR53" s="673"/>
      <c r="BS53" s="665"/>
      <c r="BT53" s="666"/>
      <c r="BU53" s="667"/>
      <c r="BW53" s="681"/>
      <c r="BX53" s="682"/>
      <c r="BY53" s="682"/>
      <c r="BZ53" s="682"/>
      <c r="CA53" s="682"/>
      <c r="CB53" s="682"/>
      <c r="CC53" s="682"/>
      <c r="CD53" s="682"/>
      <c r="CE53" s="682"/>
      <c r="CF53" s="682"/>
      <c r="CG53" s="682"/>
      <c r="CH53" s="683"/>
    </row>
    <row r="54" spans="2:86" ht="22.5" customHeight="1">
      <c r="B54" s="486">
        <v>208</v>
      </c>
      <c r="C54" s="606"/>
      <c r="D54" s="317" t="s">
        <v>475</v>
      </c>
      <c r="E54" s="317" t="s">
        <v>374</v>
      </c>
      <c r="F54" s="317" t="s">
        <v>374</v>
      </c>
      <c r="G54" s="317" t="s">
        <v>374</v>
      </c>
      <c r="H54" s="317" t="s">
        <v>374</v>
      </c>
      <c r="I54" s="317" t="s">
        <v>374</v>
      </c>
      <c r="J54" s="426">
        <v>5</v>
      </c>
      <c r="K54" s="426">
        <v>5</v>
      </c>
      <c r="L54" s="607"/>
      <c r="M54" s="607"/>
      <c r="N54" s="607"/>
      <c r="O54" s="607"/>
      <c r="P54" s="607"/>
      <c r="Q54" s="607"/>
      <c r="R54" s="607"/>
      <c r="S54" s="209"/>
      <c r="T54" s="607"/>
      <c r="U54" s="607"/>
      <c r="V54" s="607"/>
      <c r="W54" s="607"/>
      <c r="X54" s="608"/>
      <c r="Y54" s="362"/>
      <c r="Z54" s="390"/>
      <c r="AA54" s="390"/>
      <c r="AB54" s="390"/>
      <c r="AC54" s="319"/>
      <c r="AD54" s="317"/>
      <c r="AE54" s="317"/>
      <c r="AF54" s="317"/>
      <c r="AG54" s="317"/>
      <c r="AH54" s="317"/>
      <c r="AI54" s="317"/>
      <c r="AJ54" s="320"/>
      <c r="AL54" s="330">
        <v>2</v>
      </c>
      <c r="AM54" s="330"/>
      <c r="AN54" s="330">
        <v>1</v>
      </c>
      <c r="AO54" s="330"/>
      <c r="AP54" s="330"/>
      <c r="AQ54" s="330"/>
      <c r="AR54" s="330"/>
      <c r="AS54" s="330"/>
      <c r="AT54" s="330"/>
      <c r="AU54" s="330"/>
      <c r="AV54" s="330"/>
      <c r="AW54" s="330"/>
      <c r="AX54" s="330"/>
      <c r="AY54" s="330"/>
      <c r="AZ54" s="330"/>
      <c r="BA54" s="330"/>
      <c r="BB54" s="330"/>
      <c r="BC54" s="330"/>
      <c r="BD54" s="330"/>
      <c r="BE54" s="330"/>
      <c r="BF54" s="330"/>
      <c r="BG54" s="330"/>
      <c r="BH54" s="330"/>
      <c r="BI54" s="330"/>
      <c r="BK54" s="674"/>
      <c r="BL54" s="675"/>
      <c r="BM54" s="662"/>
      <c r="BN54" s="663"/>
      <c r="BO54" s="664"/>
      <c r="BP54" s="652">
        <f>IF(COUNT(AL54:BI54)=0,"",ROUND(AVERAGE(AL54:BI54),1))</f>
        <v>1.5</v>
      </c>
      <c r="BQ54" s="653"/>
      <c r="BR54" s="654"/>
      <c r="BS54" s="668"/>
      <c r="BT54" s="669"/>
      <c r="BU54" s="670"/>
      <c r="BW54" s="681"/>
      <c r="BX54" s="682"/>
      <c r="BY54" s="682"/>
      <c r="BZ54" s="682"/>
      <c r="CA54" s="682"/>
      <c r="CB54" s="682"/>
      <c r="CC54" s="682"/>
      <c r="CD54" s="682"/>
      <c r="CE54" s="682"/>
      <c r="CF54" s="682"/>
      <c r="CG54" s="682"/>
      <c r="CH54" s="683"/>
    </row>
    <row r="55" spans="2:86" ht="22.5" customHeight="1">
      <c r="B55" s="486">
        <v>209</v>
      </c>
      <c r="C55" s="606"/>
      <c r="D55" s="317" t="s">
        <v>476</v>
      </c>
      <c r="E55" s="317" t="s">
        <v>375</v>
      </c>
      <c r="F55" s="317" t="s">
        <v>375</v>
      </c>
      <c r="G55" s="317" t="s">
        <v>375</v>
      </c>
      <c r="H55" s="317" t="s">
        <v>375</v>
      </c>
      <c r="I55" s="317" t="s">
        <v>375</v>
      </c>
      <c r="J55" s="426">
        <v>5</v>
      </c>
      <c r="K55" s="426">
        <v>5</v>
      </c>
      <c r="L55" s="607"/>
      <c r="M55" s="607"/>
      <c r="N55" s="607"/>
      <c r="O55" s="607"/>
      <c r="P55" s="607"/>
      <c r="Q55" s="607"/>
      <c r="R55" s="607"/>
      <c r="S55" s="209"/>
      <c r="T55" s="607"/>
      <c r="U55" s="607"/>
      <c r="V55" s="607"/>
      <c r="W55" s="607"/>
      <c r="X55" s="608"/>
      <c r="Y55" s="362"/>
      <c r="Z55" s="390"/>
      <c r="AA55" s="390"/>
      <c r="AB55" s="390"/>
      <c r="AC55" s="319"/>
      <c r="AD55" s="317"/>
      <c r="AE55" s="317"/>
      <c r="AF55" s="317"/>
      <c r="AG55" s="317"/>
      <c r="AH55" s="317"/>
      <c r="AI55" s="317"/>
      <c r="AJ55" s="320"/>
      <c r="AL55" s="173"/>
      <c r="AM55" s="174"/>
      <c r="AN55" s="174"/>
      <c r="AO55" s="174"/>
      <c r="AQ55" s="169"/>
      <c r="AR55" s="168"/>
      <c r="AS55" s="168"/>
      <c r="AT55" s="168"/>
      <c r="AU55" s="168"/>
      <c r="AV55" s="168"/>
      <c r="AW55" s="169"/>
      <c r="AX55" s="172"/>
      <c r="AY55" s="172"/>
      <c r="AZ55" s="172"/>
      <c r="BA55" s="172"/>
      <c r="BB55" s="168"/>
      <c r="BC55" s="168"/>
      <c r="BD55" s="168"/>
      <c r="BE55" s="168"/>
      <c r="BF55" s="169"/>
      <c r="BG55" s="169"/>
      <c r="BH55" s="169"/>
      <c r="BI55" s="169"/>
      <c r="BW55" s="681"/>
      <c r="BX55" s="682"/>
      <c r="BY55" s="682"/>
      <c r="BZ55" s="682"/>
      <c r="CA55" s="682"/>
      <c r="CB55" s="682"/>
      <c r="CC55" s="682"/>
      <c r="CD55" s="682"/>
      <c r="CE55" s="682"/>
      <c r="CF55" s="682"/>
      <c r="CG55" s="682"/>
      <c r="CH55" s="683"/>
    </row>
    <row r="56" spans="2:86" ht="22.5" customHeight="1" thickBot="1">
      <c r="B56" s="622">
        <v>210</v>
      </c>
      <c r="C56" s="623"/>
      <c r="D56" s="624" t="s">
        <v>477</v>
      </c>
      <c r="E56" s="624" t="s">
        <v>376</v>
      </c>
      <c r="F56" s="624" t="s">
        <v>376</v>
      </c>
      <c r="G56" s="624" t="s">
        <v>376</v>
      </c>
      <c r="H56" s="624" t="s">
        <v>376</v>
      </c>
      <c r="I56" s="624" t="s">
        <v>376</v>
      </c>
      <c r="J56" s="625">
        <v>3</v>
      </c>
      <c r="K56" s="625">
        <v>3</v>
      </c>
      <c r="L56" s="626"/>
      <c r="M56" s="626"/>
      <c r="N56" s="626"/>
      <c r="O56" s="626"/>
      <c r="P56" s="626"/>
      <c r="Q56" s="626"/>
      <c r="R56" s="626"/>
      <c r="S56" s="211"/>
      <c r="T56" s="626"/>
      <c r="U56" s="626"/>
      <c r="V56" s="626"/>
      <c r="W56" s="626"/>
      <c r="X56" s="627"/>
      <c r="Y56" s="846"/>
      <c r="Z56" s="847"/>
      <c r="AA56" s="847"/>
      <c r="AB56" s="847"/>
      <c r="AC56" s="628"/>
      <c r="AD56" s="624"/>
      <c r="AE56" s="624"/>
      <c r="AF56" s="624"/>
      <c r="AG56" s="624"/>
      <c r="AH56" s="624"/>
      <c r="AI56" s="624"/>
      <c r="AJ56" s="629"/>
      <c r="AL56" s="182" t="s">
        <v>243</v>
      </c>
      <c r="AM56" s="182"/>
      <c r="AN56" s="182"/>
      <c r="AO56" s="182"/>
      <c r="AP56" s="182"/>
      <c r="AQ56" s="182"/>
      <c r="AR56" s="183"/>
      <c r="AS56" s="183"/>
      <c r="AT56" s="183"/>
      <c r="AU56" s="183"/>
      <c r="AV56" s="183"/>
      <c r="AW56" s="183"/>
      <c r="AX56" s="179"/>
      <c r="AY56" s="184"/>
      <c r="AZ56" s="184"/>
      <c r="BA56" s="184"/>
      <c r="BB56" s="185"/>
      <c r="BC56" s="185"/>
      <c r="BD56" s="185"/>
      <c r="BE56" s="185"/>
      <c r="BF56" s="186"/>
      <c r="BG56" s="186"/>
      <c r="BH56" s="186"/>
      <c r="BI56" s="186"/>
      <c r="BJ56" s="163"/>
      <c r="BK56" s="163"/>
      <c r="BL56" s="163"/>
      <c r="BM56" s="163"/>
      <c r="BN56" s="163"/>
      <c r="BO56" s="163"/>
      <c r="BP56" s="163"/>
      <c r="BQ56" s="163"/>
      <c r="BR56" s="163"/>
      <c r="BS56" s="163"/>
      <c r="BT56" s="163"/>
      <c r="BU56" s="163"/>
      <c r="BW56" s="681"/>
      <c r="BX56" s="682"/>
      <c r="BY56" s="682"/>
      <c r="BZ56" s="682"/>
      <c r="CA56" s="682"/>
      <c r="CB56" s="682"/>
      <c r="CC56" s="682"/>
      <c r="CD56" s="682"/>
      <c r="CE56" s="682"/>
      <c r="CF56" s="682"/>
      <c r="CG56" s="682"/>
      <c r="CH56" s="683"/>
    </row>
    <row r="57" spans="2:86" ht="22.5" customHeight="1">
      <c r="B57" s="550">
        <v>301</v>
      </c>
      <c r="C57" s="645"/>
      <c r="D57" s="646"/>
      <c r="E57" s="646"/>
      <c r="F57" s="646"/>
      <c r="G57" s="646"/>
      <c r="H57" s="646"/>
      <c r="I57" s="646"/>
      <c r="J57" s="647"/>
      <c r="K57" s="647"/>
      <c r="L57" s="648"/>
      <c r="M57" s="648"/>
      <c r="N57" s="648"/>
      <c r="O57" s="648"/>
      <c r="P57" s="648"/>
      <c r="Q57" s="648"/>
      <c r="R57" s="648"/>
      <c r="S57" s="212"/>
      <c r="T57" s="648"/>
      <c r="U57" s="648"/>
      <c r="V57" s="648"/>
      <c r="W57" s="648"/>
      <c r="X57" s="649"/>
      <c r="Y57" s="848"/>
      <c r="Z57" s="849"/>
      <c r="AA57" s="849"/>
      <c r="AB57" s="849"/>
      <c r="AC57" s="650"/>
      <c r="AD57" s="646"/>
      <c r="AE57" s="646"/>
      <c r="AF57" s="646"/>
      <c r="AG57" s="646"/>
      <c r="AH57" s="646"/>
      <c r="AI57" s="646"/>
      <c r="AJ57" s="651"/>
      <c r="AL57" s="600" t="s">
        <v>27</v>
      </c>
      <c r="AM57" s="600"/>
      <c r="AN57" s="600" t="s">
        <v>58</v>
      </c>
      <c r="AO57" s="600"/>
      <c r="AP57" s="600" t="s">
        <v>14</v>
      </c>
      <c r="AQ57" s="600"/>
      <c r="AR57" s="600" t="s">
        <v>22</v>
      </c>
      <c r="AS57" s="600"/>
      <c r="AT57" s="600" t="s">
        <v>1</v>
      </c>
      <c r="AU57" s="600"/>
      <c r="AV57" s="600" t="s">
        <v>18</v>
      </c>
      <c r="AW57" s="600"/>
      <c r="AX57" s="600" t="s">
        <v>28</v>
      </c>
      <c r="AY57" s="600"/>
      <c r="AZ57" s="600" t="s">
        <v>24</v>
      </c>
      <c r="BA57" s="600"/>
      <c r="BB57" s="600" t="s">
        <v>16</v>
      </c>
      <c r="BC57" s="600"/>
      <c r="BD57" s="600" t="s">
        <v>67</v>
      </c>
      <c r="BE57" s="600"/>
      <c r="BF57" s="600" t="s">
        <v>20</v>
      </c>
      <c r="BG57" s="600"/>
      <c r="BH57" s="600" t="s">
        <v>68</v>
      </c>
      <c r="BI57" s="600"/>
      <c r="BK57" s="658" t="s">
        <v>108</v>
      </c>
      <c r="BL57" s="326"/>
      <c r="BM57" s="659">
        <f>SUM(AL58:BI58)</f>
        <v>1</v>
      </c>
      <c r="BN57" s="660"/>
      <c r="BO57" s="661"/>
      <c r="BP57" s="327" t="s">
        <v>107</v>
      </c>
      <c r="BQ57" s="328"/>
      <c r="BR57" s="326"/>
      <c r="BS57" s="665"/>
      <c r="BT57" s="666"/>
      <c r="BU57" s="667"/>
      <c r="BW57" s="684"/>
      <c r="BX57" s="685"/>
      <c r="BY57" s="685"/>
      <c r="BZ57" s="685"/>
      <c r="CA57" s="685"/>
      <c r="CB57" s="685"/>
      <c r="CC57" s="685"/>
      <c r="CD57" s="685"/>
      <c r="CE57" s="685"/>
      <c r="CF57" s="685"/>
      <c r="CG57" s="685"/>
      <c r="CH57" s="686"/>
    </row>
    <row r="58" spans="2:86" ht="22.5" customHeight="1">
      <c r="B58" s="486">
        <v>302</v>
      </c>
      <c r="C58" s="606"/>
      <c r="D58" s="317"/>
      <c r="E58" s="317"/>
      <c r="F58" s="317"/>
      <c r="G58" s="317"/>
      <c r="H58" s="317"/>
      <c r="I58" s="317"/>
      <c r="J58" s="426"/>
      <c r="K58" s="426"/>
      <c r="L58" s="607"/>
      <c r="M58" s="607"/>
      <c r="N58" s="607"/>
      <c r="O58" s="607"/>
      <c r="P58" s="607"/>
      <c r="Q58" s="607"/>
      <c r="R58" s="607"/>
      <c r="S58" s="209"/>
      <c r="T58" s="607"/>
      <c r="U58" s="607"/>
      <c r="V58" s="607"/>
      <c r="W58" s="607"/>
      <c r="X58" s="608"/>
      <c r="Y58" s="362"/>
      <c r="Z58" s="390"/>
      <c r="AA58" s="390"/>
      <c r="AB58" s="390"/>
      <c r="AC58" s="319"/>
      <c r="AD58" s="317"/>
      <c r="AE58" s="317"/>
      <c r="AF58" s="317"/>
      <c r="AG58" s="317"/>
      <c r="AH58" s="317"/>
      <c r="AI58" s="317"/>
      <c r="AJ58" s="320"/>
      <c r="AL58" s="330">
        <v>1</v>
      </c>
      <c r="AM58" s="330"/>
      <c r="AN58" s="330">
        <v>0</v>
      </c>
      <c r="AO58" s="330"/>
      <c r="AP58" s="330"/>
      <c r="AQ58" s="330"/>
      <c r="AR58" s="330"/>
      <c r="AS58" s="330"/>
      <c r="AT58" s="330"/>
      <c r="AU58" s="330"/>
      <c r="AV58" s="330"/>
      <c r="AW58" s="330"/>
      <c r="AX58" s="330"/>
      <c r="AY58" s="330"/>
      <c r="AZ58" s="330"/>
      <c r="BA58" s="330"/>
      <c r="BB58" s="330"/>
      <c r="BC58" s="330"/>
      <c r="BD58" s="330"/>
      <c r="BE58" s="330"/>
      <c r="BF58" s="330"/>
      <c r="BG58" s="330"/>
      <c r="BH58" s="330"/>
      <c r="BI58" s="330"/>
      <c r="BK58" s="575"/>
      <c r="BL58" s="576"/>
      <c r="BM58" s="662"/>
      <c r="BN58" s="663"/>
      <c r="BO58" s="664"/>
      <c r="BP58" s="652">
        <f>IF(COUNT(AL58:BI58)=0,"",ROUND(AVERAGE(AL58:BI58),1))</f>
        <v>0.5</v>
      </c>
      <c r="BQ58" s="653"/>
      <c r="BR58" s="654"/>
      <c r="BS58" s="668"/>
      <c r="BT58" s="669"/>
      <c r="BU58" s="670"/>
    </row>
    <row r="59" spans="2:86" ht="22.5" customHeight="1">
      <c r="B59" s="486">
        <v>303</v>
      </c>
      <c r="C59" s="606"/>
      <c r="D59" s="317"/>
      <c r="E59" s="317"/>
      <c r="F59" s="317"/>
      <c r="G59" s="317"/>
      <c r="H59" s="317"/>
      <c r="I59" s="317"/>
      <c r="J59" s="426"/>
      <c r="K59" s="426"/>
      <c r="L59" s="607"/>
      <c r="M59" s="607"/>
      <c r="N59" s="607"/>
      <c r="O59" s="607"/>
      <c r="P59" s="607"/>
      <c r="Q59" s="607"/>
      <c r="R59" s="607"/>
      <c r="S59" s="209"/>
      <c r="T59" s="607"/>
      <c r="U59" s="607"/>
      <c r="V59" s="607"/>
      <c r="W59" s="607"/>
      <c r="X59" s="608"/>
      <c r="Y59" s="362"/>
      <c r="Z59" s="390"/>
      <c r="AA59" s="390"/>
      <c r="AB59" s="390"/>
      <c r="AC59" s="319"/>
      <c r="AD59" s="317"/>
      <c r="AE59" s="317"/>
      <c r="AF59" s="317"/>
      <c r="AG59" s="317"/>
      <c r="AH59" s="317"/>
      <c r="AI59" s="317"/>
      <c r="AJ59" s="320"/>
      <c r="AY59" s="172"/>
      <c r="AZ59" s="172"/>
      <c r="BA59" s="172"/>
      <c r="BB59" s="168"/>
      <c r="BC59" s="168"/>
      <c r="BD59" s="168"/>
      <c r="BE59" s="168"/>
      <c r="BF59" s="169"/>
      <c r="BG59" s="169"/>
      <c r="BH59" s="169"/>
      <c r="BI59" s="169"/>
      <c r="BW59" s="179" t="s">
        <v>259</v>
      </c>
      <c r="BX59" s="179"/>
      <c r="BY59" s="179"/>
      <c r="BZ59" s="179"/>
      <c r="CA59" s="179"/>
      <c r="CB59" s="179"/>
      <c r="CC59" s="179"/>
      <c r="CD59" s="179"/>
      <c r="CE59" s="179"/>
      <c r="CF59" s="179"/>
      <c r="CG59" s="179"/>
      <c r="CH59" s="179"/>
    </row>
    <row r="60" spans="2:86" ht="22.5" customHeight="1">
      <c r="B60" s="486">
        <v>304</v>
      </c>
      <c r="C60" s="606"/>
      <c r="D60" s="317"/>
      <c r="E60" s="317"/>
      <c r="F60" s="317"/>
      <c r="G60" s="317"/>
      <c r="H60" s="317"/>
      <c r="I60" s="317"/>
      <c r="J60" s="426"/>
      <c r="K60" s="426"/>
      <c r="L60" s="607"/>
      <c r="M60" s="607"/>
      <c r="N60" s="607"/>
      <c r="O60" s="607"/>
      <c r="P60" s="607"/>
      <c r="Q60" s="607"/>
      <c r="R60" s="607"/>
      <c r="S60" s="209"/>
      <c r="T60" s="607"/>
      <c r="U60" s="607"/>
      <c r="V60" s="607"/>
      <c r="W60" s="607"/>
      <c r="X60" s="608"/>
      <c r="Y60" s="362"/>
      <c r="Z60" s="390"/>
      <c r="AA60" s="390"/>
      <c r="AB60" s="390"/>
      <c r="AC60" s="319"/>
      <c r="AD60" s="317"/>
      <c r="AE60" s="317"/>
      <c r="AF60" s="317"/>
      <c r="AG60" s="317"/>
      <c r="AH60" s="317"/>
      <c r="AI60" s="317"/>
      <c r="AJ60" s="320"/>
      <c r="AL60" s="182" t="s">
        <v>231</v>
      </c>
      <c r="AM60" s="182"/>
      <c r="AN60" s="182"/>
      <c r="AO60" s="182"/>
      <c r="AP60" s="182"/>
      <c r="AQ60" s="182"/>
      <c r="AR60" s="183"/>
      <c r="AS60" s="183"/>
      <c r="AT60" s="183"/>
      <c r="AU60" s="183"/>
      <c r="AV60" s="183"/>
      <c r="AW60" s="183"/>
      <c r="AX60" s="184"/>
      <c r="AY60" s="184"/>
      <c r="AZ60" s="184"/>
      <c r="BA60" s="184"/>
      <c r="BB60" s="185"/>
      <c r="BC60" s="185"/>
      <c r="BD60" s="185"/>
      <c r="BE60" s="185"/>
      <c r="BF60" s="186"/>
      <c r="BG60" s="186"/>
      <c r="BH60" s="186"/>
      <c r="BI60" s="186"/>
      <c r="BJ60" s="163"/>
      <c r="BK60" s="163"/>
      <c r="BL60" s="163"/>
      <c r="BM60" s="163"/>
      <c r="BN60" s="163"/>
      <c r="BO60" s="163"/>
      <c r="BP60" s="163"/>
      <c r="BQ60" s="163"/>
      <c r="BR60" s="163"/>
      <c r="BS60" s="163"/>
      <c r="BT60" s="163"/>
      <c r="BU60" s="163"/>
      <c r="BW60" s="687"/>
      <c r="BX60" s="688"/>
      <c r="BY60" s="688"/>
      <c r="BZ60" s="688"/>
      <c r="CA60" s="688"/>
      <c r="CB60" s="688"/>
      <c r="CC60" s="688"/>
      <c r="CD60" s="688"/>
      <c r="CE60" s="688"/>
      <c r="CF60" s="688"/>
      <c r="CG60" s="688"/>
      <c r="CH60" s="689"/>
    </row>
    <row r="61" spans="2:86" ht="22.5" customHeight="1">
      <c r="B61" s="486">
        <v>305</v>
      </c>
      <c r="C61" s="606"/>
      <c r="D61" s="317"/>
      <c r="E61" s="317"/>
      <c r="F61" s="317"/>
      <c r="G61" s="317"/>
      <c r="H61" s="317"/>
      <c r="I61" s="317"/>
      <c r="J61" s="426"/>
      <c r="K61" s="426"/>
      <c r="L61" s="607"/>
      <c r="M61" s="607"/>
      <c r="N61" s="607"/>
      <c r="O61" s="607"/>
      <c r="P61" s="607"/>
      <c r="Q61" s="607"/>
      <c r="R61" s="607"/>
      <c r="S61" s="209"/>
      <c r="T61" s="607"/>
      <c r="U61" s="607"/>
      <c r="V61" s="607"/>
      <c r="W61" s="607"/>
      <c r="X61" s="608"/>
      <c r="Y61" s="362"/>
      <c r="Z61" s="390"/>
      <c r="AA61" s="390"/>
      <c r="AB61" s="390"/>
      <c r="AC61" s="319"/>
      <c r="AD61" s="317"/>
      <c r="AE61" s="317"/>
      <c r="AF61" s="317"/>
      <c r="AG61" s="317"/>
      <c r="AH61" s="317"/>
      <c r="AI61" s="317"/>
      <c r="AJ61" s="320"/>
      <c r="AL61" s="600" t="s">
        <v>27</v>
      </c>
      <c r="AM61" s="600"/>
      <c r="AN61" s="600" t="s">
        <v>58</v>
      </c>
      <c r="AO61" s="600"/>
      <c r="AP61" s="600" t="s">
        <v>14</v>
      </c>
      <c r="AQ61" s="600"/>
      <c r="AR61" s="600" t="s">
        <v>22</v>
      </c>
      <c r="AS61" s="600"/>
      <c r="AT61" s="600" t="s">
        <v>1</v>
      </c>
      <c r="AU61" s="600"/>
      <c r="AV61" s="600" t="s">
        <v>18</v>
      </c>
      <c r="AW61" s="600"/>
      <c r="AX61" s="600" t="s">
        <v>28</v>
      </c>
      <c r="AY61" s="600"/>
      <c r="AZ61" s="600" t="s">
        <v>24</v>
      </c>
      <c r="BA61" s="600"/>
      <c r="BB61" s="600" t="s">
        <v>16</v>
      </c>
      <c r="BC61" s="600"/>
      <c r="BD61" s="600" t="s">
        <v>67</v>
      </c>
      <c r="BE61" s="600"/>
      <c r="BF61" s="600" t="s">
        <v>20</v>
      </c>
      <c r="BG61" s="600"/>
      <c r="BH61" s="600" t="s">
        <v>68</v>
      </c>
      <c r="BI61" s="600"/>
      <c r="BK61" s="658" t="s">
        <v>108</v>
      </c>
      <c r="BL61" s="326"/>
      <c r="BM61" s="699">
        <f>SUM(AL62:BI62)</f>
        <v>0</v>
      </c>
      <c r="BN61" s="700"/>
      <c r="BO61" s="701"/>
      <c r="BP61" s="327" t="s">
        <v>107</v>
      </c>
      <c r="BQ61" s="328"/>
      <c r="BR61" s="326"/>
      <c r="BS61" s="665"/>
      <c r="BT61" s="666"/>
      <c r="BU61" s="667"/>
      <c r="BW61" s="690"/>
      <c r="BX61" s="691"/>
      <c r="BY61" s="691"/>
      <c r="BZ61" s="691"/>
      <c r="CA61" s="691"/>
      <c r="CB61" s="691"/>
      <c r="CC61" s="691"/>
      <c r="CD61" s="691"/>
      <c r="CE61" s="691"/>
      <c r="CF61" s="691"/>
      <c r="CG61" s="691"/>
      <c r="CH61" s="692"/>
    </row>
    <row r="62" spans="2:86" ht="22.5" customHeight="1">
      <c r="B62" s="486">
        <v>306</v>
      </c>
      <c r="C62" s="606"/>
      <c r="D62" s="317"/>
      <c r="E62" s="317"/>
      <c r="F62" s="317"/>
      <c r="G62" s="317"/>
      <c r="H62" s="317"/>
      <c r="I62" s="317"/>
      <c r="J62" s="426"/>
      <c r="K62" s="426"/>
      <c r="L62" s="607"/>
      <c r="M62" s="607"/>
      <c r="N62" s="607"/>
      <c r="O62" s="607"/>
      <c r="P62" s="607"/>
      <c r="Q62" s="607"/>
      <c r="R62" s="607"/>
      <c r="S62" s="209"/>
      <c r="T62" s="607"/>
      <c r="U62" s="607"/>
      <c r="V62" s="607"/>
      <c r="W62" s="607"/>
      <c r="X62" s="608"/>
      <c r="Y62" s="362"/>
      <c r="Z62" s="390"/>
      <c r="AA62" s="390"/>
      <c r="AB62" s="390"/>
      <c r="AC62" s="319"/>
      <c r="AD62" s="317"/>
      <c r="AE62" s="317"/>
      <c r="AF62" s="317"/>
      <c r="AG62" s="317"/>
      <c r="AH62" s="317"/>
      <c r="AI62" s="317"/>
      <c r="AJ62" s="320"/>
      <c r="AL62" s="330"/>
      <c r="AM62" s="330"/>
      <c r="AN62" s="330"/>
      <c r="AO62" s="330"/>
      <c r="AP62" s="330"/>
      <c r="AQ62" s="330"/>
      <c r="AR62" s="330"/>
      <c r="AS62" s="330"/>
      <c r="AT62" s="330"/>
      <c r="AU62" s="330"/>
      <c r="AV62" s="330"/>
      <c r="AW62" s="330"/>
      <c r="AX62" s="330"/>
      <c r="AY62" s="330"/>
      <c r="AZ62" s="330"/>
      <c r="BA62" s="330"/>
      <c r="BB62" s="330"/>
      <c r="BC62" s="330"/>
      <c r="BD62" s="330"/>
      <c r="BE62" s="330"/>
      <c r="BF62" s="330"/>
      <c r="BG62" s="330"/>
      <c r="BH62" s="330"/>
      <c r="BI62" s="330"/>
      <c r="BK62" s="575"/>
      <c r="BL62" s="576"/>
      <c r="BM62" s="702"/>
      <c r="BN62" s="703"/>
      <c r="BO62" s="704"/>
      <c r="BP62" s="696" t="str">
        <f>IF(COUNT(AL62:BI62)=0,"",ROUND(AVERAGE(AL62:BI62),1))</f>
        <v/>
      </c>
      <c r="BQ62" s="697"/>
      <c r="BR62" s="698"/>
      <c r="BS62" s="668"/>
      <c r="BT62" s="669"/>
      <c r="BU62" s="670"/>
      <c r="BW62" s="690"/>
      <c r="BX62" s="691"/>
      <c r="BY62" s="691"/>
      <c r="BZ62" s="691"/>
      <c r="CA62" s="691"/>
      <c r="CB62" s="691"/>
      <c r="CC62" s="691"/>
      <c r="CD62" s="691"/>
      <c r="CE62" s="691"/>
      <c r="CF62" s="691"/>
      <c r="CG62" s="691"/>
      <c r="CH62" s="692"/>
    </row>
    <row r="63" spans="2:86" ht="22.5" customHeight="1">
      <c r="B63" s="486">
        <v>307</v>
      </c>
      <c r="C63" s="606"/>
      <c r="D63" s="317"/>
      <c r="E63" s="317"/>
      <c r="F63" s="317"/>
      <c r="G63" s="317"/>
      <c r="H63" s="317"/>
      <c r="I63" s="317"/>
      <c r="J63" s="426"/>
      <c r="K63" s="426"/>
      <c r="L63" s="607"/>
      <c r="M63" s="607"/>
      <c r="N63" s="607"/>
      <c r="O63" s="607"/>
      <c r="P63" s="607"/>
      <c r="Q63" s="607"/>
      <c r="R63" s="607"/>
      <c r="S63" s="209"/>
      <c r="T63" s="607"/>
      <c r="U63" s="607"/>
      <c r="V63" s="607"/>
      <c r="W63" s="607"/>
      <c r="X63" s="608"/>
      <c r="Y63" s="362"/>
      <c r="Z63" s="390"/>
      <c r="AA63" s="390"/>
      <c r="AB63" s="390"/>
      <c r="AC63" s="319"/>
      <c r="AD63" s="317"/>
      <c r="AE63" s="317"/>
      <c r="AF63" s="317"/>
      <c r="AG63" s="317"/>
      <c r="AH63" s="317"/>
      <c r="AI63" s="317"/>
      <c r="AJ63" s="320"/>
      <c r="AY63" s="172"/>
      <c r="AZ63" s="172"/>
      <c r="BA63" s="172"/>
      <c r="BB63" s="168"/>
      <c r="BC63" s="168"/>
      <c r="BD63" s="168"/>
      <c r="BE63" s="168"/>
      <c r="BF63" s="169"/>
      <c r="BG63" s="169"/>
      <c r="BH63" s="169"/>
      <c r="BI63" s="169"/>
      <c r="BW63" s="690"/>
      <c r="BX63" s="691"/>
      <c r="BY63" s="691"/>
      <c r="BZ63" s="691"/>
      <c r="CA63" s="691"/>
      <c r="CB63" s="691"/>
      <c r="CC63" s="691"/>
      <c r="CD63" s="691"/>
      <c r="CE63" s="691"/>
      <c r="CF63" s="691"/>
      <c r="CG63" s="691"/>
      <c r="CH63" s="692"/>
    </row>
    <row r="64" spans="2:86" ht="22.5" customHeight="1">
      <c r="B64" s="486">
        <v>308</v>
      </c>
      <c r="C64" s="606"/>
      <c r="D64" s="317"/>
      <c r="E64" s="317"/>
      <c r="F64" s="317"/>
      <c r="G64" s="317"/>
      <c r="H64" s="317"/>
      <c r="I64" s="317"/>
      <c r="J64" s="426"/>
      <c r="K64" s="426"/>
      <c r="L64" s="607"/>
      <c r="M64" s="607"/>
      <c r="N64" s="607"/>
      <c r="O64" s="607"/>
      <c r="P64" s="607"/>
      <c r="Q64" s="607"/>
      <c r="R64" s="607"/>
      <c r="S64" s="209"/>
      <c r="T64" s="607"/>
      <c r="U64" s="607"/>
      <c r="V64" s="607"/>
      <c r="W64" s="607"/>
      <c r="X64" s="608"/>
      <c r="Y64" s="362"/>
      <c r="Z64" s="390"/>
      <c r="AA64" s="390"/>
      <c r="AB64" s="390"/>
      <c r="AC64" s="319"/>
      <c r="AD64" s="317"/>
      <c r="AE64" s="317"/>
      <c r="AF64" s="317"/>
      <c r="AG64" s="317"/>
      <c r="AH64" s="317"/>
      <c r="AI64" s="317"/>
      <c r="AJ64" s="320"/>
      <c r="AL64" s="182" t="s">
        <v>230</v>
      </c>
      <c r="AM64" s="182"/>
      <c r="AN64" s="182"/>
      <c r="AO64" s="182"/>
      <c r="AP64" s="182"/>
      <c r="AQ64" s="182"/>
      <c r="AR64" s="183"/>
      <c r="AS64" s="183"/>
      <c r="AT64" s="183"/>
      <c r="AU64" s="183"/>
      <c r="AV64" s="183"/>
      <c r="AW64" s="183"/>
      <c r="AX64" s="179"/>
      <c r="AY64" s="184"/>
      <c r="AZ64" s="184"/>
      <c r="BA64" s="184"/>
      <c r="BB64" s="185"/>
      <c r="BC64" s="185"/>
      <c r="BD64" s="185"/>
      <c r="BE64" s="185"/>
      <c r="BF64" s="186"/>
      <c r="BG64" s="186"/>
      <c r="BH64" s="186"/>
      <c r="BI64" s="186"/>
      <c r="BJ64" s="163"/>
      <c r="BK64" s="163"/>
      <c r="BL64" s="163"/>
      <c r="BM64" s="163"/>
      <c r="BN64" s="163"/>
      <c r="BO64" s="163"/>
      <c r="BP64" s="163"/>
      <c r="BQ64" s="163"/>
      <c r="BR64" s="163"/>
      <c r="BS64" s="163"/>
      <c r="BT64" s="163"/>
      <c r="BU64" s="163"/>
      <c r="BW64" s="690"/>
      <c r="BX64" s="691"/>
      <c r="BY64" s="691"/>
      <c r="BZ64" s="691"/>
      <c r="CA64" s="691"/>
      <c r="CB64" s="691"/>
      <c r="CC64" s="691"/>
      <c r="CD64" s="691"/>
      <c r="CE64" s="691"/>
      <c r="CF64" s="691"/>
      <c r="CG64" s="691"/>
      <c r="CH64" s="692"/>
    </row>
    <row r="65" spans="2:86" ht="22.5" customHeight="1">
      <c r="B65" s="486">
        <v>309</v>
      </c>
      <c r="C65" s="606"/>
      <c r="D65" s="317"/>
      <c r="E65" s="317"/>
      <c r="F65" s="317"/>
      <c r="G65" s="317"/>
      <c r="H65" s="317"/>
      <c r="I65" s="317"/>
      <c r="J65" s="426"/>
      <c r="K65" s="426"/>
      <c r="L65" s="607"/>
      <c r="M65" s="607"/>
      <c r="N65" s="607"/>
      <c r="O65" s="607"/>
      <c r="P65" s="607"/>
      <c r="Q65" s="607"/>
      <c r="R65" s="607"/>
      <c r="S65" s="209"/>
      <c r="T65" s="607"/>
      <c r="U65" s="607"/>
      <c r="V65" s="607"/>
      <c r="W65" s="607"/>
      <c r="X65" s="608"/>
      <c r="Y65" s="362"/>
      <c r="Z65" s="390"/>
      <c r="AA65" s="390"/>
      <c r="AB65" s="390"/>
      <c r="AC65" s="319"/>
      <c r="AD65" s="317"/>
      <c r="AE65" s="317"/>
      <c r="AF65" s="317"/>
      <c r="AG65" s="317"/>
      <c r="AH65" s="317"/>
      <c r="AI65" s="317"/>
      <c r="AJ65" s="320"/>
      <c r="AL65" s="600" t="s">
        <v>27</v>
      </c>
      <c r="AM65" s="600"/>
      <c r="AN65" s="600" t="s">
        <v>58</v>
      </c>
      <c r="AO65" s="600"/>
      <c r="AP65" s="600" t="s">
        <v>14</v>
      </c>
      <c r="AQ65" s="600"/>
      <c r="AR65" s="600" t="s">
        <v>22</v>
      </c>
      <c r="AS65" s="600"/>
      <c r="AT65" s="600" t="s">
        <v>1</v>
      </c>
      <c r="AU65" s="600"/>
      <c r="AV65" s="600" t="s">
        <v>18</v>
      </c>
      <c r="AW65" s="600"/>
      <c r="AX65" s="600" t="s">
        <v>28</v>
      </c>
      <c r="AY65" s="600"/>
      <c r="AZ65" s="600" t="s">
        <v>24</v>
      </c>
      <c r="BA65" s="600"/>
      <c r="BB65" s="600" t="s">
        <v>16</v>
      </c>
      <c r="BC65" s="600"/>
      <c r="BD65" s="600" t="s">
        <v>67</v>
      </c>
      <c r="BE65" s="600"/>
      <c r="BF65" s="600" t="s">
        <v>20</v>
      </c>
      <c r="BG65" s="600"/>
      <c r="BH65" s="600" t="s">
        <v>68</v>
      </c>
      <c r="BI65" s="600"/>
      <c r="BK65" s="658" t="s">
        <v>108</v>
      </c>
      <c r="BL65" s="326"/>
      <c r="BM65" s="699">
        <f>SUM(AL66:BI66)</f>
        <v>0</v>
      </c>
      <c r="BN65" s="700"/>
      <c r="BO65" s="701"/>
      <c r="BP65" s="327" t="s">
        <v>107</v>
      </c>
      <c r="BQ65" s="328"/>
      <c r="BR65" s="326"/>
      <c r="BS65" s="665"/>
      <c r="BT65" s="666"/>
      <c r="BU65" s="667"/>
      <c r="BW65" s="690"/>
      <c r="BX65" s="691"/>
      <c r="BY65" s="691"/>
      <c r="BZ65" s="691"/>
      <c r="CA65" s="691"/>
      <c r="CB65" s="691"/>
      <c r="CC65" s="691"/>
      <c r="CD65" s="691"/>
      <c r="CE65" s="691"/>
      <c r="CF65" s="691"/>
      <c r="CG65" s="691"/>
      <c r="CH65" s="692"/>
    </row>
    <row r="66" spans="2:86" ht="22.5" customHeight="1">
      <c r="B66" s="575">
        <v>310</v>
      </c>
      <c r="C66" s="705"/>
      <c r="D66" s="534"/>
      <c r="E66" s="534"/>
      <c r="F66" s="534"/>
      <c r="G66" s="534"/>
      <c r="H66" s="534"/>
      <c r="I66" s="534"/>
      <c r="J66" s="706"/>
      <c r="K66" s="706"/>
      <c r="L66" s="656"/>
      <c r="M66" s="656"/>
      <c r="N66" s="656"/>
      <c r="O66" s="656"/>
      <c r="P66" s="656"/>
      <c r="Q66" s="656"/>
      <c r="R66" s="656"/>
      <c r="S66" s="213"/>
      <c r="T66" s="656"/>
      <c r="U66" s="656"/>
      <c r="V66" s="656"/>
      <c r="W66" s="656"/>
      <c r="X66" s="657"/>
      <c r="Y66" s="856"/>
      <c r="Z66" s="857"/>
      <c r="AA66" s="857"/>
      <c r="AB66" s="857"/>
      <c r="AC66" s="707"/>
      <c r="AD66" s="534"/>
      <c r="AE66" s="534"/>
      <c r="AF66" s="534"/>
      <c r="AG66" s="534"/>
      <c r="AH66" s="534"/>
      <c r="AI66" s="534"/>
      <c r="AJ66" s="535"/>
      <c r="AL66" s="330"/>
      <c r="AM66" s="330"/>
      <c r="AN66" s="330"/>
      <c r="AO66" s="330"/>
      <c r="AP66" s="330"/>
      <c r="AQ66" s="330"/>
      <c r="AR66" s="330"/>
      <c r="AS66" s="330"/>
      <c r="AT66" s="330"/>
      <c r="AU66" s="330"/>
      <c r="AV66" s="330"/>
      <c r="AW66" s="330"/>
      <c r="AX66" s="330"/>
      <c r="AY66" s="330"/>
      <c r="AZ66" s="330"/>
      <c r="BA66" s="330"/>
      <c r="BB66" s="330"/>
      <c r="BC66" s="330"/>
      <c r="BD66" s="330"/>
      <c r="BE66" s="330"/>
      <c r="BF66" s="330"/>
      <c r="BG66" s="330"/>
      <c r="BH66" s="330"/>
      <c r="BI66" s="330"/>
      <c r="BK66" s="575"/>
      <c r="BL66" s="576"/>
      <c r="BM66" s="702"/>
      <c r="BN66" s="703"/>
      <c r="BO66" s="704"/>
      <c r="BP66" s="696" t="str">
        <f>IF(COUNT(AL66:BI66)=0,"",ROUND(AVERAGE(AL66:BI66),1))</f>
        <v/>
      </c>
      <c r="BQ66" s="697"/>
      <c r="BR66" s="698"/>
      <c r="BS66" s="668"/>
      <c r="BT66" s="669"/>
      <c r="BU66" s="670"/>
      <c r="BW66" s="693"/>
      <c r="BX66" s="694"/>
      <c r="BY66" s="694"/>
      <c r="BZ66" s="694"/>
      <c r="CA66" s="694"/>
      <c r="CB66" s="694"/>
      <c r="CC66" s="694"/>
      <c r="CD66" s="694"/>
      <c r="CE66" s="694"/>
      <c r="CF66" s="694"/>
      <c r="CG66" s="694"/>
      <c r="CH66" s="695"/>
    </row>
    <row r="68" spans="2:86" ht="22.5" customHeight="1">
      <c r="B68" s="181" t="s">
        <v>31</v>
      </c>
      <c r="C68" s="179"/>
      <c r="D68" s="179"/>
      <c r="E68" s="179"/>
      <c r="F68" s="179"/>
      <c r="G68" s="179"/>
      <c r="H68" s="179"/>
      <c r="I68" s="179"/>
      <c r="J68" s="179"/>
      <c r="K68" s="179"/>
      <c r="L68" s="179"/>
      <c r="M68" s="179"/>
      <c r="N68" s="179"/>
      <c r="O68" s="179"/>
      <c r="P68" s="179"/>
      <c r="Q68" s="179"/>
      <c r="R68" s="179"/>
      <c r="S68" s="179"/>
      <c r="T68" s="179"/>
      <c r="U68" s="179"/>
      <c r="V68" s="179"/>
      <c r="W68" s="179"/>
      <c r="X68" s="179"/>
      <c r="Y68" s="179"/>
      <c r="Z68" s="179"/>
      <c r="AA68" s="179"/>
    </row>
    <row r="69" spans="2:86" ht="22.5" customHeight="1">
      <c r="B69" s="406" t="s">
        <v>0</v>
      </c>
      <c r="C69" s="406"/>
      <c r="D69" s="406"/>
      <c r="E69" s="406"/>
      <c r="F69" s="406"/>
      <c r="G69" s="406"/>
      <c r="H69" s="406"/>
      <c r="I69" s="406"/>
      <c r="J69" s="406"/>
      <c r="K69" s="406"/>
      <c r="L69" s="346" t="s">
        <v>30</v>
      </c>
      <c r="M69" s="343"/>
      <c r="N69" s="343"/>
      <c r="O69" s="343"/>
      <c r="P69" s="343"/>
      <c r="Q69" s="343"/>
      <c r="R69" s="343"/>
      <c r="S69" s="343"/>
      <c r="T69" s="343"/>
      <c r="U69" s="343"/>
      <c r="V69" s="343"/>
      <c r="W69" s="343"/>
      <c r="X69" s="343"/>
      <c r="Y69" s="343"/>
      <c r="Z69" s="343"/>
      <c r="AA69" s="345"/>
    </row>
    <row r="70" spans="2:86" ht="22.5" customHeight="1">
      <c r="B70" s="166" t="s">
        <v>228</v>
      </c>
      <c r="C70" s="429" t="s">
        <v>5</v>
      </c>
      <c r="D70" s="429"/>
      <c r="E70" s="429"/>
      <c r="F70" s="430" t="s">
        <v>8</v>
      </c>
      <c r="G70" s="430"/>
      <c r="H70" s="430"/>
      <c r="I70" s="430"/>
      <c r="J70" s="430"/>
      <c r="K70" s="430"/>
      <c r="L70" s="431" t="s">
        <v>12</v>
      </c>
      <c r="M70" s="432"/>
      <c r="N70" s="433" t="s">
        <v>11</v>
      </c>
      <c r="O70" s="434"/>
      <c r="P70" s="435"/>
      <c r="Q70" s="436"/>
      <c r="R70" s="436"/>
      <c r="S70" s="437"/>
      <c r="T70" s="431" t="s">
        <v>12</v>
      </c>
      <c r="U70" s="432"/>
      <c r="V70" s="433"/>
      <c r="W70" s="434"/>
      <c r="X70" s="435"/>
      <c r="Y70" s="436"/>
      <c r="Z70" s="436"/>
      <c r="AA70" s="438"/>
    </row>
    <row r="71" spans="2:86" ht="22.5" customHeight="1">
      <c r="B71" s="166" t="s">
        <v>228</v>
      </c>
      <c r="C71" s="429"/>
      <c r="D71" s="429"/>
      <c r="E71" s="429"/>
      <c r="F71" s="430" t="s">
        <v>7</v>
      </c>
      <c r="G71" s="430"/>
      <c r="H71" s="430"/>
      <c r="I71" s="430"/>
      <c r="J71" s="430"/>
      <c r="K71" s="430"/>
      <c r="L71" s="431" t="s">
        <v>12</v>
      </c>
      <c r="M71" s="432"/>
      <c r="N71" s="433" t="s">
        <v>11</v>
      </c>
      <c r="O71" s="434"/>
      <c r="P71" s="435"/>
      <c r="Q71" s="436"/>
      <c r="R71" s="436"/>
      <c r="S71" s="437"/>
      <c r="T71" s="431" t="s">
        <v>12</v>
      </c>
      <c r="U71" s="432"/>
      <c r="V71" s="433"/>
      <c r="W71" s="434"/>
      <c r="X71" s="435"/>
      <c r="Y71" s="436"/>
      <c r="Z71" s="436"/>
      <c r="AA71" s="438"/>
    </row>
    <row r="72" spans="2:86" ht="22.5" customHeight="1">
      <c r="B72" s="166" t="s">
        <v>228</v>
      </c>
      <c r="C72" s="429"/>
      <c r="D72" s="429"/>
      <c r="E72" s="429"/>
      <c r="F72" s="430" t="s">
        <v>9</v>
      </c>
      <c r="G72" s="430"/>
      <c r="H72" s="430"/>
      <c r="I72" s="430"/>
      <c r="J72" s="430"/>
      <c r="K72" s="430"/>
      <c r="L72" s="431" t="s">
        <v>12</v>
      </c>
      <c r="M72" s="432"/>
      <c r="N72" s="433" t="s">
        <v>15</v>
      </c>
      <c r="O72" s="434"/>
      <c r="P72" s="205"/>
      <c r="Q72" s="465" t="s">
        <v>17</v>
      </c>
      <c r="R72" s="465"/>
      <c r="S72" s="205"/>
      <c r="T72" s="431" t="s">
        <v>13</v>
      </c>
      <c r="U72" s="432"/>
      <c r="V72" s="433" t="s">
        <v>19</v>
      </c>
      <c r="W72" s="434"/>
      <c r="X72" s="206"/>
      <c r="Y72" s="465" t="s">
        <v>21</v>
      </c>
      <c r="Z72" s="465"/>
      <c r="AA72" s="207"/>
    </row>
    <row r="73" spans="2:86" ht="22.5" customHeight="1">
      <c r="B73" s="166" t="s">
        <v>228</v>
      </c>
      <c r="C73" s="429"/>
      <c r="D73" s="429"/>
      <c r="E73" s="429"/>
      <c r="F73" s="430" t="s">
        <v>6</v>
      </c>
      <c r="G73" s="430"/>
      <c r="H73" s="430"/>
      <c r="I73" s="430"/>
      <c r="J73" s="430"/>
      <c r="K73" s="430"/>
      <c r="L73" s="431" t="s">
        <v>12</v>
      </c>
      <c r="M73" s="432"/>
      <c r="N73" s="433" t="s">
        <v>23</v>
      </c>
      <c r="O73" s="434"/>
      <c r="P73" s="435"/>
      <c r="Q73" s="436"/>
      <c r="R73" s="436"/>
      <c r="S73" s="437"/>
      <c r="T73" s="431" t="s">
        <v>13</v>
      </c>
      <c r="U73" s="432"/>
      <c r="V73" s="433" t="s">
        <v>25</v>
      </c>
      <c r="W73" s="434"/>
      <c r="X73" s="435"/>
      <c r="Y73" s="436"/>
      <c r="Z73" s="436"/>
      <c r="AA73" s="438"/>
    </row>
    <row r="74" spans="2:86" ht="22.5" customHeight="1">
      <c r="B74" s="166" t="s">
        <v>228</v>
      </c>
      <c r="C74" s="429"/>
      <c r="D74" s="429"/>
      <c r="E74" s="429"/>
      <c r="F74" s="461"/>
      <c r="G74" s="461"/>
      <c r="H74" s="461"/>
      <c r="I74" s="461"/>
      <c r="J74" s="461"/>
      <c r="K74" s="461"/>
      <c r="L74" s="431" t="s">
        <v>12</v>
      </c>
      <c r="M74" s="432"/>
      <c r="N74" s="433"/>
      <c r="O74" s="434"/>
      <c r="P74" s="435"/>
      <c r="Q74" s="436"/>
      <c r="R74" s="436"/>
      <c r="S74" s="437"/>
      <c r="T74" s="431" t="s">
        <v>12</v>
      </c>
      <c r="U74" s="432"/>
      <c r="V74" s="433"/>
      <c r="W74" s="434"/>
      <c r="X74" s="435"/>
      <c r="Y74" s="436"/>
      <c r="Z74" s="436"/>
      <c r="AA74" s="438"/>
    </row>
    <row r="75" spans="2:86" ht="22.5" customHeight="1">
      <c r="B75" s="166" t="s">
        <v>228</v>
      </c>
      <c r="C75" s="466" t="s">
        <v>10</v>
      </c>
      <c r="D75" s="466"/>
      <c r="E75" s="466"/>
      <c r="F75" s="466"/>
      <c r="G75" s="466"/>
      <c r="H75" s="466"/>
      <c r="I75" s="466"/>
      <c r="J75" s="466"/>
      <c r="K75" s="466"/>
      <c r="L75" s="472" t="s">
        <v>26</v>
      </c>
      <c r="M75" s="472"/>
      <c r="N75" s="472"/>
      <c r="O75" s="472"/>
      <c r="P75" s="217" t="s">
        <v>724</v>
      </c>
      <c r="Q75" s="218" t="s">
        <v>724</v>
      </c>
      <c r="R75" s="218" t="s">
        <v>724</v>
      </c>
      <c r="S75" s="218" t="s">
        <v>724</v>
      </c>
      <c r="T75" s="218">
        <v>5</v>
      </c>
      <c r="U75" s="218">
        <v>6</v>
      </c>
      <c r="V75" s="218">
        <v>7</v>
      </c>
      <c r="W75" s="218">
        <v>8</v>
      </c>
      <c r="X75" s="218">
        <v>9</v>
      </c>
      <c r="Y75" s="218">
        <v>10</v>
      </c>
      <c r="Z75" s="218">
        <v>11</v>
      </c>
      <c r="AA75" s="219">
        <v>12</v>
      </c>
    </row>
    <row r="76" spans="2:86" ht="22.5" customHeight="1">
      <c r="B76" s="166" t="s">
        <v>228</v>
      </c>
      <c r="C76" s="466" t="s">
        <v>2</v>
      </c>
      <c r="D76" s="466"/>
      <c r="E76" s="466"/>
      <c r="F76" s="466"/>
      <c r="G76" s="466"/>
      <c r="H76" s="466"/>
      <c r="I76" s="466"/>
      <c r="J76" s="466"/>
      <c r="K76" s="466"/>
      <c r="L76" s="431" t="s">
        <v>13</v>
      </c>
      <c r="M76" s="432"/>
      <c r="N76" s="433" t="s">
        <v>27</v>
      </c>
      <c r="O76" s="434"/>
      <c r="P76" s="435"/>
      <c r="Q76" s="436"/>
      <c r="R76" s="436"/>
      <c r="S76" s="437"/>
      <c r="T76" s="431" t="s">
        <v>13</v>
      </c>
      <c r="U76" s="432"/>
      <c r="V76" s="433" t="s">
        <v>29</v>
      </c>
      <c r="W76" s="434"/>
      <c r="X76" s="435"/>
      <c r="Y76" s="436"/>
      <c r="Z76" s="436"/>
      <c r="AA76" s="438"/>
    </row>
    <row r="77" spans="2:86" ht="22.5" customHeight="1">
      <c r="B77" s="166" t="s">
        <v>228</v>
      </c>
      <c r="C77" s="466" t="s">
        <v>3</v>
      </c>
      <c r="D77" s="466"/>
      <c r="E77" s="466"/>
      <c r="F77" s="466"/>
      <c r="G77" s="466"/>
      <c r="H77" s="466"/>
      <c r="I77" s="466"/>
      <c r="J77" s="466"/>
      <c r="K77" s="466"/>
      <c r="L77" s="834">
        <v>45992</v>
      </c>
      <c r="M77" s="477"/>
      <c r="N77" s="477"/>
      <c r="O77" s="477"/>
      <c r="P77" s="435" t="s">
        <v>267</v>
      </c>
      <c r="Q77" s="436"/>
      <c r="R77" s="436"/>
      <c r="S77" s="437"/>
      <c r="T77" s="455" t="s">
        <v>253</v>
      </c>
      <c r="U77" s="456"/>
      <c r="V77" s="456"/>
      <c r="W77" s="456"/>
      <c r="X77" s="456"/>
      <c r="Y77" s="456"/>
      <c r="Z77" s="456"/>
      <c r="AA77" s="457"/>
    </row>
    <row r="78" spans="2:86" ht="22.5" customHeight="1">
      <c r="B78" s="166" t="s">
        <v>228</v>
      </c>
      <c r="C78" s="466" t="s">
        <v>126</v>
      </c>
      <c r="D78" s="466"/>
      <c r="E78" s="466"/>
      <c r="F78" s="466"/>
      <c r="G78" s="466"/>
      <c r="H78" s="466"/>
      <c r="I78" s="466"/>
      <c r="J78" s="466"/>
      <c r="K78" s="466"/>
      <c r="L78" s="431" t="s">
        <v>36</v>
      </c>
      <c r="M78" s="432"/>
      <c r="N78" s="433" t="s">
        <v>245</v>
      </c>
      <c r="O78" s="434"/>
      <c r="P78" s="435"/>
      <c r="Q78" s="436"/>
      <c r="R78" s="436"/>
      <c r="S78" s="437"/>
      <c r="T78" s="431" t="s">
        <v>37</v>
      </c>
      <c r="U78" s="432"/>
      <c r="V78" s="433" t="s">
        <v>245</v>
      </c>
      <c r="W78" s="434"/>
      <c r="X78" s="435"/>
      <c r="Y78" s="436"/>
      <c r="Z78" s="436"/>
      <c r="AA78" s="438"/>
    </row>
    <row r="79" spans="2:86" ht="22.5" customHeight="1">
      <c r="B79" s="166" t="s">
        <v>228</v>
      </c>
      <c r="C79" s="466" t="s">
        <v>4</v>
      </c>
      <c r="D79" s="466"/>
      <c r="E79" s="466"/>
      <c r="F79" s="466"/>
      <c r="G79" s="466"/>
      <c r="H79" s="466"/>
      <c r="I79" s="466"/>
      <c r="J79" s="466"/>
      <c r="K79" s="466"/>
      <c r="L79" s="483"/>
      <c r="M79" s="484"/>
      <c r="N79" s="484"/>
      <c r="O79" s="484"/>
      <c r="P79" s="484"/>
      <c r="Q79" s="484"/>
      <c r="R79" s="484"/>
      <c r="S79" s="484"/>
      <c r="T79" s="484"/>
      <c r="U79" s="484"/>
      <c r="V79" s="484"/>
      <c r="W79" s="484"/>
      <c r="X79" s="484"/>
      <c r="Y79" s="484"/>
      <c r="Z79" s="484"/>
      <c r="AA79" s="485"/>
    </row>
    <row r="81" spans="2:63" ht="22.5" customHeight="1">
      <c r="B81" s="179" t="s">
        <v>40</v>
      </c>
      <c r="C81" s="179"/>
      <c r="D81" s="179"/>
      <c r="E81" s="179"/>
      <c r="F81" s="179"/>
      <c r="G81" s="179"/>
      <c r="H81" s="179"/>
      <c r="I81" s="179"/>
      <c r="J81" s="179"/>
      <c r="K81" s="179"/>
      <c r="L81" s="179"/>
      <c r="M81" s="179"/>
      <c r="N81" s="179"/>
      <c r="O81" s="183"/>
      <c r="P81" s="179"/>
      <c r="Q81" s="179"/>
      <c r="R81" s="179"/>
      <c r="S81" s="179"/>
      <c r="T81" s="179"/>
      <c r="U81" s="179"/>
      <c r="V81" s="179"/>
      <c r="W81" s="179"/>
      <c r="X81" s="179"/>
      <c r="Y81" s="179"/>
      <c r="Z81" s="179"/>
      <c r="AA81" s="179"/>
    </row>
    <row r="82" spans="2:63" ht="22.5" customHeight="1">
      <c r="B82" s="342" t="s">
        <v>48</v>
      </c>
      <c r="C82" s="343"/>
      <c r="D82" s="344"/>
      <c r="E82" s="544" t="s">
        <v>49</v>
      </c>
      <c r="F82" s="545"/>
      <c r="G82" s="546"/>
      <c r="H82" s="547" t="s">
        <v>113</v>
      </c>
      <c r="I82" s="548"/>
      <c r="J82" s="548" t="s">
        <v>114</v>
      </c>
      <c r="K82" s="549"/>
      <c r="L82" s="544" t="s">
        <v>116</v>
      </c>
      <c r="M82" s="545"/>
      <c r="N82" s="545"/>
      <c r="O82" s="545"/>
      <c r="P82" s="545"/>
      <c r="Q82" s="545"/>
      <c r="R82" s="545"/>
      <c r="S82" s="545"/>
      <c r="T82" s="545"/>
      <c r="U82" s="545"/>
      <c r="V82" s="545"/>
      <c r="W82" s="545"/>
      <c r="X82" s="545"/>
      <c r="Y82" s="545"/>
      <c r="Z82" s="545"/>
      <c r="AA82" s="546"/>
    </row>
    <row r="83" spans="2:63" ht="22.5" customHeight="1">
      <c r="B83" s="512"/>
      <c r="C83" s="513"/>
      <c r="D83" s="514"/>
      <c r="E83" s="518"/>
      <c r="F83" s="519"/>
      <c r="G83" s="520"/>
      <c r="H83" s="524" t="str" cm="1">
        <f t="array" ref="H83">IF(SUM(COUNTIF(BF3:BF32,{"月給","常時給"}))=0,"",
IF(SUMPRODUCT((BF3:BF32={"月給","常時給"})*(BR3:BR32="●"))/SUM(COUNTIF(BF3:BF32,{"月給","常時給"}))&gt;=35%,"〇","×"))</f>
        <v>×</v>
      </c>
      <c r="I83" s="525"/>
      <c r="J83" s="525" t="str" cm="1">
        <f t="array" ref="J83">IFERROR(
  IF(
    SUMPRODUCT((BF3:BF32={"月給","常時給"})*(BR3:BR32="●"))/
    SUM(COUNTIF(BF3:BF32,{"月給","常時給"}))&gt;=25%,
    "〇",
    "×"
  ),
"")</f>
        <v>×</v>
      </c>
      <c r="K83" s="528"/>
      <c r="L83" s="838"/>
      <c r="M83" s="744"/>
      <c r="N83" s="744"/>
      <c r="O83" s="744"/>
      <c r="P83" s="744"/>
      <c r="Q83" s="744"/>
      <c r="R83" s="744"/>
      <c r="S83" s="744"/>
      <c r="T83" s="744"/>
      <c r="U83" s="744"/>
      <c r="V83" s="744"/>
      <c r="W83" s="744"/>
      <c r="X83" s="744"/>
      <c r="Y83" s="744"/>
      <c r="Z83" s="744"/>
      <c r="AA83" s="745"/>
    </row>
    <row r="84" spans="2:63" ht="22.5" customHeight="1">
      <c r="B84" s="515"/>
      <c r="C84" s="516"/>
      <c r="D84" s="517"/>
      <c r="E84" s="521"/>
      <c r="F84" s="522"/>
      <c r="G84" s="523"/>
      <c r="H84" s="526"/>
      <c r="I84" s="527"/>
      <c r="J84" s="527"/>
      <c r="K84" s="529"/>
      <c r="L84" s="746"/>
      <c r="M84" s="747"/>
      <c r="N84" s="747"/>
      <c r="O84" s="747"/>
      <c r="P84" s="747"/>
      <c r="Q84" s="747"/>
      <c r="R84" s="747"/>
      <c r="S84" s="747"/>
      <c r="T84" s="747"/>
      <c r="U84" s="747"/>
      <c r="V84" s="747"/>
      <c r="W84" s="747"/>
      <c r="X84" s="747"/>
      <c r="Y84" s="747"/>
      <c r="Z84" s="747"/>
      <c r="AA84" s="748"/>
    </row>
    <row r="87" spans="2:63" ht="22.5" customHeight="1">
      <c r="B87" s="725" t="s">
        <v>792</v>
      </c>
      <c r="C87" s="725"/>
      <c r="D87" s="725"/>
      <c r="E87" s="725"/>
      <c r="F87" s="725" t="s">
        <v>793</v>
      </c>
      <c r="G87" s="725"/>
      <c r="H87" s="725"/>
      <c r="I87" s="725"/>
      <c r="J87" s="725" t="s">
        <v>794</v>
      </c>
      <c r="K87" s="725"/>
      <c r="L87" s="725"/>
      <c r="M87" s="725"/>
      <c r="N87" s="729" t="s">
        <v>806</v>
      </c>
      <c r="O87" s="730"/>
      <c r="P87" s="730"/>
      <c r="Q87" s="730"/>
      <c r="R87" s="730"/>
      <c r="S87" s="730"/>
      <c r="T87" s="730"/>
      <c r="U87" s="730"/>
      <c r="V87" s="730"/>
      <c r="W87" s="730"/>
      <c r="X87" s="730"/>
      <c r="Y87" s="730"/>
      <c r="Z87" s="730"/>
      <c r="AA87" s="730"/>
      <c r="AB87" s="730"/>
      <c r="AC87" s="730"/>
      <c r="AD87" s="730"/>
      <c r="AE87" s="730"/>
      <c r="AF87" s="730"/>
      <c r="AG87" s="730"/>
      <c r="AH87" s="730"/>
      <c r="AI87" s="730"/>
      <c r="AJ87" s="730"/>
      <c r="AK87" s="730"/>
      <c r="AL87" s="730"/>
      <c r="AM87" s="730"/>
      <c r="AN87" s="730"/>
      <c r="AO87" s="730"/>
      <c r="AP87" s="730"/>
      <c r="AQ87" s="730"/>
      <c r="AR87" s="730"/>
      <c r="AS87" s="730"/>
      <c r="AT87" s="731"/>
      <c r="AU87" s="725"/>
      <c r="AV87" s="725"/>
      <c r="AW87" s="725"/>
      <c r="AX87" s="725"/>
      <c r="AY87" s="725"/>
      <c r="AZ87" s="725"/>
      <c r="BA87" s="725"/>
      <c r="BB87" s="725"/>
      <c r="BC87" s="725"/>
      <c r="BD87" s="725"/>
      <c r="BE87" s="725"/>
      <c r="BF87" s="725"/>
      <c r="BG87" s="725"/>
      <c r="BH87" s="725"/>
      <c r="BI87" s="725"/>
      <c r="BJ87" s="725"/>
      <c r="BK87" s="725"/>
    </row>
    <row r="88" spans="2:63" ht="22.5" customHeight="1">
      <c r="B88" s="727" t="s">
        <v>795</v>
      </c>
      <c r="C88" s="727"/>
      <c r="D88" s="727"/>
      <c r="E88" s="727"/>
      <c r="F88" s="465" t="s">
        <v>796</v>
      </c>
      <c r="G88" s="465"/>
      <c r="H88" s="465"/>
      <c r="I88" s="465"/>
      <c r="J88" s="726" t="s">
        <v>837</v>
      </c>
      <c r="K88" s="726"/>
      <c r="L88" s="726"/>
      <c r="M88" s="726"/>
      <c r="N88" s="732" t="s">
        <v>834</v>
      </c>
      <c r="O88" s="733"/>
      <c r="P88" s="733"/>
      <c r="Q88" s="733"/>
      <c r="R88" s="733"/>
      <c r="S88" s="733"/>
      <c r="T88" s="733"/>
      <c r="U88" s="733"/>
      <c r="V88" s="733"/>
      <c r="W88" s="733"/>
      <c r="X88" s="733"/>
      <c r="Y88" s="733"/>
      <c r="Z88" s="733"/>
      <c r="AA88" s="733"/>
      <c r="AB88" s="733"/>
      <c r="AC88" s="733"/>
      <c r="AD88" s="733"/>
      <c r="AE88" s="733"/>
      <c r="AF88" s="733"/>
      <c r="AG88" s="733"/>
      <c r="AH88" s="733"/>
      <c r="AI88" s="733"/>
      <c r="AJ88" s="733"/>
      <c r="AK88" s="733"/>
      <c r="AL88" s="733"/>
      <c r="AM88" s="733"/>
      <c r="AN88" s="733"/>
      <c r="AO88" s="733"/>
      <c r="AP88" s="733"/>
      <c r="AQ88" s="733"/>
      <c r="AR88" s="733"/>
      <c r="AS88" s="733"/>
      <c r="AT88" s="734"/>
      <c r="AU88" s="726"/>
      <c r="AV88" s="726"/>
      <c r="AW88" s="726"/>
      <c r="AX88" s="726"/>
      <c r="AY88" s="726"/>
      <c r="AZ88" s="726"/>
      <c r="BA88" s="726"/>
      <c r="BB88" s="726"/>
      <c r="BC88" s="726"/>
      <c r="BD88" s="726"/>
      <c r="BE88" s="726"/>
      <c r="BF88" s="726"/>
      <c r="BG88" s="726"/>
      <c r="BH88" s="726"/>
      <c r="BI88" s="726"/>
      <c r="BJ88" s="726"/>
      <c r="BK88" s="726"/>
    </row>
    <row r="89" spans="2:63" ht="22.5" customHeight="1">
      <c r="B89" s="727" t="s">
        <v>804</v>
      </c>
      <c r="C89" s="727"/>
      <c r="D89" s="727"/>
      <c r="E89" s="727"/>
      <c r="F89" s="465" t="s">
        <v>817</v>
      </c>
      <c r="G89" s="465"/>
      <c r="H89" s="465"/>
      <c r="I89" s="465"/>
      <c r="J89" s="726" t="s">
        <v>833</v>
      </c>
      <c r="K89" s="726"/>
      <c r="L89" s="726"/>
      <c r="M89" s="726"/>
      <c r="N89" s="719"/>
      <c r="O89" s="720"/>
      <c r="P89" s="720"/>
      <c r="Q89" s="720"/>
      <c r="R89" s="720"/>
      <c r="S89" s="720"/>
      <c r="T89" s="720"/>
      <c r="U89" s="720"/>
      <c r="V89" s="720"/>
      <c r="W89" s="720"/>
      <c r="X89" s="720"/>
      <c r="Y89" s="720"/>
      <c r="Z89" s="720"/>
      <c r="AA89" s="720"/>
      <c r="AB89" s="720"/>
      <c r="AC89" s="720"/>
      <c r="AD89" s="720"/>
      <c r="AE89" s="720"/>
      <c r="AF89" s="720"/>
      <c r="AG89" s="720"/>
      <c r="AH89" s="720"/>
      <c r="AI89" s="720"/>
      <c r="AJ89" s="720"/>
      <c r="AK89" s="720"/>
      <c r="AL89" s="720"/>
      <c r="AM89" s="720"/>
      <c r="AN89" s="720"/>
      <c r="AO89" s="720"/>
      <c r="AP89" s="720"/>
      <c r="AQ89" s="720"/>
      <c r="AR89" s="720"/>
      <c r="AS89" s="720"/>
      <c r="AT89" s="721"/>
      <c r="AU89" s="726"/>
      <c r="AV89" s="726"/>
      <c r="AW89" s="726"/>
      <c r="AX89" s="726"/>
      <c r="AY89" s="726"/>
      <c r="AZ89" s="726"/>
      <c r="BA89" s="726"/>
      <c r="BB89" s="726"/>
      <c r="BC89" s="726"/>
      <c r="BD89" s="726"/>
      <c r="BE89" s="726"/>
      <c r="BF89" s="726"/>
      <c r="BG89" s="726"/>
      <c r="BH89" s="726"/>
      <c r="BI89" s="726"/>
      <c r="BJ89" s="726"/>
      <c r="BK89" s="726"/>
    </row>
    <row r="90" spans="2:63" ht="22.5" customHeight="1">
      <c r="B90" s="727" t="s">
        <v>807</v>
      </c>
      <c r="C90" s="727"/>
      <c r="D90" s="727"/>
      <c r="E90" s="727"/>
      <c r="F90" s="465" t="s">
        <v>796</v>
      </c>
      <c r="G90" s="465"/>
      <c r="H90" s="465"/>
      <c r="I90" s="465"/>
      <c r="J90" s="726" t="s">
        <v>833</v>
      </c>
      <c r="K90" s="726"/>
      <c r="L90" s="726"/>
      <c r="M90" s="726"/>
      <c r="N90" s="732" t="s">
        <v>821</v>
      </c>
      <c r="O90" s="733"/>
      <c r="P90" s="733"/>
      <c r="Q90" s="733"/>
      <c r="R90" s="733"/>
      <c r="S90" s="733"/>
      <c r="T90" s="733"/>
      <c r="U90" s="733"/>
      <c r="V90" s="733"/>
      <c r="W90" s="733"/>
      <c r="X90" s="733"/>
      <c r="Y90" s="733"/>
      <c r="Z90" s="733"/>
      <c r="AA90" s="733"/>
      <c r="AB90" s="733"/>
      <c r="AC90" s="733"/>
      <c r="AD90" s="733"/>
      <c r="AE90" s="733"/>
      <c r="AF90" s="733"/>
      <c r="AG90" s="733"/>
      <c r="AH90" s="733"/>
      <c r="AI90" s="733"/>
      <c r="AJ90" s="733"/>
      <c r="AK90" s="733"/>
      <c r="AL90" s="733"/>
      <c r="AM90" s="733"/>
      <c r="AN90" s="733"/>
      <c r="AO90" s="733"/>
      <c r="AP90" s="733"/>
      <c r="AQ90" s="733"/>
      <c r="AR90" s="733"/>
      <c r="AS90" s="733"/>
      <c r="AT90" s="734"/>
      <c r="AU90" s="726"/>
      <c r="AV90" s="726"/>
      <c r="AW90" s="726"/>
      <c r="AX90" s="726"/>
      <c r="AY90" s="726"/>
      <c r="AZ90" s="726"/>
      <c r="BA90" s="726"/>
      <c r="BB90" s="726"/>
      <c r="BC90" s="726"/>
      <c r="BD90" s="726"/>
      <c r="BE90" s="726"/>
      <c r="BF90" s="726"/>
      <c r="BG90" s="726"/>
      <c r="BH90" s="726"/>
      <c r="BI90" s="726"/>
      <c r="BJ90" s="726"/>
      <c r="BK90" s="726"/>
    </row>
    <row r="91" spans="2:63" ht="22.5" customHeight="1">
      <c r="B91" s="727" t="s">
        <v>808</v>
      </c>
      <c r="C91" s="727"/>
      <c r="D91" s="727"/>
      <c r="E91" s="727"/>
      <c r="F91" s="465" t="s">
        <v>803</v>
      </c>
      <c r="G91" s="465"/>
      <c r="H91" s="465"/>
      <c r="I91" s="465"/>
      <c r="J91" s="726" t="s">
        <v>818</v>
      </c>
      <c r="K91" s="726"/>
      <c r="L91" s="726"/>
      <c r="M91" s="726"/>
      <c r="N91" s="732" t="s">
        <v>835</v>
      </c>
      <c r="O91" s="733"/>
      <c r="P91" s="733"/>
      <c r="Q91" s="733"/>
      <c r="R91" s="733"/>
      <c r="S91" s="733"/>
      <c r="T91" s="733"/>
      <c r="U91" s="733"/>
      <c r="V91" s="733"/>
      <c r="W91" s="733"/>
      <c r="X91" s="733"/>
      <c r="Y91" s="733"/>
      <c r="Z91" s="733"/>
      <c r="AA91" s="733"/>
      <c r="AB91" s="733"/>
      <c r="AC91" s="733"/>
      <c r="AD91" s="733"/>
      <c r="AE91" s="733"/>
      <c r="AF91" s="733"/>
      <c r="AG91" s="733"/>
      <c r="AH91" s="733"/>
      <c r="AI91" s="733"/>
      <c r="AJ91" s="733"/>
      <c r="AK91" s="733"/>
      <c r="AL91" s="733"/>
      <c r="AM91" s="733"/>
      <c r="AN91" s="733"/>
      <c r="AO91" s="733"/>
      <c r="AP91" s="733"/>
      <c r="AQ91" s="733"/>
      <c r="AR91" s="733"/>
      <c r="AS91" s="733"/>
      <c r="AT91" s="734"/>
      <c r="AU91" s="726"/>
      <c r="AV91" s="726"/>
      <c r="AW91" s="726"/>
      <c r="AX91" s="726"/>
      <c r="AY91" s="726"/>
      <c r="AZ91" s="726"/>
      <c r="BA91" s="726"/>
      <c r="BB91" s="726"/>
      <c r="BC91" s="726"/>
      <c r="BD91" s="726"/>
      <c r="BE91" s="726"/>
      <c r="BF91" s="726"/>
      <c r="BG91" s="726"/>
      <c r="BH91" s="726"/>
      <c r="BI91" s="726"/>
      <c r="BJ91" s="726"/>
      <c r="BK91" s="726"/>
    </row>
    <row r="92" spans="2:63" ht="22.5" customHeight="1">
      <c r="B92" s="727" t="s">
        <v>799</v>
      </c>
      <c r="C92" s="727"/>
      <c r="D92" s="727"/>
      <c r="E92" s="727"/>
      <c r="F92" s="465" t="s">
        <v>800</v>
      </c>
      <c r="G92" s="465"/>
      <c r="H92" s="465"/>
      <c r="I92" s="465"/>
      <c r="J92" s="726" t="s">
        <v>838</v>
      </c>
      <c r="K92" s="726"/>
      <c r="L92" s="726"/>
      <c r="M92" s="726"/>
      <c r="N92" s="732" t="s">
        <v>836</v>
      </c>
      <c r="O92" s="733"/>
      <c r="P92" s="733"/>
      <c r="Q92" s="733"/>
      <c r="R92" s="733"/>
      <c r="S92" s="733"/>
      <c r="T92" s="733"/>
      <c r="U92" s="733"/>
      <c r="V92" s="733"/>
      <c r="W92" s="733"/>
      <c r="X92" s="733"/>
      <c r="Y92" s="733"/>
      <c r="Z92" s="733"/>
      <c r="AA92" s="733"/>
      <c r="AB92" s="733"/>
      <c r="AC92" s="733"/>
      <c r="AD92" s="733"/>
      <c r="AE92" s="733"/>
      <c r="AF92" s="733"/>
      <c r="AG92" s="733"/>
      <c r="AH92" s="733"/>
      <c r="AI92" s="733"/>
      <c r="AJ92" s="733"/>
      <c r="AK92" s="733"/>
      <c r="AL92" s="733"/>
      <c r="AM92" s="733"/>
      <c r="AN92" s="733"/>
      <c r="AO92" s="733"/>
      <c r="AP92" s="733"/>
      <c r="AQ92" s="733"/>
      <c r="AR92" s="733"/>
      <c r="AS92" s="733"/>
      <c r="AT92" s="734"/>
      <c r="AU92" s="726"/>
      <c r="AV92" s="726"/>
      <c r="AW92" s="726"/>
      <c r="AX92" s="726"/>
      <c r="AY92" s="726"/>
      <c r="AZ92" s="726"/>
      <c r="BA92" s="726"/>
      <c r="BB92" s="726"/>
      <c r="BC92" s="726"/>
      <c r="BD92" s="726"/>
      <c r="BE92" s="726"/>
      <c r="BF92" s="726"/>
      <c r="BG92" s="726"/>
      <c r="BH92" s="726"/>
      <c r="BI92" s="726"/>
      <c r="BJ92" s="726"/>
      <c r="BK92" s="726"/>
    </row>
    <row r="93" spans="2:63" ht="22.5" customHeight="1">
      <c r="B93" s="715" t="s">
        <v>791</v>
      </c>
      <c r="C93" s="716"/>
      <c r="D93" s="716"/>
      <c r="E93" s="717"/>
      <c r="F93" s="718" t="s">
        <v>825</v>
      </c>
      <c r="G93" s="433"/>
      <c r="H93" s="433"/>
      <c r="I93" s="434"/>
      <c r="J93" s="719" t="s">
        <v>839</v>
      </c>
      <c r="K93" s="720"/>
      <c r="L93" s="720"/>
      <c r="M93" s="721"/>
      <c r="N93" s="732" t="s">
        <v>826</v>
      </c>
      <c r="O93" s="733"/>
      <c r="P93" s="733"/>
      <c r="Q93" s="733"/>
      <c r="R93" s="733"/>
      <c r="S93" s="733"/>
      <c r="T93" s="733"/>
      <c r="U93" s="733"/>
      <c r="V93" s="733"/>
      <c r="W93" s="733"/>
      <c r="X93" s="733"/>
      <c r="Y93" s="733"/>
      <c r="Z93" s="733"/>
      <c r="AA93" s="733"/>
      <c r="AB93" s="733"/>
      <c r="AC93" s="733"/>
      <c r="AD93" s="733"/>
      <c r="AE93" s="733"/>
      <c r="AF93" s="733"/>
      <c r="AG93" s="733"/>
      <c r="AH93" s="733"/>
      <c r="AI93" s="733"/>
      <c r="AJ93" s="733"/>
      <c r="AK93" s="733"/>
      <c r="AL93" s="733"/>
      <c r="AM93" s="733"/>
      <c r="AN93" s="733"/>
      <c r="AO93" s="733"/>
      <c r="AP93" s="733"/>
      <c r="AQ93" s="733"/>
      <c r="AR93" s="733"/>
      <c r="AS93" s="733"/>
      <c r="AT93" s="734"/>
      <c r="AU93" s="726"/>
      <c r="AV93" s="726"/>
      <c r="AW93" s="726"/>
      <c r="AX93" s="726"/>
      <c r="AY93" s="726"/>
      <c r="AZ93" s="726"/>
      <c r="BA93" s="726"/>
      <c r="BB93" s="726"/>
      <c r="BC93" s="726"/>
      <c r="BD93" s="726"/>
      <c r="BE93" s="726"/>
      <c r="BF93" s="726"/>
      <c r="BG93" s="726"/>
      <c r="BH93" s="726"/>
      <c r="BI93" s="726"/>
      <c r="BJ93" s="726"/>
      <c r="BK93" s="726"/>
    </row>
    <row r="94" spans="2:63" ht="22.5" customHeight="1">
      <c r="B94" s="715" t="s">
        <v>801</v>
      </c>
      <c r="C94" s="716"/>
      <c r="D94" s="716"/>
      <c r="E94" s="717"/>
      <c r="F94" s="718" t="s">
        <v>831</v>
      </c>
      <c r="G94" s="433"/>
      <c r="H94" s="433"/>
      <c r="I94" s="434"/>
      <c r="J94" s="719" t="s">
        <v>840</v>
      </c>
      <c r="K94" s="720"/>
      <c r="L94" s="720"/>
      <c r="M94" s="721"/>
      <c r="N94" s="732" t="s">
        <v>832</v>
      </c>
      <c r="O94" s="733"/>
      <c r="P94" s="733"/>
      <c r="Q94" s="733"/>
      <c r="R94" s="733"/>
      <c r="S94" s="733"/>
      <c r="T94" s="733"/>
      <c r="U94" s="733"/>
      <c r="V94" s="733"/>
      <c r="W94" s="733"/>
      <c r="X94" s="733"/>
      <c r="Y94" s="733"/>
      <c r="Z94" s="733"/>
      <c r="AA94" s="733"/>
      <c r="AB94" s="733"/>
      <c r="AC94" s="733"/>
      <c r="AD94" s="733"/>
      <c r="AE94" s="733"/>
      <c r="AF94" s="733"/>
      <c r="AG94" s="733"/>
      <c r="AH94" s="733"/>
      <c r="AI94" s="733"/>
      <c r="AJ94" s="733"/>
      <c r="AK94" s="733"/>
      <c r="AL94" s="733"/>
      <c r="AM94" s="733"/>
      <c r="AN94" s="733"/>
      <c r="AO94" s="733"/>
      <c r="AP94" s="733"/>
      <c r="AQ94" s="733"/>
      <c r="AR94" s="733"/>
      <c r="AS94" s="733"/>
      <c r="AT94" s="734"/>
      <c r="AU94" s="726"/>
      <c r="AV94" s="726"/>
      <c r="AW94" s="726"/>
      <c r="AX94" s="726"/>
      <c r="AY94" s="726"/>
      <c r="AZ94" s="726"/>
      <c r="BA94" s="726"/>
      <c r="BB94" s="726"/>
      <c r="BC94" s="726"/>
      <c r="BD94" s="726"/>
      <c r="BE94" s="726"/>
      <c r="BF94" s="726"/>
      <c r="BG94" s="726"/>
      <c r="BH94" s="726"/>
      <c r="BI94" s="726"/>
      <c r="BJ94" s="726"/>
      <c r="BK94" s="726"/>
    </row>
    <row r="95" spans="2:63" ht="22.5" customHeight="1">
      <c r="B95" s="715" t="s">
        <v>802</v>
      </c>
      <c r="C95" s="716"/>
      <c r="D95" s="716"/>
      <c r="E95" s="717"/>
      <c r="F95" s="718" t="s">
        <v>828</v>
      </c>
      <c r="G95" s="433"/>
      <c r="H95" s="433"/>
      <c r="I95" s="434"/>
      <c r="J95" s="719" t="s">
        <v>840</v>
      </c>
      <c r="K95" s="720"/>
      <c r="L95" s="720"/>
      <c r="M95" s="721"/>
      <c r="N95" s="732" t="s">
        <v>829</v>
      </c>
      <c r="O95" s="733"/>
      <c r="P95" s="733"/>
      <c r="Q95" s="733"/>
      <c r="R95" s="733"/>
      <c r="S95" s="733"/>
      <c r="T95" s="733"/>
      <c r="U95" s="733"/>
      <c r="V95" s="733"/>
      <c r="W95" s="733"/>
      <c r="X95" s="733"/>
      <c r="Y95" s="733"/>
      <c r="Z95" s="733"/>
      <c r="AA95" s="733"/>
      <c r="AB95" s="733"/>
      <c r="AC95" s="733"/>
      <c r="AD95" s="733"/>
      <c r="AE95" s="733"/>
      <c r="AF95" s="733"/>
      <c r="AG95" s="733"/>
      <c r="AH95" s="733"/>
      <c r="AI95" s="733"/>
      <c r="AJ95" s="733"/>
      <c r="AK95" s="733"/>
      <c r="AL95" s="733"/>
      <c r="AM95" s="733"/>
      <c r="AN95" s="733"/>
      <c r="AO95" s="733"/>
      <c r="AP95" s="733"/>
      <c r="AQ95" s="733"/>
      <c r="AR95" s="733"/>
      <c r="AS95" s="733"/>
      <c r="AT95" s="734"/>
      <c r="AU95" s="726"/>
      <c r="AV95" s="726"/>
      <c r="AW95" s="726"/>
      <c r="AX95" s="726"/>
      <c r="AY95" s="726"/>
      <c r="AZ95" s="726"/>
      <c r="BA95" s="726"/>
      <c r="BB95" s="726"/>
      <c r="BC95" s="726"/>
      <c r="BD95" s="726"/>
      <c r="BE95" s="726"/>
      <c r="BF95" s="726"/>
      <c r="BG95" s="726"/>
      <c r="BH95" s="726"/>
      <c r="BI95" s="726"/>
      <c r="BJ95" s="726"/>
      <c r="BK95" s="726"/>
    </row>
  </sheetData>
  <mergeCells count="1171">
    <mergeCell ref="B92:E92"/>
    <mergeCell ref="F92:I92"/>
    <mergeCell ref="J92:M92"/>
    <mergeCell ref="N92:AT92"/>
    <mergeCell ref="AU92:BK92"/>
    <mergeCell ref="B93:E93"/>
    <mergeCell ref="F93:I93"/>
    <mergeCell ref="J93:M93"/>
    <mergeCell ref="N93:AT93"/>
    <mergeCell ref="AU93:BK93"/>
    <mergeCell ref="B94:E94"/>
    <mergeCell ref="F94:I94"/>
    <mergeCell ref="J94:M94"/>
    <mergeCell ref="N94:AT94"/>
    <mergeCell ref="AU94:BK94"/>
    <mergeCell ref="B95:E95"/>
    <mergeCell ref="F95:I95"/>
    <mergeCell ref="J95:M95"/>
    <mergeCell ref="N95:AT95"/>
    <mergeCell ref="AU95:BK95"/>
    <mergeCell ref="AU87:BK87"/>
    <mergeCell ref="B88:E88"/>
    <mergeCell ref="F88:I88"/>
    <mergeCell ref="J88:M88"/>
    <mergeCell ref="N88:AT88"/>
    <mergeCell ref="AU88:BK88"/>
    <mergeCell ref="B89:E89"/>
    <mergeCell ref="F89:I89"/>
    <mergeCell ref="J89:M89"/>
    <mergeCell ref="N89:AT89"/>
    <mergeCell ref="AU89:BK89"/>
    <mergeCell ref="B90:E90"/>
    <mergeCell ref="F90:I90"/>
    <mergeCell ref="J90:M90"/>
    <mergeCell ref="N90:AT90"/>
    <mergeCell ref="AU90:BK90"/>
    <mergeCell ref="B91:E91"/>
    <mergeCell ref="F91:I91"/>
    <mergeCell ref="J91:M91"/>
    <mergeCell ref="N91:AT91"/>
    <mergeCell ref="AU91:BK91"/>
    <mergeCell ref="Y26:AA26"/>
    <mergeCell ref="B27:E29"/>
    <mergeCell ref="F27:I27"/>
    <mergeCell ref="Y27:AA27"/>
    <mergeCell ref="F28:I28"/>
    <mergeCell ref="Y28:AA28"/>
    <mergeCell ref="F29:I29"/>
    <mergeCell ref="Y29:AA29"/>
    <mergeCell ref="B30:E31"/>
    <mergeCell ref="F30:I30"/>
    <mergeCell ref="Y30:AA30"/>
    <mergeCell ref="F31:I31"/>
    <mergeCell ref="Y31:AA31"/>
    <mergeCell ref="F32:I32"/>
    <mergeCell ref="Y32:AA32"/>
    <mergeCell ref="B87:E87"/>
    <mergeCell ref="F87:I87"/>
    <mergeCell ref="J87:M87"/>
    <mergeCell ref="N87:AT87"/>
    <mergeCell ref="J31:L31"/>
    <mergeCell ref="M31:O31"/>
    <mergeCell ref="P31:R31"/>
    <mergeCell ref="S31:U31"/>
    <mergeCell ref="V31:X31"/>
    <mergeCell ref="J32:L32"/>
    <mergeCell ref="M32:O32"/>
    <mergeCell ref="P32:R32"/>
    <mergeCell ref="S32:U32"/>
    <mergeCell ref="V32:X32"/>
    <mergeCell ref="J29:L29"/>
    <mergeCell ref="M29:O29"/>
    <mergeCell ref="P29:R29"/>
    <mergeCell ref="S29:U29"/>
    <mergeCell ref="V29:X29"/>
    <mergeCell ref="J30:L30"/>
    <mergeCell ref="M30:O30"/>
    <mergeCell ref="P30:R30"/>
    <mergeCell ref="S30:U30"/>
    <mergeCell ref="V30:X30"/>
    <mergeCell ref="J27:L27"/>
    <mergeCell ref="M27:O27"/>
    <mergeCell ref="P27:R27"/>
    <mergeCell ref="S27:U27"/>
    <mergeCell ref="V27:X27"/>
    <mergeCell ref="J28:L28"/>
    <mergeCell ref="M28:O28"/>
    <mergeCell ref="P28:R28"/>
    <mergeCell ref="S28:U28"/>
    <mergeCell ref="V28:X28"/>
    <mergeCell ref="B25:F25"/>
    <mergeCell ref="G25:I25"/>
    <mergeCell ref="J25:L25"/>
    <mergeCell ref="M25:O25"/>
    <mergeCell ref="P25:R25"/>
    <mergeCell ref="S25:U25"/>
    <mergeCell ref="V25:X25"/>
    <mergeCell ref="J26:L26"/>
    <mergeCell ref="M26:O26"/>
    <mergeCell ref="P26:R26"/>
    <mergeCell ref="S26:U26"/>
    <mergeCell ref="V26:X26"/>
    <mergeCell ref="B26:I26"/>
    <mergeCell ref="B23:F23"/>
    <mergeCell ref="G23:I23"/>
    <mergeCell ref="J23:L23"/>
    <mergeCell ref="M23:O23"/>
    <mergeCell ref="P23:R23"/>
    <mergeCell ref="S23:U23"/>
    <mergeCell ref="V23:X23"/>
    <mergeCell ref="B24:F24"/>
    <mergeCell ref="G24:I24"/>
    <mergeCell ref="J24:L24"/>
    <mergeCell ref="M24:O24"/>
    <mergeCell ref="P24:R24"/>
    <mergeCell ref="S24:U24"/>
    <mergeCell ref="V24:X24"/>
    <mergeCell ref="B21:F21"/>
    <mergeCell ref="G21:I21"/>
    <mergeCell ref="J21:L21"/>
    <mergeCell ref="M21:O21"/>
    <mergeCell ref="P21:R21"/>
    <mergeCell ref="S21:U21"/>
    <mergeCell ref="V21:X21"/>
    <mergeCell ref="B22:F22"/>
    <mergeCell ref="G22:I22"/>
    <mergeCell ref="J22:L22"/>
    <mergeCell ref="M22:O22"/>
    <mergeCell ref="P22:R22"/>
    <mergeCell ref="S22:U22"/>
    <mergeCell ref="V22:X22"/>
    <mergeCell ref="B19:F19"/>
    <mergeCell ref="G19:I19"/>
    <mergeCell ref="J19:L19"/>
    <mergeCell ref="M19:O19"/>
    <mergeCell ref="P19:R19"/>
    <mergeCell ref="S19:U19"/>
    <mergeCell ref="V19:X19"/>
    <mergeCell ref="B20:F20"/>
    <mergeCell ref="G20:I20"/>
    <mergeCell ref="J20:L20"/>
    <mergeCell ref="M20:O20"/>
    <mergeCell ref="P20:R20"/>
    <mergeCell ref="S20:U20"/>
    <mergeCell ref="V20:X20"/>
    <mergeCell ref="B17:F17"/>
    <mergeCell ref="G17:I17"/>
    <mergeCell ref="J17:L17"/>
    <mergeCell ref="M17:O17"/>
    <mergeCell ref="P17:R17"/>
    <mergeCell ref="S17:U17"/>
    <mergeCell ref="V17:X17"/>
    <mergeCell ref="B18:F18"/>
    <mergeCell ref="G18:I18"/>
    <mergeCell ref="J18:L18"/>
    <mergeCell ref="M18:O18"/>
    <mergeCell ref="P18:R18"/>
    <mergeCell ref="S18:U18"/>
    <mergeCell ref="V18:X18"/>
    <mergeCell ref="BS65:BU66"/>
    <mergeCell ref="B66:C66"/>
    <mergeCell ref="D66:I66"/>
    <mergeCell ref="J66:K66"/>
    <mergeCell ref="L66:R66"/>
    <mergeCell ref="T66:X66"/>
    <mergeCell ref="Y66:AC66"/>
    <mergeCell ref="AX65:AY65"/>
    <mergeCell ref="AZ65:BA65"/>
    <mergeCell ref="BB65:BC65"/>
    <mergeCell ref="BD65:BE65"/>
    <mergeCell ref="BF65:BG65"/>
    <mergeCell ref="BH65:BI65"/>
    <mergeCell ref="AL65:AM65"/>
    <mergeCell ref="AN65:AO65"/>
    <mergeCell ref="AP65:AQ65"/>
    <mergeCell ref="AR65:AS65"/>
    <mergeCell ref="AT65:AU65"/>
    <mergeCell ref="AV65:AW65"/>
    <mergeCell ref="B65:C65"/>
    <mergeCell ref="D65:I65"/>
    <mergeCell ref="J65:K65"/>
    <mergeCell ref="L65:R65"/>
    <mergeCell ref="T65:X65"/>
    <mergeCell ref="Y65:AC65"/>
    <mergeCell ref="AD65:AE65"/>
    <mergeCell ref="AF65:AJ65"/>
    <mergeCell ref="B64:C64"/>
    <mergeCell ref="D64:I64"/>
    <mergeCell ref="J64:K64"/>
    <mergeCell ref="L64:R64"/>
    <mergeCell ref="T64:X64"/>
    <mergeCell ref="Y64:AC64"/>
    <mergeCell ref="AR66:AS66"/>
    <mergeCell ref="BK65:BL66"/>
    <mergeCell ref="BM65:BO66"/>
    <mergeCell ref="BF66:BG66"/>
    <mergeCell ref="BH66:BI66"/>
    <mergeCell ref="AT66:AU66"/>
    <mergeCell ref="AV66:AW66"/>
    <mergeCell ref="AX66:AY66"/>
    <mergeCell ref="AZ66:BA66"/>
    <mergeCell ref="BB66:BC66"/>
    <mergeCell ref="BD66:BE66"/>
    <mergeCell ref="AL62:AM62"/>
    <mergeCell ref="AN62:AO62"/>
    <mergeCell ref="AP62:AQ62"/>
    <mergeCell ref="AR62:AS62"/>
    <mergeCell ref="AT62:AU62"/>
    <mergeCell ref="BM61:BO62"/>
    <mergeCell ref="BP61:BR61"/>
    <mergeCell ref="Y62:AC62"/>
    <mergeCell ref="AD62:AE62"/>
    <mergeCell ref="AZ61:BA61"/>
    <mergeCell ref="BB61:BC61"/>
    <mergeCell ref="BD61:BE61"/>
    <mergeCell ref="BF61:BG61"/>
    <mergeCell ref="BH61:BI61"/>
    <mergeCell ref="BK61:BL62"/>
    <mergeCell ref="BH62:BI62"/>
    <mergeCell ref="AD66:AE66"/>
    <mergeCell ref="AF66:AJ66"/>
    <mergeCell ref="AL66:AM66"/>
    <mergeCell ref="AN66:AO66"/>
    <mergeCell ref="AP66:AQ66"/>
    <mergeCell ref="AD64:AE64"/>
    <mergeCell ref="AF64:AJ64"/>
    <mergeCell ref="BP65:BR65"/>
    <mergeCell ref="BP66:BR66"/>
    <mergeCell ref="BW60:CH66"/>
    <mergeCell ref="B61:C61"/>
    <mergeCell ref="D61:I61"/>
    <mergeCell ref="J61:K61"/>
    <mergeCell ref="L61:R61"/>
    <mergeCell ref="T61:X61"/>
    <mergeCell ref="Y61:AC61"/>
    <mergeCell ref="AD61:AE61"/>
    <mergeCell ref="AF61:AJ61"/>
    <mergeCell ref="AL61:AM61"/>
    <mergeCell ref="BS61:BU62"/>
    <mergeCell ref="B62:C62"/>
    <mergeCell ref="D62:I62"/>
    <mergeCell ref="J62:K62"/>
    <mergeCell ref="L62:R62"/>
    <mergeCell ref="T62:X62"/>
    <mergeCell ref="BP62:BR62"/>
    <mergeCell ref="B63:C63"/>
    <mergeCell ref="D63:I63"/>
    <mergeCell ref="J63:K63"/>
    <mergeCell ref="L63:R63"/>
    <mergeCell ref="T63:X63"/>
    <mergeCell ref="Y63:AC63"/>
    <mergeCell ref="AD63:AE63"/>
    <mergeCell ref="AF63:AJ63"/>
    <mergeCell ref="AV62:AW62"/>
    <mergeCell ref="AX62:AY62"/>
    <mergeCell ref="AZ62:BA62"/>
    <mergeCell ref="BB62:BC62"/>
    <mergeCell ref="BD62:BE62"/>
    <mergeCell ref="BF62:BG62"/>
    <mergeCell ref="AF62:AJ62"/>
    <mergeCell ref="B59:C59"/>
    <mergeCell ref="D59:I59"/>
    <mergeCell ref="J59:K59"/>
    <mergeCell ref="L59:R59"/>
    <mergeCell ref="T59:X59"/>
    <mergeCell ref="Y59:AC59"/>
    <mergeCell ref="AD59:AE59"/>
    <mergeCell ref="AT58:AU58"/>
    <mergeCell ref="AV58:AW58"/>
    <mergeCell ref="AF59:AJ59"/>
    <mergeCell ref="AN61:AO61"/>
    <mergeCell ref="AP61:AQ61"/>
    <mergeCell ref="AR61:AS61"/>
    <mergeCell ref="AT61:AU61"/>
    <mergeCell ref="AV61:AW61"/>
    <mergeCell ref="AX61:AY61"/>
    <mergeCell ref="B60:C60"/>
    <mergeCell ref="D60:I60"/>
    <mergeCell ref="J60:K60"/>
    <mergeCell ref="L60:R60"/>
    <mergeCell ref="T60:X60"/>
    <mergeCell ref="Y60:AC60"/>
    <mergeCell ref="AD60:AE60"/>
    <mergeCell ref="AF60:AJ60"/>
    <mergeCell ref="BS57:BU58"/>
    <mergeCell ref="B58:C58"/>
    <mergeCell ref="D58:I58"/>
    <mergeCell ref="J58:K58"/>
    <mergeCell ref="L58:R58"/>
    <mergeCell ref="T58:X58"/>
    <mergeCell ref="Y58:AC58"/>
    <mergeCell ref="AX57:AY57"/>
    <mergeCell ref="AZ57:BA57"/>
    <mergeCell ref="BB57:BC57"/>
    <mergeCell ref="BD57:BE57"/>
    <mergeCell ref="BF57:BG57"/>
    <mergeCell ref="BH57:BI57"/>
    <mergeCell ref="AL57:AM57"/>
    <mergeCell ref="AN57:AO57"/>
    <mergeCell ref="AP57:AQ57"/>
    <mergeCell ref="AR57:AS57"/>
    <mergeCell ref="AT57:AU57"/>
    <mergeCell ref="AV57:AW57"/>
    <mergeCell ref="BF58:BG58"/>
    <mergeCell ref="BH58:BI58"/>
    <mergeCell ref="BP58:BR58"/>
    <mergeCell ref="AX58:AY58"/>
    <mergeCell ref="AZ58:BA58"/>
    <mergeCell ref="BB58:BC58"/>
    <mergeCell ref="BD58:BE58"/>
    <mergeCell ref="AD58:AE58"/>
    <mergeCell ref="AF58:AJ58"/>
    <mergeCell ref="AL58:AM58"/>
    <mergeCell ref="AN58:AO58"/>
    <mergeCell ref="AP58:AQ58"/>
    <mergeCell ref="AR58:AS58"/>
    <mergeCell ref="BM53:BO54"/>
    <mergeCell ref="BP53:BR53"/>
    <mergeCell ref="AD56:AE56"/>
    <mergeCell ref="AF56:AJ56"/>
    <mergeCell ref="B57:C57"/>
    <mergeCell ref="D57:I57"/>
    <mergeCell ref="J57:K57"/>
    <mergeCell ref="L57:R57"/>
    <mergeCell ref="T57:X57"/>
    <mergeCell ref="Y57:AC57"/>
    <mergeCell ref="AD57:AE57"/>
    <mergeCell ref="AF57:AJ57"/>
    <mergeCell ref="B56:C56"/>
    <mergeCell ref="D56:I56"/>
    <mergeCell ref="J56:K56"/>
    <mergeCell ref="L56:R56"/>
    <mergeCell ref="T56:X56"/>
    <mergeCell ref="Y56:AC56"/>
    <mergeCell ref="BP57:BR57"/>
    <mergeCell ref="BM57:BO58"/>
    <mergeCell ref="BH54:BI54"/>
    <mergeCell ref="AN53:AO53"/>
    <mergeCell ref="AP53:AQ53"/>
    <mergeCell ref="AR53:AS53"/>
    <mergeCell ref="AT53:AU53"/>
    <mergeCell ref="AV53:AW53"/>
    <mergeCell ref="AX53:AY53"/>
    <mergeCell ref="BP54:BR54"/>
    <mergeCell ref="BK57:BL58"/>
    <mergeCell ref="B55:C55"/>
    <mergeCell ref="D55:I55"/>
    <mergeCell ref="J55:K55"/>
    <mergeCell ref="L55:R55"/>
    <mergeCell ref="T55:X55"/>
    <mergeCell ref="Y55:AC55"/>
    <mergeCell ref="AD55:AE55"/>
    <mergeCell ref="AF55:AJ55"/>
    <mergeCell ref="AV54:AW54"/>
    <mergeCell ref="AX54:AY54"/>
    <mergeCell ref="AZ54:BA54"/>
    <mergeCell ref="BB54:BC54"/>
    <mergeCell ref="BD54:BE54"/>
    <mergeCell ref="BF54:BG54"/>
    <mergeCell ref="AF54:AJ54"/>
    <mergeCell ref="AL54:AM54"/>
    <mergeCell ref="BW52:CH57"/>
    <mergeCell ref="B53:C53"/>
    <mergeCell ref="D53:I53"/>
    <mergeCell ref="J53:K53"/>
    <mergeCell ref="L53:R53"/>
    <mergeCell ref="T53:X53"/>
    <mergeCell ref="AD53:AE53"/>
    <mergeCell ref="AF53:AJ53"/>
    <mergeCell ref="AL53:AM53"/>
    <mergeCell ref="BS53:BU54"/>
    <mergeCell ref="B54:C54"/>
    <mergeCell ref="D54:I54"/>
    <mergeCell ref="J54:K54"/>
    <mergeCell ref="L54:R54"/>
    <mergeCell ref="T54:X54"/>
    <mergeCell ref="Y54:AC54"/>
    <mergeCell ref="AD54:AE54"/>
    <mergeCell ref="AZ53:BA53"/>
    <mergeCell ref="BB53:BC53"/>
    <mergeCell ref="BH53:BI53"/>
    <mergeCell ref="BK53:BL54"/>
    <mergeCell ref="B50:C50"/>
    <mergeCell ref="D50:I50"/>
    <mergeCell ref="AF51:AJ51"/>
    <mergeCell ref="B52:C52"/>
    <mergeCell ref="D52:I52"/>
    <mergeCell ref="J52:K52"/>
    <mergeCell ref="L52:R52"/>
    <mergeCell ref="T52:X52"/>
    <mergeCell ref="Y52:AC52"/>
    <mergeCell ref="AD52:AE52"/>
    <mergeCell ref="AF52:AJ52"/>
    <mergeCell ref="Y50:AC50"/>
    <mergeCell ref="AN50:AO50"/>
    <mergeCell ref="AP50:AQ50"/>
    <mergeCell ref="AR50:AS50"/>
    <mergeCell ref="AN54:AO54"/>
    <mergeCell ref="AP54:AQ54"/>
    <mergeCell ref="AR54:AS54"/>
    <mergeCell ref="AT54:AU54"/>
    <mergeCell ref="B51:C51"/>
    <mergeCell ref="D51:I51"/>
    <mergeCell ref="J51:K51"/>
    <mergeCell ref="L51:R51"/>
    <mergeCell ref="T51:X51"/>
    <mergeCell ref="Y51:AC51"/>
    <mergeCell ref="AD51:AE51"/>
    <mergeCell ref="AT50:AU50"/>
    <mergeCell ref="AV50:AW50"/>
    <mergeCell ref="BB50:BC50"/>
    <mergeCell ref="BD50:BE50"/>
    <mergeCell ref="AD50:AE50"/>
    <mergeCell ref="AF50:AJ50"/>
    <mergeCell ref="AL50:AM50"/>
    <mergeCell ref="AL49:AM49"/>
    <mergeCell ref="AN49:AO49"/>
    <mergeCell ref="AP49:AQ49"/>
    <mergeCell ref="AR49:AS49"/>
    <mergeCell ref="AT49:AU49"/>
    <mergeCell ref="J50:K50"/>
    <mergeCell ref="L50:R50"/>
    <mergeCell ref="T50:X50"/>
    <mergeCell ref="AD48:AE48"/>
    <mergeCell ref="AF48:AJ48"/>
    <mergeCell ref="BD53:BE53"/>
    <mergeCell ref="BF53:BG53"/>
    <mergeCell ref="BW48:CH48"/>
    <mergeCell ref="B49:C49"/>
    <mergeCell ref="D49:I49"/>
    <mergeCell ref="J49:K49"/>
    <mergeCell ref="L49:R49"/>
    <mergeCell ref="T49:X49"/>
    <mergeCell ref="Y49:AC49"/>
    <mergeCell ref="AD49:AE49"/>
    <mergeCell ref="B48:C48"/>
    <mergeCell ref="D48:I48"/>
    <mergeCell ref="J48:K48"/>
    <mergeCell ref="L48:R48"/>
    <mergeCell ref="T48:X48"/>
    <mergeCell ref="Y48:AC48"/>
    <mergeCell ref="BW49:CH49"/>
    <mergeCell ref="AV49:AW49"/>
    <mergeCell ref="AX49:AY49"/>
    <mergeCell ref="AZ49:BA49"/>
    <mergeCell ref="BB49:BC49"/>
    <mergeCell ref="BD49:BE49"/>
    <mergeCell ref="BF49:BG49"/>
    <mergeCell ref="AF49:AJ49"/>
    <mergeCell ref="BH49:BI49"/>
    <mergeCell ref="BK49:BL50"/>
    <mergeCell ref="BM49:BO50"/>
    <mergeCell ref="BP49:BR49"/>
    <mergeCell ref="BS49:BU50"/>
    <mergeCell ref="BF50:BG50"/>
    <mergeCell ref="BH50:BI50"/>
    <mergeCell ref="BP50:BR50"/>
    <mergeCell ref="AX50:AY50"/>
    <mergeCell ref="AZ50:BA50"/>
    <mergeCell ref="BW46:CH46"/>
    <mergeCell ref="B47:C47"/>
    <mergeCell ref="D47:I47"/>
    <mergeCell ref="J47:K47"/>
    <mergeCell ref="L47:R47"/>
    <mergeCell ref="T47:X47"/>
    <mergeCell ref="Y47:AC47"/>
    <mergeCell ref="AD47:AE47"/>
    <mergeCell ref="AF47:AJ47"/>
    <mergeCell ref="BW47:CH47"/>
    <mergeCell ref="AZ46:BA46"/>
    <mergeCell ref="BB46:BC46"/>
    <mergeCell ref="BD46:BE46"/>
    <mergeCell ref="BF46:BG46"/>
    <mergeCell ref="BH46:BI46"/>
    <mergeCell ref="BP46:BR46"/>
    <mergeCell ref="AN46:AO46"/>
    <mergeCell ref="AP46:AQ46"/>
    <mergeCell ref="AR46:AS46"/>
    <mergeCell ref="AT46:AU46"/>
    <mergeCell ref="AV46:AW46"/>
    <mergeCell ref="AX46:AY46"/>
    <mergeCell ref="BW45:CH45"/>
    <mergeCell ref="B46:C46"/>
    <mergeCell ref="D46:I46"/>
    <mergeCell ref="J46:K46"/>
    <mergeCell ref="L46:R46"/>
    <mergeCell ref="T46:X46"/>
    <mergeCell ref="Y46:AC46"/>
    <mergeCell ref="AD46:AE46"/>
    <mergeCell ref="AF46:AJ46"/>
    <mergeCell ref="AL46:AM46"/>
    <mergeCell ref="BF45:BG45"/>
    <mergeCell ref="BH45:BI45"/>
    <mergeCell ref="BK45:BL46"/>
    <mergeCell ref="BM45:BO46"/>
    <mergeCell ref="BP45:BR45"/>
    <mergeCell ref="BS45:BU46"/>
    <mergeCell ref="AT45:AU45"/>
    <mergeCell ref="AV45:AW45"/>
    <mergeCell ref="AX45:AY45"/>
    <mergeCell ref="AZ45:BA45"/>
    <mergeCell ref="BB45:BC45"/>
    <mergeCell ref="BD45:BE45"/>
    <mergeCell ref="AD45:AE45"/>
    <mergeCell ref="AF45:AJ45"/>
    <mergeCell ref="AN45:AO45"/>
    <mergeCell ref="AP45:AQ45"/>
    <mergeCell ref="AR45:AS45"/>
    <mergeCell ref="B45:C45"/>
    <mergeCell ref="D45:I45"/>
    <mergeCell ref="J45:K45"/>
    <mergeCell ref="L45:R45"/>
    <mergeCell ref="T45:X45"/>
    <mergeCell ref="Y45:AC45"/>
    <mergeCell ref="B44:C44"/>
    <mergeCell ref="D44:I44"/>
    <mergeCell ref="J44:K44"/>
    <mergeCell ref="L44:R44"/>
    <mergeCell ref="T44:X44"/>
    <mergeCell ref="Y44:AC44"/>
    <mergeCell ref="AD44:AE44"/>
    <mergeCell ref="AF44:AJ44"/>
    <mergeCell ref="AL45:AM45"/>
    <mergeCell ref="BB42:BC42"/>
    <mergeCell ref="BD42:BE42"/>
    <mergeCell ref="BF42:BG42"/>
    <mergeCell ref="AF42:AJ42"/>
    <mergeCell ref="AL42:AM42"/>
    <mergeCell ref="AN42:AO42"/>
    <mergeCell ref="AP42:AQ42"/>
    <mergeCell ref="AR42:AS42"/>
    <mergeCell ref="AT42:AU42"/>
    <mergeCell ref="B43:C43"/>
    <mergeCell ref="D43:I43"/>
    <mergeCell ref="J43:K43"/>
    <mergeCell ref="L43:R43"/>
    <mergeCell ref="T43:X43"/>
    <mergeCell ref="Y43:AC43"/>
    <mergeCell ref="AD43:AE43"/>
    <mergeCell ref="AV42:AW42"/>
    <mergeCell ref="AX42:AY42"/>
    <mergeCell ref="AF43:AJ43"/>
    <mergeCell ref="BQ41:BU41"/>
    <mergeCell ref="B42:C42"/>
    <mergeCell ref="D42:I42"/>
    <mergeCell ref="J42:K42"/>
    <mergeCell ref="L42:R42"/>
    <mergeCell ref="T42:X42"/>
    <mergeCell ref="Y42:AC42"/>
    <mergeCell ref="AD42:AE42"/>
    <mergeCell ref="AV41:AW41"/>
    <mergeCell ref="AX41:AY41"/>
    <mergeCell ref="AZ41:BA41"/>
    <mergeCell ref="BB41:BC41"/>
    <mergeCell ref="BD41:BE41"/>
    <mergeCell ref="BF41:BG41"/>
    <mergeCell ref="AF41:AJ41"/>
    <mergeCell ref="AL41:AM41"/>
    <mergeCell ref="AN41:AO41"/>
    <mergeCell ref="AP41:AQ41"/>
    <mergeCell ref="AR41:AS41"/>
    <mergeCell ref="AT41:AU41"/>
    <mergeCell ref="BH42:BI42"/>
    <mergeCell ref="BK42:BP42"/>
    <mergeCell ref="BQ42:BU42"/>
    <mergeCell ref="AZ42:BA42"/>
    <mergeCell ref="B41:C41"/>
    <mergeCell ref="D41:I41"/>
    <mergeCell ref="J41:K41"/>
    <mergeCell ref="L41:R41"/>
    <mergeCell ref="T41:X41"/>
    <mergeCell ref="Y41:AC41"/>
    <mergeCell ref="AD41:AE41"/>
    <mergeCell ref="BH41:BI41"/>
    <mergeCell ref="BK41:BP41"/>
    <mergeCell ref="BQ39:BU39"/>
    <mergeCell ref="B40:C40"/>
    <mergeCell ref="D40:I40"/>
    <mergeCell ref="J40:K40"/>
    <mergeCell ref="L40:R40"/>
    <mergeCell ref="T40:X40"/>
    <mergeCell ref="Y40:AC40"/>
    <mergeCell ref="AD40:AE40"/>
    <mergeCell ref="AF40:AJ40"/>
    <mergeCell ref="BK40:BP40"/>
    <mergeCell ref="BQ40:BU40"/>
    <mergeCell ref="BH38:BI38"/>
    <mergeCell ref="BK38:BP38"/>
    <mergeCell ref="BQ38:BU38"/>
    <mergeCell ref="B39:C39"/>
    <mergeCell ref="D39:I39"/>
    <mergeCell ref="J39:K39"/>
    <mergeCell ref="L39:R39"/>
    <mergeCell ref="T39:X39"/>
    <mergeCell ref="Y39:AC39"/>
    <mergeCell ref="AD39:AE39"/>
    <mergeCell ref="AV38:AW38"/>
    <mergeCell ref="AX38:AY38"/>
    <mergeCell ref="AZ38:BA38"/>
    <mergeCell ref="BB38:BC38"/>
    <mergeCell ref="BD38:BE38"/>
    <mergeCell ref="BF38:BG38"/>
    <mergeCell ref="AF38:AJ38"/>
    <mergeCell ref="AL38:AM38"/>
    <mergeCell ref="AN38:AO38"/>
    <mergeCell ref="AP38:AQ38"/>
    <mergeCell ref="AR38:AS38"/>
    <mergeCell ref="AT38:AU38"/>
    <mergeCell ref="AF39:AJ39"/>
    <mergeCell ref="BK39:BP39"/>
    <mergeCell ref="B38:C38"/>
    <mergeCell ref="D38:I38"/>
    <mergeCell ref="J38:K38"/>
    <mergeCell ref="L38:R38"/>
    <mergeCell ref="T38:X38"/>
    <mergeCell ref="Y38:AC38"/>
    <mergeCell ref="AD38:AE38"/>
    <mergeCell ref="AV37:AW37"/>
    <mergeCell ref="AX37:AY37"/>
    <mergeCell ref="AF37:AJ37"/>
    <mergeCell ref="AL37:AM37"/>
    <mergeCell ref="AN37:AO37"/>
    <mergeCell ref="AP37:AQ37"/>
    <mergeCell ref="AR37:AS37"/>
    <mergeCell ref="AT37:AU37"/>
    <mergeCell ref="B37:C37"/>
    <mergeCell ref="D37:I37"/>
    <mergeCell ref="J37:K37"/>
    <mergeCell ref="L37:R37"/>
    <mergeCell ref="T37:X37"/>
    <mergeCell ref="Y37:AC37"/>
    <mergeCell ref="AD37:AE37"/>
    <mergeCell ref="B36:I36"/>
    <mergeCell ref="J36:K36"/>
    <mergeCell ref="L36:R36"/>
    <mergeCell ref="S36:X36"/>
    <mergeCell ref="Y36:AC36"/>
    <mergeCell ref="AD36:AE36"/>
    <mergeCell ref="BH37:BI37"/>
    <mergeCell ref="BK37:BP37"/>
    <mergeCell ref="BQ37:BU37"/>
    <mergeCell ref="AZ37:BA37"/>
    <mergeCell ref="BB37:BC37"/>
    <mergeCell ref="BD37:BE37"/>
    <mergeCell ref="BF37:BG37"/>
    <mergeCell ref="BR32:BS32"/>
    <mergeCell ref="BT32:BU32"/>
    <mergeCell ref="AC33:AD33"/>
    <mergeCell ref="AE33:AH33"/>
    <mergeCell ref="AI33:AL33"/>
    <mergeCell ref="AM33:AP33"/>
    <mergeCell ref="AQ33:AT33"/>
    <mergeCell ref="AU33:AX33"/>
    <mergeCell ref="AE32:AH32"/>
    <mergeCell ref="AI32:AL32"/>
    <mergeCell ref="AM32:AP32"/>
    <mergeCell ref="AQ32:AT32"/>
    <mergeCell ref="AU32:AX32"/>
    <mergeCell ref="AY32:BB32"/>
    <mergeCell ref="G33:I33"/>
    <mergeCell ref="J33:L33"/>
    <mergeCell ref="AF36:AJ36"/>
    <mergeCell ref="BK36:BP36"/>
    <mergeCell ref="BQ36:BU36"/>
    <mergeCell ref="M33:O33"/>
    <mergeCell ref="P33:R33"/>
    <mergeCell ref="S33:U33"/>
    <mergeCell ref="V33:X33"/>
    <mergeCell ref="BF31:BG31"/>
    <mergeCell ref="BH31:BK31"/>
    <mergeCell ref="BR31:BS31"/>
    <mergeCell ref="BT31:BU31"/>
    <mergeCell ref="B83:D84"/>
    <mergeCell ref="E83:G84"/>
    <mergeCell ref="H83:I84"/>
    <mergeCell ref="J83:K84"/>
    <mergeCell ref="L83:AA84"/>
    <mergeCell ref="AC32:AD32"/>
    <mergeCell ref="AE31:AH31"/>
    <mergeCell ref="AI31:AL31"/>
    <mergeCell ref="AM31:AP31"/>
    <mergeCell ref="AQ31:AT31"/>
    <mergeCell ref="AU31:AX31"/>
    <mergeCell ref="AY31:BB31"/>
    <mergeCell ref="B82:D82"/>
    <mergeCell ref="E82:G82"/>
    <mergeCell ref="H82:I82"/>
    <mergeCell ref="J82:K82"/>
    <mergeCell ref="L82:AA82"/>
    <mergeCell ref="AC31:AD31"/>
    <mergeCell ref="AY33:BB33"/>
    <mergeCell ref="BL33:BN34"/>
    <mergeCell ref="BO33:BR34"/>
    <mergeCell ref="BS33:BU34"/>
    <mergeCell ref="B35:U35"/>
    <mergeCell ref="V35:X35"/>
    <mergeCell ref="Y35:AG35"/>
    <mergeCell ref="AH35:AJ35"/>
    <mergeCell ref="BF32:BG32"/>
    <mergeCell ref="BH32:BK32"/>
    <mergeCell ref="AC30:AD30"/>
    <mergeCell ref="AE30:AF30"/>
    <mergeCell ref="AG30:AH30"/>
    <mergeCell ref="AI30:AJ30"/>
    <mergeCell ref="AK30:AL30"/>
    <mergeCell ref="AO29:AP29"/>
    <mergeCell ref="AQ29:AR29"/>
    <mergeCell ref="AS29:AT29"/>
    <mergeCell ref="AU29:AV29"/>
    <mergeCell ref="AW29:AX29"/>
    <mergeCell ref="AY29:AZ29"/>
    <mergeCell ref="AC29:AD29"/>
    <mergeCell ref="AE29:AF29"/>
    <mergeCell ref="AG29:AH29"/>
    <mergeCell ref="AI29:AJ29"/>
    <mergeCell ref="AK29:AL29"/>
    <mergeCell ref="AM29:AN29"/>
    <mergeCell ref="C79:K79"/>
    <mergeCell ref="L79:AA79"/>
    <mergeCell ref="AC28:AD28"/>
    <mergeCell ref="AE28:AF28"/>
    <mergeCell ref="AG28:AH28"/>
    <mergeCell ref="AI28:AJ28"/>
    <mergeCell ref="AK28:AL28"/>
    <mergeCell ref="AS27:AT27"/>
    <mergeCell ref="AU27:AV27"/>
    <mergeCell ref="AW27:AX27"/>
    <mergeCell ref="AY27:AZ27"/>
    <mergeCell ref="BA27:BB27"/>
    <mergeCell ref="BF27:BG27"/>
    <mergeCell ref="AG27:AH27"/>
    <mergeCell ref="AI27:AJ27"/>
    <mergeCell ref="AK27:AL27"/>
    <mergeCell ref="AI26:AJ26"/>
    <mergeCell ref="AY30:AZ30"/>
    <mergeCell ref="BA30:BB30"/>
    <mergeCell ref="AM27:AN27"/>
    <mergeCell ref="AO27:AP27"/>
    <mergeCell ref="AQ27:AR27"/>
    <mergeCell ref="AY28:AZ28"/>
    <mergeCell ref="BA28:BB28"/>
    <mergeCell ref="BF28:BG28"/>
    <mergeCell ref="AM28:AN28"/>
    <mergeCell ref="AO28:AP28"/>
    <mergeCell ref="AQ28:AR28"/>
    <mergeCell ref="AS28:AT28"/>
    <mergeCell ref="AU28:AV28"/>
    <mergeCell ref="AW28:AX28"/>
    <mergeCell ref="BF30:BG30"/>
    <mergeCell ref="C78:K78"/>
    <mergeCell ref="L78:M78"/>
    <mergeCell ref="N78:O78"/>
    <mergeCell ref="P78:S78"/>
    <mergeCell ref="T78:U78"/>
    <mergeCell ref="V78:W78"/>
    <mergeCell ref="X78:AA78"/>
    <mergeCell ref="AC27:AD27"/>
    <mergeCell ref="AE27:AF27"/>
    <mergeCell ref="AW26:AX26"/>
    <mergeCell ref="AY26:AZ26"/>
    <mergeCell ref="BA26:BB26"/>
    <mergeCell ref="BF26:BG26"/>
    <mergeCell ref="BH26:BK26"/>
    <mergeCell ref="BR26:BS26"/>
    <mergeCell ref="AK26:AL26"/>
    <mergeCell ref="C75:K75"/>
    <mergeCell ref="L75:O75"/>
    <mergeCell ref="AM26:AN26"/>
    <mergeCell ref="AO26:AP26"/>
    <mergeCell ref="AQ26:AR26"/>
    <mergeCell ref="AS26:AT26"/>
    <mergeCell ref="AU26:AV26"/>
    <mergeCell ref="BH27:BK27"/>
    <mergeCell ref="BR27:BS27"/>
    <mergeCell ref="BH28:BK28"/>
    <mergeCell ref="BR28:BS28"/>
    <mergeCell ref="BH30:BK30"/>
    <mergeCell ref="BR30:BS30"/>
    <mergeCell ref="AM30:AN30"/>
    <mergeCell ref="AO30:AP30"/>
    <mergeCell ref="AQ30:AR30"/>
    <mergeCell ref="C76:K76"/>
    <mergeCell ref="L76:M76"/>
    <mergeCell ref="N76:O76"/>
    <mergeCell ref="P76:S76"/>
    <mergeCell ref="T76:U76"/>
    <mergeCell ref="V76:W76"/>
    <mergeCell ref="X76:AA76"/>
    <mergeCell ref="AC25:AD26"/>
    <mergeCell ref="AE25:AH25"/>
    <mergeCell ref="BH25:BK25"/>
    <mergeCell ref="BR25:BS25"/>
    <mergeCell ref="BT25:BU25"/>
    <mergeCell ref="C77:K77"/>
    <mergeCell ref="L77:O77"/>
    <mergeCell ref="P77:S77"/>
    <mergeCell ref="T77:AA77"/>
    <mergeCell ref="AE26:AF26"/>
    <mergeCell ref="AG26:AH26"/>
    <mergeCell ref="AI25:AL25"/>
    <mergeCell ref="AM25:AP25"/>
    <mergeCell ref="AQ25:AT25"/>
    <mergeCell ref="AU25:AX25"/>
    <mergeCell ref="AY25:BB25"/>
    <mergeCell ref="BF25:BG25"/>
    <mergeCell ref="BT26:BU26"/>
    <mergeCell ref="BT27:BU27"/>
    <mergeCell ref="BT28:BU28"/>
    <mergeCell ref="BT30:BU30"/>
    <mergeCell ref="AS30:AT30"/>
    <mergeCell ref="AU30:AV30"/>
    <mergeCell ref="AW30:AX30"/>
    <mergeCell ref="BA29:BB29"/>
    <mergeCell ref="BR22:BS22"/>
    <mergeCell ref="BT22:BU22"/>
    <mergeCell ref="F74:K74"/>
    <mergeCell ref="L74:M74"/>
    <mergeCell ref="N74:O74"/>
    <mergeCell ref="P74:S74"/>
    <mergeCell ref="T74:U74"/>
    <mergeCell ref="V74:W74"/>
    <mergeCell ref="AK22:AM22"/>
    <mergeCell ref="AN22:AP22"/>
    <mergeCell ref="AQ22:AS22"/>
    <mergeCell ref="AT22:AV22"/>
    <mergeCell ref="AW22:AY22"/>
    <mergeCell ref="AZ22:BB22"/>
    <mergeCell ref="X74:AA74"/>
    <mergeCell ref="BF23:BG23"/>
    <mergeCell ref="BH23:BK23"/>
    <mergeCell ref="BR23:BS23"/>
    <mergeCell ref="BT23:BU23"/>
    <mergeCell ref="F73:K73"/>
    <mergeCell ref="L73:M73"/>
    <mergeCell ref="N73:O73"/>
    <mergeCell ref="P73:S73"/>
    <mergeCell ref="T73:U73"/>
    <mergeCell ref="BF24:BG24"/>
    <mergeCell ref="BH24:BK24"/>
    <mergeCell ref="BR24:BS24"/>
    <mergeCell ref="BT24:BU24"/>
    <mergeCell ref="BF29:BG29"/>
    <mergeCell ref="BH29:BK29"/>
    <mergeCell ref="BR29:BS29"/>
    <mergeCell ref="BT29:BU29"/>
    <mergeCell ref="BH21:BK21"/>
    <mergeCell ref="BF22:BG22"/>
    <mergeCell ref="BH22:BK22"/>
    <mergeCell ref="V73:W73"/>
    <mergeCell ref="X73:AA73"/>
    <mergeCell ref="AG22:AJ22"/>
    <mergeCell ref="AQ21:AS21"/>
    <mergeCell ref="BH18:BK18"/>
    <mergeCell ref="BR20:BS20"/>
    <mergeCell ref="BT20:BU20"/>
    <mergeCell ref="F72:K72"/>
    <mergeCell ref="L72:M72"/>
    <mergeCell ref="N72:O72"/>
    <mergeCell ref="Q72:R72"/>
    <mergeCell ref="T72:U72"/>
    <mergeCell ref="V72:W72"/>
    <mergeCell ref="Y72:Z72"/>
    <mergeCell ref="AG21:AJ21"/>
    <mergeCell ref="AQ20:AS20"/>
    <mergeCell ref="AT20:AV20"/>
    <mergeCell ref="AW20:AY20"/>
    <mergeCell ref="AZ20:BB20"/>
    <mergeCell ref="BF20:BG20"/>
    <mergeCell ref="BH20:BK20"/>
    <mergeCell ref="AK21:AM21"/>
    <mergeCell ref="AN21:AP21"/>
    <mergeCell ref="BR21:BS21"/>
    <mergeCell ref="BT21:BU21"/>
    <mergeCell ref="AT21:AV21"/>
    <mergeCell ref="AW21:AY21"/>
    <mergeCell ref="AZ21:BB21"/>
    <mergeCell ref="BF21:BG21"/>
    <mergeCell ref="BR18:BS18"/>
    <mergeCell ref="BT18:BU18"/>
    <mergeCell ref="C70:E74"/>
    <mergeCell ref="F70:K70"/>
    <mergeCell ref="L70:M70"/>
    <mergeCell ref="N70:O70"/>
    <mergeCell ref="P70:S70"/>
    <mergeCell ref="T70:U70"/>
    <mergeCell ref="BR19:BS19"/>
    <mergeCell ref="BT19:BU19"/>
    <mergeCell ref="F71:K71"/>
    <mergeCell ref="L71:M71"/>
    <mergeCell ref="N71:O71"/>
    <mergeCell ref="P71:S71"/>
    <mergeCell ref="T71:U71"/>
    <mergeCell ref="V71:W71"/>
    <mergeCell ref="X71:AA71"/>
    <mergeCell ref="AG20:AJ20"/>
    <mergeCell ref="AQ19:AS19"/>
    <mergeCell ref="AT19:AV19"/>
    <mergeCell ref="AW19:AY19"/>
    <mergeCell ref="AZ19:BB19"/>
    <mergeCell ref="BF19:BG19"/>
    <mergeCell ref="BH19:BK19"/>
    <mergeCell ref="V70:W70"/>
    <mergeCell ref="X70:AA70"/>
    <mergeCell ref="AC19:AF22"/>
    <mergeCell ref="AG19:AJ19"/>
    <mergeCell ref="AK19:AM19"/>
    <mergeCell ref="AN19:AP19"/>
    <mergeCell ref="AK20:AM20"/>
    <mergeCell ref="AN20:AP20"/>
    <mergeCell ref="BR16:BS16"/>
    <mergeCell ref="BT16:BU16"/>
    <mergeCell ref="AC17:AF18"/>
    <mergeCell ref="AG17:AJ17"/>
    <mergeCell ref="AK17:AM17"/>
    <mergeCell ref="AN17:AP17"/>
    <mergeCell ref="AQ17:AS17"/>
    <mergeCell ref="BT17:BU17"/>
    <mergeCell ref="B69:K69"/>
    <mergeCell ref="L69:AA69"/>
    <mergeCell ref="AG18:AJ18"/>
    <mergeCell ref="AK18:AM18"/>
    <mergeCell ref="AN18:AP18"/>
    <mergeCell ref="AQ18:AS18"/>
    <mergeCell ref="AT18:AV18"/>
    <mergeCell ref="AW18:AY18"/>
    <mergeCell ref="AZ18:BB18"/>
    <mergeCell ref="AT17:AV17"/>
    <mergeCell ref="AW17:AY17"/>
    <mergeCell ref="AZ17:BB17"/>
    <mergeCell ref="BF17:BG17"/>
    <mergeCell ref="BH17:BK17"/>
    <mergeCell ref="BR17:BS17"/>
    <mergeCell ref="BF18:BG18"/>
    <mergeCell ref="AC16:AJ16"/>
    <mergeCell ref="AK16:AM16"/>
    <mergeCell ref="AN16:AP16"/>
    <mergeCell ref="AQ16:AS16"/>
    <mergeCell ref="AT16:AV16"/>
    <mergeCell ref="AW16:AY16"/>
    <mergeCell ref="AZ16:BB16"/>
    <mergeCell ref="BF16:BG16"/>
    <mergeCell ref="BH16:BK16"/>
    <mergeCell ref="BH14:BK14"/>
    <mergeCell ref="BR14:BS14"/>
    <mergeCell ref="BT14:BU14"/>
    <mergeCell ref="B15:F15"/>
    <mergeCell ref="G15:I15"/>
    <mergeCell ref="J15:L15"/>
    <mergeCell ref="M15:O15"/>
    <mergeCell ref="P15:R15"/>
    <mergeCell ref="S15:U15"/>
    <mergeCell ref="V15:W15"/>
    <mergeCell ref="X15:AA15"/>
    <mergeCell ref="BF15:BG15"/>
    <mergeCell ref="BH15:BK15"/>
    <mergeCell ref="BR15:BS15"/>
    <mergeCell ref="BT15:BU15"/>
    <mergeCell ref="B13:F13"/>
    <mergeCell ref="G13:I13"/>
    <mergeCell ref="J13:L13"/>
    <mergeCell ref="M13:O13"/>
    <mergeCell ref="P13:R13"/>
    <mergeCell ref="S13:U13"/>
    <mergeCell ref="BR13:BS13"/>
    <mergeCell ref="BT13:BU13"/>
    <mergeCell ref="B14:F14"/>
    <mergeCell ref="G14:I14"/>
    <mergeCell ref="J14:L14"/>
    <mergeCell ref="M14:O14"/>
    <mergeCell ref="P14:R14"/>
    <mergeCell ref="S14:U14"/>
    <mergeCell ref="AC14:AJ14"/>
    <mergeCell ref="AK14:AL14"/>
    <mergeCell ref="AN14:BB14"/>
    <mergeCell ref="BF14:BG14"/>
    <mergeCell ref="BT11:BU11"/>
    <mergeCell ref="B12:F12"/>
    <mergeCell ref="G12:I12"/>
    <mergeCell ref="J12:L12"/>
    <mergeCell ref="M12:O12"/>
    <mergeCell ref="P12:R12"/>
    <mergeCell ref="S12:U12"/>
    <mergeCell ref="AC12:AJ12"/>
    <mergeCell ref="AK12:AL12"/>
    <mergeCell ref="AN12:BB12"/>
    <mergeCell ref="AC11:AJ11"/>
    <mergeCell ref="AK11:AL11"/>
    <mergeCell ref="AN11:BB11"/>
    <mergeCell ref="BF11:BG11"/>
    <mergeCell ref="BH11:BK11"/>
    <mergeCell ref="BR11:BS11"/>
    <mergeCell ref="BF12:BG12"/>
    <mergeCell ref="BH12:BK12"/>
    <mergeCell ref="BR12:BS12"/>
    <mergeCell ref="BT12:BU12"/>
    <mergeCell ref="B11:F11"/>
    <mergeCell ref="G11:I11"/>
    <mergeCell ref="J11:L11"/>
    <mergeCell ref="M11:O11"/>
    <mergeCell ref="P11:R11"/>
    <mergeCell ref="V14:X14"/>
    <mergeCell ref="Y14:AA14"/>
    <mergeCell ref="S11:U11"/>
    <mergeCell ref="AC13:AJ13"/>
    <mergeCell ref="AK13:AL13"/>
    <mergeCell ref="B8:F8"/>
    <mergeCell ref="G8:I8"/>
    <mergeCell ref="J8:L8"/>
    <mergeCell ref="M8:O8"/>
    <mergeCell ref="P8:R8"/>
    <mergeCell ref="B10:F10"/>
    <mergeCell ref="G10:I10"/>
    <mergeCell ref="J10:L10"/>
    <mergeCell ref="M10:O10"/>
    <mergeCell ref="P10:R10"/>
    <mergeCell ref="S10:U10"/>
    <mergeCell ref="BF9:BG9"/>
    <mergeCell ref="BH9:BK9"/>
    <mergeCell ref="BR9:BS9"/>
    <mergeCell ref="BT9:BU9"/>
    <mergeCell ref="AC10:AJ10"/>
    <mergeCell ref="AK10:AM10"/>
    <mergeCell ref="AN10:BB10"/>
    <mergeCell ref="BF10:BG10"/>
    <mergeCell ref="BH10:BK10"/>
    <mergeCell ref="BR10:BS10"/>
    <mergeCell ref="BT10:BU10"/>
    <mergeCell ref="B9:F9"/>
    <mergeCell ref="G9:I9"/>
    <mergeCell ref="J9:L9"/>
    <mergeCell ref="M9:O9"/>
    <mergeCell ref="P9:R9"/>
    <mergeCell ref="BH8:BK8"/>
    <mergeCell ref="BR8:BS8"/>
    <mergeCell ref="BT8:BU8"/>
    <mergeCell ref="B4:F4"/>
    <mergeCell ref="G4:I4"/>
    <mergeCell ref="BF6:BG6"/>
    <mergeCell ref="AM7:AN7"/>
    <mergeCell ref="AQ7:AR7"/>
    <mergeCell ref="AS7:AT7"/>
    <mergeCell ref="AU7:AV7"/>
    <mergeCell ref="AC7:AD7"/>
    <mergeCell ref="AE7:AF7"/>
    <mergeCell ref="AG7:AH7"/>
    <mergeCell ref="AI7:AJ7"/>
    <mergeCell ref="AK7:AL7"/>
    <mergeCell ref="BH6:BK6"/>
    <mergeCell ref="BR6:BS6"/>
    <mergeCell ref="BT6:BU6"/>
    <mergeCell ref="B7:F7"/>
    <mergeCell ref="G7:I7"/>
    <mergeCell ref="J7:L7"/>
    <mergeCell ref="M7:O7"/>
    <mergeCell ref="P7:R7"/>
    <mergeCell ref="S7:U7"/>
    <mergeCell ref="B6:F6"/>
    <mergeCell ref="G6:I6"/>
    <mergeCell ref="J6:L6"/>
    <mergeCell ref="M6:O6"/>
    <mergeCell ref="P6:R6"/>
    <mergeCell ref="S6:U6"/>
    <mergeCell ref="BA7:BB7"/>
    <mergeCell ref="BF7:BG7"/>
    <mergeCell ref="BH7:BK7"/>
    <mergeCell ref="BR7:BS7"/>
    <mergeCell ref="BT7:BU7"/>
    <mergeCell ref="B3:F3"/>
    <mergeCell ref="G3:I3"/>
    <mergeCell ref="J3:L3"/>
    <mergeCell ref="M3:O3"/>
    <mergeCell ref="P3:R3"/>
    <mergeCell ref="S3:U3"/>
    <mergeCell ref="A1:C1"/>
    <mergeCell ref="G1:H1"/>
    <mergeCell ref="AA1:AB1"/>
    <mergeCell ref="BA1:BB1"/>
    <mergeCell ref="BC1:BE1"/>
    <mergeCell ref="BF1:BJ1"/>
    <mergeCell ref="BF3:BG3"/>
    <mergeCell ref="BH3:BK3"/>
    <mergeCell ref="BR3:BS3"/>
    <mergeCell ref="BT3:BU3"/>
    <mergeCell ref="BH5:BK5"/>
    <mergeCell ref="BR5:BS5"/>
    <mergeCell ref="BT5:BU5"/>
    <mergeCell ref="AK5:AL5"/>
    <mergeCell ref="AM5:AN5"/>
    <mergeCell ref="AQ5:AR5"/>
    <mergeCell ref="AS5:AT5"/>
    <mergeCell ref="AU5:AV5"/>
    <mergeCell ref="AW5:AX5"/>
    <mergeCell ref="B5:F5"/>
    <mergeCell ref="G5:I5"/>
    <mergeCell ref="J5:L5"/>
    <mergeCell ref="M5:O5"/>
    <mergeCell ref="P5:R5"/>
    <mergeCell ref="S5:U5"/>
    <mergeCell ref="AY4:AZ4"/>
    <mergeCell ref="CA1:CH1"/>
    <mergeCell ref="BE2:BK2"/>
    <mergeCell ref="BR2:BS2"/>
    <mergeCell ref="BT2:BU2"/>
    <mergeCell ref="BA4:BB4"/>
    <mergeCell ref="BF4:BG4"/>
    <mergeCell ref="AC4:AD4"/>
    <mergeCell ref="AE4:AF4"/>
    <mergeCell ref="AG4:AH4"/>
    <mergeCell ref="AI4:AJ4"/>
    <mergeCell ref="AC5:AD5"/>
    <mergeCell ref="AE5:AF5"/>
    <mergeCell ref="AG5:AH5"/>
    <mergeCell ref="AI5:AJ5"/>
    <mergeCell ref="AY5:AZ5"/>
    <mergeCell ref="BA5:BB5"/>
    <mergeCell ref="AM8:AN8"/>
    <mergeCell ref="AQ8:AR8"/>
    <mergeCell ref="AS8:AT8"/>
    <mergeCell ref="AU8:AV8"/>
    <mergeCell ref="AW8:AX8"/>
    <mergeCell ref="AY8:AZ8"/>
    <mergeCell ref="AC8:AD8"/>
    <mergeCell ref="AE8:AF8"/>
    <mergeCell ref="AG8:AH8"/>
    <mergeCell ref="AI8:AJ8"/>
    <mergeCell ref="AK8:AL8"/>
    <mergeCell ref="BF5:BG5"/>
    <mergeCell ref="AW7:AX7"/>
    <mergeCell ref="AY7:AZ7"/>
    <mergeCell ref="BA8:BB8"/>
    <mergeCell ref="BF8:BG8"/>
    <mergeCell ref="V3:X3"/>
    <mergeCell ref="Y3:AA3"/>
    <mergeCell ref="V4:X4"/>
    <mergeCell ref="Y4:AA4"/>
    <mergeCell ref="S4:U4"/>
    <mergeCell ref="V5:X5"/>
    <mergeCell ref="Y5:AA5"/>
    <mergeCell ref="V6:X6"/>
    <mergeCell ref="Y6:AA6"/>
    <mergeCell ref="V7:X7"/>
    <mergeCell ref="Y7:AA7"/>
    <mergeCell ref="V8:X8"/>
    <mergeCell ref="Y8:AA8"/>
    <mergeCell ref="V9:X9"/>
    <mergeCell ref="Y9:AA9"/>
    <mergeCell ref="V10:X10"/>
    <mergeCell ref="Y10:AA10"/>
    <mergeCell ref="S8:U8"/>
    <mergeCell ref="S9:U9"/>
    <mergeCell ref="J4:L4"/>
    <mergeCell ref="M4:O4"/>
    <mergeCell ref="P4:R4"/>
    <mergeCell ref="BH4:BK4"/>
    <mergeCell ref="BR4:BS4"/>
    <mergeCell ref="BT4:BU4"/>
    <mergeCell ref="AK4:AL4"/>
    <mergeCell ref="AM4:AN4"/>
    <mergeCell ref="AQ4:AR4"/>
    <mergeCell ref="AS4:AT4"/>
    <mergeCell ref="AU4:AV4"/>
    <mergeCell ref="AW4:AX4"/>
    <mergeCell ref="V11:X11"/>
    <mergeCell ref="Y11:AA11"/>
    <mergeCell ref="AN13:BB13"/>
    <mergeCell ref="BF13:BG13"/>
    <mergeCell ref="BH13:BK13"/>
    <mergeCell ref="V12:X12"/>
    <mergeCell ref="Y12:AA12"/>
    <mergeCell ref="V13:X13"/>
    <mergeCell ref="Y13:AA13"/>
  </mergeCells>
  <phoneticPr fontId="2"/>
  <conditionalFormatting sqref="G15:U15">
    <cfRule type="cellIs" dxfId="152" priority="20" operator="lessThan">
      <formula>700000</formula>
    </cfRule>
  </conditionalFormatting>
  <conditionalFormatting sqref="G20:X22">
    <cfRule type="cellIs" dxfId="151" priority="18" operator="between">
      <formula>0.95</formula>
      <formula>0.9</formula>
    </cfRule>
    <cfRule type="cellIs" dxfId="150" priority="19" operator="lessThan">
      <formula>0.9</formula>
    </cfRule>
  </conditionalFormatting>
  <conditionalFormatting sqref="G24:X24">
    <cfRule type="cellIs" dxfId="149" priority="15" operator="lessThan">
      <formula>0.4</formula>
    </cfRule>
    <cfRule type="cellIs" dxfId="148" priority="16" operator="lessThan">
      <formula>0.5</formula>
    </cfRule>
  </conditionalFormatting>
  <conditionalFormatting sqref="G6:AA6">
    <cfRule type="cellIs" dxfId="147" priority="1" operator="between">
      <formula>0.95</formula>
      <formula>0.9</formula>
    </cfRule>
    <cfRule type="cellIs" dxfId="146" priority="6" operator="lessThan">
      <formula>0.9</formula>
    </cfRule>
  </conditionalFormatting>
  <conditionalFormatting sqref="G8:AA8">
    <cfRule type="cellIs" dxfId="145" priority="4" operator="lessThan">
      <formula>0.4</formula>
    </cfRule>
    <cfRule type="cellIs" dxfId="144" priority="5" operator="lessThan">
      <formula>0.5</formula>
    </cfRule>
  </conditionalFormatting>
  <conditionalFormatting sqref="G10:AA10">
    <cfRule type="cellIs" dxfId="143" priority="3" operator="lessThan">
      <formula>0.9</formula>
    </cfRule>
  </conditionalFormatting>
  <conditionalFormatting sqref="G12:AA12">
    <cfRule type="expression" dxfId="142" priority="2">
      <formula>AND(G12&lt;&gt;"",G12&gt;0.3)</formula>
    </cfRule>
  </conditionalFormatting>
  <conditionalFormatting sqref="G14:AA14">
    <cfRule type="containsBlanks" dxfId="141" priority="7">
      <formula>LEN(TRIM(G14))=0</formula>
    </cfRule>
  </conditionalFormatting>
  <conditionalFormatting sqref="J27:AA31">
    <cfRule type="containsBlanks" dxfId="140" priority="8">
      <formula>LEN(TRIM(J27))=0</formula>
    </cfRule>
  </conditionalFormatting>
  <conditionalFormatting sqref="P75:AA75">
    <cfRule type="cellIs" dxfId="139" priority="29" operator="equal">
      <formula>"完"</formula>
    </cfRule>
  </conditionalFormatting>
  <conditionalFormatting sqref="AH35:AJ35">
    <cfRule type="cellIs" dxfId="138" priority="27" operator="equal">
      <formula>"Ⅱ算定済"</formula>
    </cfRule>
    <cfRule type="cellIs" dxfId="137" priority="28" operator="equal">
      <formula>"Ⅰ算定済"</formula>
    </cfRule>
  </conditionalFormatting>
  <conditionalFormatting sqref="BF3:BU32 P75:AA75 AH35:AJ35 AC5:AN5 AQ5:BB5 AC8:AN8 AQ8:BB8 AC11:BB14 AK17:BB21 AE27:BB29 AE32:BB32 BK37:BP42 D37:AJ66 AL38:BI38 AL42:BI42 BW45:CH49 AL46:BI46 AL50:BI50 AL54:BI54 AL58:BI58 AL62:BI62 AL66:BI66 P70:S71 P72 S72 X72 AA72 P73:S73 X73:AA73 X76:AA76 P76:S78 X78:AA78 L79:AA79 B83:G84 L83:AA84">
    <cfRule type="containsBlanks" dxfId="136" priority="31">
      <formula>LEN(TRIM(B3))=0</formula>
    </cfRule>
  </conditionalFormatting>
  <conditionalFormatting sqref="BL3:BQ32">
    <cfRule type="cellIs" dxfId="135" priority="30" operator="equal">
      <formula>"完"</formula>
    </cfRule>
  </conditionalFormatting>
  <dataValidations count="23">
    <dataValidation type="list" allowBlank="1" showInputMessage="1" showErrorMessage="1" sqref="Y37:AC66" xr:uid="{DD566BE3-1BB8-46B4-B7B4-93E295C9756C}">
      <formula1>"重度支援Ⅰ,重度支援Ⅱ"</formula1>
    </dataValidation>
    <dataValidation type="list" allowBlank="1" showInputMessage="1" showErrorMessage="1" sqref="BK37:BP42" xr:uid="{754A0B71-7C15-4F83-B348-479708C38C47}">
      <formula1>"転倒・転落,誤嚥・窒息,誤薬,行方不明,他害,利用者同士トラブル,自傷,入浴事故,医療急変,その他"</formula1>
    </dataValidation>
    <dataValidation type="list" allowBlank="1" showInputMessage="1" showErrorMessage="1" sqref="AH35:AJ35" xr:uid="{5158AB8B-B388-4D29-844D-B2966A8E704E}">
      <formula1>"Ⅰ算定済,Ⅱ算定済"</formula1>
    </dataValidation>
    <dataValidation type="list" allowBlank="1" showInputMessage="1" showErrorMessage="1" sqref="S37:S66" xr:uid="{FB0C3BF8-7D3E-4BCE-B0F0-639E8A5D212B}">
      <formula1>"◎,○,△,➡"</formula1>
    </dataValidation>
    <dataValidation type="list" allowBlank="1" showInputMessage="1" showErrorMessage="1" sqref="J37:K66" xr:uid="{1CBCF83D-BFCB-4561-A1D5-B61A4588A320}">
      <formula1>"6,5,4,3,2,1,なし"</formula1>
    </dataValidation>
    <dataValidation type="list" allowBlank="1" showInputMessage="1" showErrorMessage="1" sqref="AA75" xr:uid="{CF9D019A-4A8F-43D8-9A3E-A14948623800}">
      <formula1>"12,完"</formula1>
    </dataValidation>
    <dataValidation type="list" allowBlank="1" showInputMessage="1" showErrorMessage="1" sqref="Z75" xr:uid="{9D531CF0-91FC-4FE2-B481-D8609101C899}">
      <formula1>"11,完"</formula1>
    </dataValidation>
    <dataValidation type="list" allowBlank="1" showInputMessage="1" showErrorMessage="1" sqref="Y75" xr:uid="{31DFB880-1D5C-4A8D-BEA7-3E87A579FD5C}">
      <formula1>"10,完"</formula1>
    </dataValidation>
    <dataValidation type="list" allowBlank="1" showInputMessage="1" showErrorMessage="1" sqref="X75" xr:uid="{D24DE50A-9FF3-4A46-ADC4-73109F1BCAFE}">
      <formula1>"9,完"</formula1>
    </dataValidation>
    <dataValidation type="list" allowBlank="1" showInputMessage="1" showErrorMessage="1" sqref="W75" xr:uid="{3AC583A8-D2AC-41F8-B854-B852E72F8924}">
      <formula1>"8,完"</formula1>
    </dataValidation>
    <dataValidation type="list" allowBlank="1" showInputMessage="1" showErrorMessage="1" sqref="V75" xr:uid="{99EC7A73-A7A3-4697-9736-41ED87486ABB}">
      <formula1>"7,完"</formula1>
    </dataValidation>
    <dataValidation type="list" allowBlank="1" showInputMessage="1" showErrorMessage="1" sqref="U75" xr:uid="{E839993C-1139-4C97-B4FD-1E756D13D876}">
      <formula1>"6,完"</formula1>
    </dataValidation>
    <dataValidation type="list" allowBlank="1" showInputMessage="1" showErrorMessage="1" sqref="T75" xr:uid="{749C70DB-C34B-4041-986F-10860811B836}">
      <formula1>"5,完"</formula1>
    </dataValidation>
    <dataValidation type="list" allowBlank="1" showInputMessage="1" showErrorMessage="1" sqref="S75" xr:uid="{4C9EDD4E-09C6-4905-8EA8-6A034B28F86B}">
      <formula1>"4,完"</formula1>
    </dataValidation>
    <dataValidation type="list" allowBlank="1" showInputMessage="1" showErrorMessage="1" sqref="R75" xr:uid="{96A5BD41-0424-4204-A892-C01D64A68FF1}">
      <formula1>"3,完"</formula1>
    </dataValidation>
    <dataValidation type="list" allowBlank="1" showInputMessage="1" showErrorMessage="1" sqref="Q75" xr:uid="{0EB608F5-656F-4261-A736-8F3D23D8EB3F}">
      <formula1>"2,完"</formula1>
    </dataValidation>
    <dataValidation type="list" allowBlank="1" showInputMessage="1" showErrorMessage="1" sqref="P75" xr:uid="{43E38A53-E32C-406C-B03D-03250B55D663}">
      <formula1>"1,完"</formula1>
    </dataValidation>
    <dataValidation type="list" allowBlank="1" showInputMessage="1" showErrorMessage="1" sqref="X78:AA78 BT3:BT32 P70:S71 P72 S72 P73:S74 X73:AA74 AA72 X72 X70:AA71 X76:AA76 P76:S78 BR3:BR32" xr:uid="{DB97F960-F616-4FE4-ACAB-1A07F1D2C4B5}">
      <formula1>"●"</formula1>
    </dataValidation>
    <dataValidation type="list" allowBlank="1" showInputMessage="1" showErrorMessage="1" sqref="BF3:BG32" xr:uid="{2390BFB4-0DA4-4825-A4A1-CBF62E6FC17E}">
      <formula1>"時給,常時給,月給"</formula1>
    </dataValidation>
    <dataValidation type="list" allowBlank="1" showInputMessage="1" showErrorMessage="1" sqref="AM11:AM14" xr:uid="{2EA08A08-A61B-4EEC-8A09-11108C5E78D0}">
      <formula1>"週,月"</formula1>
    </dataValidation>
    <dataValidation type="list" allowBlank="1" showInputMessage="1" showErrorMessage="1" sqref="AD37:AE66" xr:uid="{3221C673-E898-4E8D-9FEC-F341BE4A2A03}">
      <formula1>"済"</formula1>
    </dataValidation>
    <dataValidation type="list" allowBlank="1" showInputMessage="1" showErrorMessage="1" sqref="B83:D84" xr:uid="{65DBD343-FE5B-44C2-B81D-490D26636BE1}">
      <formula1>"Ⅰ,Ⅱ,Ⅲ"</formula1>
    </dataValidation>
    <dataValidation type="list" allowBlank="1" showInputMessage="1" showErrorMessage="1" sqref="BL3:BQ32" xr:uid="{771D845D-7A2C-4C61-8DC8-EF11248D6388}">
      <formula1>"完"</formula1>
    </dataValidation>
  </dataValidations>
  <hyperlinks>
    <hyperlink ref="BX6" r:id="rId1" xr:uid="{87FAFA5B-4420-4D21-A9DB-6619C7F20748}"/>
    <hyperlink ref="B19:F19" r:id="rId2" display="利用日数" xr:uid="{5F501F61-FDA2-47B6-B095-8C3210C48E0F}"/>
    <hyperlink ref="B21:F21" r:id="rId3" display="利用日数" xr:uid="{AF213FA3-DCD9-4D06-9F79-4415858A2DE7}"/>
    <hyperlink ref="B7:F7" r:id="rId4" display="短期稼働日数" xr:uid="{D9E41E40-626B-46D6-987D-9E7151BE8901}"/>
    <hyperlink ref="B9:F9" r:id="rId5" display="..\04.サビ管_ラシエル\03. ご入居者利用状況一覧\春日部⑤.xlsx" xr:uid="{62DC531E-F40D-41FB-992E-17C0B27D771E}"/>
    <hyperlink ref="B30:E31" r:id="rId6" display="派遣時間数" xr:uid="{495CB28B-89E2-4B0D-AE3E-F22526282C88}"/>
    <hyperlink ref="B23:F23" r:id="rId7" display="短期稼働日数" xr:uid="{FFE90B76-6DB0-4C2F-A454-BB55366E819E}"/>
    <hyperlink ref="V17:X17" r:id="rId8" display="シフト参照値" xr:uid="{7C24E597-A8AE-4542-A3DF-3804308A6CCE}"/>
    <hyperlink ref="AC31:AD31" r:id="rId9" location="!rid252486456" display="応募率" xr:uid="{DC3C9EA5-9923-485A-A9F0-D17E8C9AA4EC}"/>
  </hyperlinks>
  <printOptions horizontalCentered="1" verticalCentered="1"/>
  <pageMargins left="0.11811023622047245" right="0.11811023622047245" top="0.15748031496062992" bottom="0.15748031496062992" header="0" footer="0"/>
  <pageSetup paperSize="9" scale="25" orientation="landscape" r:id="rId10"/>
  <drawing r:id="rId11"/>
  <legacyDrawing r:id="rId12"/>
  <mc:AlternateContent xmlns:mc="http://schemas.openxmlformats.org/markup-compatibility/2006">
    <mc:Choice Requires="x14">
      <controls>
        <mc:AlternateContent xmlns:mc="http://schemas.openxmlformats.org/markup-compatibility/2006">
          <mc:Choice Requires="x14">
            <control shapeId="21523" r:id="rId13" name="TaskCheck_BW3">
              <controlPr defaultSize="0" autoFill="0" autoLine="0" autoPict="0">
                <anchor moveWithCells="1">
                  <from>
                    <xdr:col>74</xdr:col>
                    <xdr:colOff>19050</xdr:colOff>
                    <xdr:row>2</xdr:row>
                    <xdr:rowOff>12700</xdr:rowOff>
                  </from>
                  <to>
                    <xdr:col>75</xdr:col>
                    <xdr:colOff>50800</xdr:colOff>
                    <xdr:row>2</xdr:row>
                    <xdr:rowOff>273050</xdr:rowOff>
                  </to>
                </anchor>
              </controlPr>
            </control>
          </mc:Choice>
        </mc:AlternateContent>
        <mc:AlternateContent xmlns:mc="http://schemas.openxmlformats.org/markup-compatibility/2006">
          <mc:Choice Requires="x14">
            <control shapeId="21524" r:id="rId14" name="TaskCheck_BW4">
              <controlPr defaultSize="0" autoFill="0" autoLine="0" autoPict="0">
                <anchor moveWithCells="1">
                  <from>
                    <xdr:col>74</xdr:col>
                    <xdr:colOff>19050</xdr:colOff>
                    <xdr:row>3</xdr:row>
                    <xdr:rowOff>12700</xdr:rowOff>
                  </from>
                  <to>
                    <xdr:col>75</xdr:col>
                    <xdr:colOff>50800</xdr:colOff>
                    <xdr:row>3</xdr:row>
                    <xdr:rowOff>273050</xdr:rowOff>
                  </to>
                </anchor>
              </controlPr>
            </control>
          </mc:Choice>
        </mc:AlternateContent>
        <mc:AlternateContent xmlns:mc="http://schemas.openxmlformats.org/markup-compatibility/2006">
          <mc:Choice Requires="x14">
            <control shapeId="21525" r:id="rId15" name="TaskCheck_BW5">
              <controlPr defaultSize="0" autoFill="0" autoLine="0" autoPict="0">
                <anchor moveWithCells="1">
                  <from>
                    <xdr:col>74</xdr:col>
                    <xdr:colOff>19050</xdr:colOff>
                    <xdr:row>4</xdr:row>
                    <xdr:rowOff>12700</xdr:rowOff>
                  </from>
                  <to>
                    <xdr:col>75</xdr:col>
                    <xdr:colOff>50800</xdr:colOff>
                    <xdr:row>4</xdr:row>
                    <xdr:rowOff>273050</xdr:rowOff>
                  </to>
                </anchor>
              </controlPr>
            </control>
          </mc:Choice>
        </mc:AlternateContent>
        <mc:AlternateContent xmlns:mc="http://schemas.openxmlformats.org/markup-compatibility/2006">
          <mc:Choice Requires="x14">
            <control shapeId="21526" r:id="rId16" name="TaskCheck_BW6">
              <controlPr defaultSize="0" autoFill="0" autoLine="0" autoPict="0">
                <anchor moveWithCells="1">
                  <from>
                    <xdr:col>74</xdr:col>
                    <xdr:colOff>19050</xdr:colOff>
                    <xdr:row>5</xdr:row>
                    <xdr:rowOff>12700</xdr:rowOff>
                  </from>
                  <to>
                    <xdr:col>75</xdr:col>
                    <xdr:colOff>50800</xdr:colOff>
                    <xdr:row>5</xdr:row>
                    <xdr:rowOff>273050</xdr:rowOff>
                  </to>
                </anchor>
              </controlPr>
            </control>
          </mc:Choice>
        </mc:AlternateContent>
        <mc:AlternateContent xmlns:mc="http://schemas.openxmlformats.org/markup-compatibility/2006">
          <mc:Choice Requires="x14">
            <control shapeId="21527" r:id="rId17" name="TaskCheck_BW7">
              <controlPr defaultSize="0" autoFill="0" autoLine="0" autoPict="0">
                <anchor moveWithCells="1">
                  <from>
                    <xdr:col>74</xdr:col>
                    <xdr:colOff>19050</xdr:colOff>
                    <xdr:row>6</xdr:row>
                    <xdr:rowOff>12700</xdr:rowOff>
                  </from>
                  <to>
                    <xdr:col>75</xdr:col>
                    <xdr:colOff>50800</xdr:colOff>
                    <xdr:row>6</xdr:row>
                    <xdr:rowOff>273050</xdr:rowOff>
                  </to>
                </anchor>
              </controlPr>
            </control>
          </mc:Choice>
        </mc:AlternateContent>
        <mc:AlternateContent xmlns:mc="http://schemas.openxmlformats.org/markup-compatibility/2006">
          <mc:Choice Requires="x14">
            <control shapeId="21528" r:id="rId18" name="TaskCheck_BW8">
              <controlPr defaultSize="0" autoFill="0" autoLine="0" autoPict="0">
                <anchor moveWithCells="1">
                  <from>
                    <xdr:col>74</xdr:col>
                    <xdr:colOff>19050</xdr:colOff>
                    <xdr:row>7</xdr:row>
                    <xdr:rowOff>12700</xdr:rowOff>
                  </from>
                  <to>
                    <xdr:col>75</xdr:col>
                    <xdr:colOff>50800</xdr:colOff>
                    <xdr:row>7</xdr:row>
                    <xdr:rowOff>273050</xdr:rowOff>
                  </to>
                </anchor>
              </controlPr>
            </control>
          </mc:Choice>
        </mc:AlternateContent>
        <mc:AlternateContent xmlns:mc="http://schemas.openxmlformats.org/markup-compatibility/2006">
          <mc:Choice Requires="x14">
            <control shapeId="21529" r:id="rId19" name="TaskCheck_BW9">
              <controlPr defaultSize="0" autoFill="0" autoLine="0" autoPict="0">
                <anchor moveWithCells="1">
                  <from>
                    <xdr:col>74</xdr:col>
                    <xdr:colOff>19050</xdr:colOff>
                    <xdr:row>8</xdr:row>
                    <xdr:rowOff>12700</xdr:rowOff>
                  </from>
                  <to>
                    <xdr:col>75</xdr:col>
                    <xdr:colOff>50800</xdr:colOff>
                    <xdr:row>8</xdr:row>
                    <xdr:rowOff>273050</xdr:rowOff>
                  </to>
                </anchor>
              </controlPr>
            </control>
          </mc:Choice>
        </mc:AlternateContent>
        <mc:AlternateContent xmlns:mc="http://schemas.openxmlformats.org/markup-compatibility/2006">
          <mc:Choice Requires="x14">
            <control shapeId="21530" r:id="rId20" name="TaskCheck_BW10">
              <controlPr defaultSize="0" autoFill="0" autoLine="0" autoPict="0">
                <anchor moveWithCells="1">
                  <from>
                    <xdr:col>74</xdr:col>
                    <xdr:colOff>19050</xdr:colOff>
                    <xdr:row>9</xdr:row>
                    <xdr:rowOff>12700</xdr:rowOff>
                  </from>
                  <to>
                    <xdr:col>75</xdr:col>
                    <xdr:colOff>50800</xdr:colOff>
                    <xdr:row>9</xdr:row>
                    <xdr:rowOff>273050</xdr:rowOff>
                  </to>
                </anchor>
              </controlPr>
            </control>
          </mc:Choice>
        </mc:AlternateContent>
        <mc:AlternateContent xmlns:mc="http://schemas.openxmlformats.org/markup-compatibility/2006">
          <mc:Choice Requires="x14">
            <control shapeId="21531" r:id="rId21" name="TaskCheck_BW11">
              <controlPr defaultSize="0" autoFill="0" autoLine="0" autoPict="0">
                <anchor moveWithCells="1">
                  <from>
                    <xdr:col>74</xdr:col>
                    <xdr:colOff>19050</xdr:colOff>
                    <xdr:row>10</xdr:row>
                    <xdr:rowOff>12700</xdr:rowOff>
                  </from>
                  <to>
                    <xdr:col>75</xdr:col>
                    <xdr:colOff>50800</xdr:colOff>
                    <xdr:row>10</xdr:row>
                    <xdr:rowOff>273050</xdr:rowOff>
                  </to>
                </anchor>
              </controlPr>
            </control>
          </mc:Choice>
        </mc:AlternateContent>
        <mc:AlternateContent xmlns:mc="http://schemas.openxmlformats.org/markup-compatibility/2006">
          <mc:Choice Requires="x14">
            <control shapeId="21532" r:id="rId22" name="TaskCheck_BW12">
              <controlPr defaultSize="0" autoFill="0" autoLine="0" autoPict="0">
                <anchor moveWithCells="1">
                  <from>
                    <xdr:col>74</xdr:col>
                    <xdr:colOff>19050</xdr:colOff>
                    <xdr:row>11</xdr:row>
                    <xdr:rowOff>12700</xdr:rowOff>
                  </from>
                  <to>
                    <xdr:col>75</xdr:col>
                    <xdr:colOff>50800</xdr:colOff>
                    <xdr:row>11</xdr:row>
                    <xdr:rowOff>273050</xdr:rowOff>
                  </to>
                </anchor>
              </controlPr>
            </control>
          </mc:Choice>
        </mc:AlternateContent>
        <mc:AlternateContent xmlns:mc="http://schemas.openxmlformats.org/markup-compatibility/2006">
          <mc:Choice Requires="x14">
            <control shapeId="21533" r:id="rId23" name="TaskCheck_BW13">
              <controlPr defaultSize="0" autoFill="0" autoLine="0" autoPict="0">
                <anchor moveWithCells="1">
                  <from>
                    <xdr:col>74</xdr:col>
                    <xdr:colOff>19050</xdr:colOff>
                    <xdr:row>12</xdr:row>
                    <xdr:rowOff>12700</xdr:rowOff>
                  </from>
                  <to>
                    <xdr:col>75</xdr:col>
                    <xdr:colOff>50800</xdr:colOff>
                    <xdr:row>12</xdr:row>
                    <xdr:rowOff>273050</xdr:rowOff>
                  </to>
                </anchor>
              </controlPr>
            </control>
          </mc:Choice>
        </mc:AlternateContent>
        <mc:AlternateContent xmlns:mc="http://schemas.openxmlformats.org/markup-compatibility/2006">
          <mc:Choice Requires="x14">
            <control shapeId="21534" r:id="rId24" name="TaskCheck_BW14">
              <controlPr defaultSize="0" autoFill="0" autoLine="0" autoPict="0">
                <anchor moveWithCells="1">
                  <from>
                    <xdr:col>74</xdr:col>
                    <xdr:colOff>19050</xdr:colOff>
                    <xdr:row>13</xdr:row>
                    <xdr:rowOff>12700</xdr:rowOff>
                  </from>
                  <to>
                    <xdr:col>75</xdr:col>
                    <xdr:colOff>50800</xdr:colOff>
                    <xdr:row>13</xdr:row>
                    <xdr:rowOff>273050</xdr:rowOff>
                  </to>
                </anchor>
              </controlPr>
            </control>
          </mc:Choice>
        </mc:AlternateContent>
        <mc:AlternateContent xmlns:mc="http://schemas.openxmlformats.org/markup-compatibility/2006">
          <mc:Choice Requires="x14">
            <control shapeId="21535" r:id="rId25" name="TaskCheck_BW15">
              <controlPr defaultSize="0" autoFill="0" autoLine="0" autoPict="0">
                <anchor moveWithCells="1">
                  <from>
                    <xdr:col>74</xdr:col>
                    <xdr:colOff>19050</xdr:colOff>
                    <xdr:row>14</xdr:row>
                    <xdr:rowOff>12700</xdr:rowOff>
                  </from>
                  <to>
                    <xdr:col>75</xdr:col>
                    <xdr:colOff>50800</xdr:colOff>
                    <xdr:row>14</xdr:row>
                    <xdr:rowOff>273050</xdr:rowOff>
                  </to>
                </anchor>
              </controlPr>
            </control>
          </mc:Choice>
        </mc:AlternateContent>
        <mc:AlternateContent xmlns:mc="http://schemas.openxmlformats.org/markup-compatibility/2006">
          <mc:Choice Requires="x14">
            <control shapeId="21536" r:id="rId26" name="TaskCheck_BW16">
              <controlPr defaultSize="0" autoFill="0" autoLine="0" autoPict="0">
                <anchor moveWithCells="1">
                  <from>
                    <xdr:col>74</xdr:col>
                    <xdr:colOff>19050</xdr:colOff>
                    <xdr:row>15</xdr:row>
                    <xdr:rowOff>12700</xdr:rowOff>
                  </from>
                  <to>
                    <xdr:col>75</xdr:col>
                    <xdr:colOff>50800</xdr:colOff>
                    <xdr:row>15</xdr:row>
                    <xdr:rowOff>273050</xdr:rowOff>
                  </to>
                </anchor>
              </controlPr>
            </control>
          </mc:Choice>
        </mc:AlternateContent>
        <mc:AlternateContent xmlns:mc="http://schemas.openxmlformats.org/markup-compatibility/2006">
          <mc:Choice Requires="x14">
            <control shapeId="21537" r:id="rId27" name="TaskCheck_BW19">
              <controlPr defaultSize="0" autoFill="0" autoLine="0" autoPict="0">
                <anchor moveWithCells="1">
                  <from>
                    <xdr:col>74</xdr:col>
                    <xdr:colOff>19050</xdr:colOff>
                    <xdr:row>18</xdr:row>
                    <xdr:rowOff>12700</xdr:rowOff>
                  </from>
                  <to>
                    <xdr:col>75</xdr:col>
                    <xdr:colOff>50800</xdr:colOff>
                    <xdr:row>18</xdr:row>
                    <xdr:rowOff>273050</xdr:rowOff>
                  </to>
                </anchor>
              </controlPr>
            </control>
          </mc:Choice>
        </mc:AlternateContent>
        <mc:AlternateContent xmlns:mc="http://schemas.openxmlformats.org/markup-compatibility/2006">
          <mc:Choice Requires="x14">
            <control shapeId="21538" r:id="rId28" name="TaskCheck_BW20">
              <controlPr defaultSize="0" autoFill="0" autoLine="0" autoPict="0">
                <anchor moveWithCells="1">
                  <from>
                    <xdr:col>74</xdr:col>
                    <xdr:colOff>19050</xdr:colOff>
                    <xdr:row>19</xdr:row>
                    <xdr:rowOff>12700</xdr:rowOff>
                  </from>
                  <to>
                    <xdr:col>75</xdr:col>
                    <xdr:colOff>50800</xdr:colOff>
                    <xdr:row>19</xdr:row>
                    <xdr:rowOff>273050</xdr:rowOff>
                  </to>
                </anchor>
              </controlPr>
            </control>
          </mc:Choice>
        </mc:AlternateContent>
        <mc:AlternateContent xmlns:mc="http://schemas.openxmlformats.org/markup-compatibility/2006">
          <mc:Choice Requires="x14">
            <control shapeId="21539" r:id="rId29" name="TaskCheck_BW21">
              <controlPr defaultSize="0" autoFill="0" autoLine="0" autoPict="0">
                <anchor moveWithCells="1">
                  <from>
                    <xdr:col>74</xdr:col>
                    <xdr:colOff>19050</xdr:colOff>
                    <xdr:row>20</xdr:row>
                    <xdr:rowOff>12700</xdr:rowOff>
                  </from>
                  <to>
                    <xdr:col>75</xdr:col>
                    <xdr:colOff>50800</xdr:colOff>
                    <xdr:row>20</xdr:row>
                    <xdr:rowOff>273050</xdr:rowOff>
                  </to>
                </anchor>
              </controlPr>
            </control>
          </mc:Choice>
        </mc:AlternateContent>
        <mc:AlternateContent xmlns:mc="http://schemas.openxmlformats.org/markup-compatibility/2006">
          <mc:Choice Requires="x14">
            <control shapeId="21540" r:id="rId30" name="TaskCheck_BW22">
              <controlPr defaultSize="0" autoFill="0" autoLine="0" autoPict="0">
                <anchor moveWithCells="1">
                  <from>
                    <xdr:col>74</xdr:col>
                    <xdr:colOff>19050</xdr:colOff>
                    <xdr:row>21</xdr:row>
                    <xdr:rowOff>12700</xdr:rowOff>
                  </from>
                  <to>
                    <xdr:col>75</xdr:col>
                    <xdr:colOff>50800</xdr:colOff>
                    <xdr:row>21</xdr:row>
                    <xdr:rowOff>273050</xdr:rowOff>
                  </to>
                </anchor>
              </controlPr>
            </control>
          </mc:Choice>
        </mc:AlternateContent>
        <mc:AlternateContent xmlns:mc="http://schemas.openxmlformats.org/markup-compatibility/2006">
          <mc:Choice Requires="x14">
            <control shapeId="21541" r:id="rId31" name="TaskCheck_BW23">
              <controlPr defaultSize="0" autoFill="0" autoLine="0" autoPict="0">
                <anchor moveWithCells="1">
                  <from>
                    <xdr:col>74</xdr:col>
                    <xdr:colOff>19050</xdr:colOff>
                    <xdr:row>22</xdr:row>
                    <xdr:rowOff>12700</xdr:rowOff>
                  </from>
                  <to>
                    <xdr:col>75</xdr:col>
                    <xdr:colOff>50800</xdr:colOff>
                    <xdr:row>22</xdr:row>
                    <xdr:rowOff>273050</xdr:rowOff>
                  </to>
                </anchor>
              </controlPr>
            </control>
          </mc:Choice>
        </mc:AlternateContent>
        <mc:AlternateContent xmlns:mc="http://schemas.openxmlformats.org/markup-compatibility/2006">
          <mc:Choice Requires="x14">
            <control shapeId="21542" r:id="rId32" name="TaskCheck_BW24">
              <controlPr defaultSize="0" autoFill="0" autoLine="0" autoPict="0">
                <anchor moveWithCells="1">
                  <from>
                    <xdr:col>74</xdr:col>
                    <xdr:colOff>19050</xdr:colOff>
                    <xdr:row>23</xdr:row>
                    <xdr:rowOff>12700</xdr:rowOff>
                  </from>
                  <to>
                    <xdr:col>75</xdr:col>
                    <xdr:colOff>50800</xdr:colOff>
                    <xdr:row>23</xdr:row>
                    <xdr:rowOff>273050</xdr:rowOff>
                  </to>
                </anchor>
              </controlPr>
            </control>
          </mc:Choice>
        </mc:AlternateContent>
        <mc:AlternateContent xmlns:mc="http://schemas.openxmlformats.org/markup-compatibility/2006">
          <mc:Choice Requires="x14">
            <control shapeId="21543" r:id="rId33" name="TaskCheck_BW25">
              <controlPr defaultSize="0" autoFill="0" autoLine="0" autoPict="0">
                <anchor moveWithCells="1">
                  <from>
                    <xdr:col>74</xdr:col>
                    <xdr:colOff>19050</xdr:colOff>
                    <xdr:row>24</xdr:row>
                    <xdr:rowOff>12700</xdr:rowOff>
                  </from>
                  <to>
                    <xdr:col>75</xdr:col>
                    <xdr:colOff>50800</xdr:colOff>
                    <xdr:row>24</xdr:row>
                    <xdr:rowOff>273050</xdr:rowOff>
                  </to>
                </anchor>
              </controlPr>
            </control>
          </mc:Choice>
        </mc:AlternateContent>
        <mc:AlternateContent xmlns:mc="http://schemas.openxmlformats.org/markup-compatibility/2006">
          <mc:Choice Requires="x14">
            <control shapeId="21544" r:id="rId34" name="TaskCheck_BW26">
              <controlPr defaultSize="0" autoFill="0" autoLine="0" autoPict="0">
                <anchor moveWithCells="1">
                  <from>
                    <xdr:col>74</xdr:col>
                    <xdr:colOff>19050</xdr:colOff>
                    <xdr:row>25</xdr:row>
                    <xdr:rowOff>12700</xdr:rowOff>
                  </from>
                  <to>
                    <xdr:col>75</xdr:col>
                    <xdr:colOff>50800</xdr:colOff>
                    <xdr:row>25</xdr:row>
                    <xdr:rowOff>273050</xdr:rowOff>
                  </to>
                </anchor>
              </controlPr>
            </control>
          </mc:Choice>
        </mc:AlternateContent>
        <mc:AlternateContent xmlns:mc="http://schemas.openxmlformats.org/markup-compatibility/2006">
          <mc:Choice Requires="x14">
            <control shapeId="21545" r:id="rId35" name="TaskCheck_BW27">
              <controlPr defaultSize="0" autoFill="0" autoLine="0" autoPict="0">
                <anchor moveWithCells="1">
                  <from>
                    <xdr:col>74</xdr:col>
                    <xdr:colOff>19050</xdr:colOff>
                    <xdr:row>26</xdr:row>
                    <xdr:rowOff>12700</xdr:rowOff>
                  </from>
                  <to>
                    <xdr:col>75</xdr:col>
                    <xdr:colOff>50800</xdr:colOff>
                    <xdr:row>26</xdr:row>
                    <xdr:rowOff>273050</xdr:rowOff>
                  </to>
                </anchor>
              </controlPr>
            </control>
          </mc:Choice>
        </mc:AlternateContent>
        <mc:AlternateContent xmlns:mc="http://schemas.openxmlformats.org/markup-compatibility/2006">
          <mc:Choice Requires="x14">
            <control shapeId="21546" r:id="rId36" name="TaskCheck_BW28">
              <controlPr defaultSize="0" autoFill="0" autoLine="0" autoPict="0">
                <anchor moveWithCells="1">
                  <from>
                    <xdr:col>74</xdr:col>
                    <xdr:colOff>19050</xdr:colOff>
                    <xdr:row>27</xdr:row>
                    <xdr:rowOff>12700</xdr:rowOff>
                  </from>
                  <to>
                    <xdr:col>75</xdr:col>
                    <xdr:colOff>50800</xdr:colOff>
                    <xdr:row>27</xdr:row>
                    <xdr:rowOff>273050</xdr:rowOff>
                  </to>
                </anchor>
              </controlPr>
            </control>
          </mc:Choice>
        </mc:AlternateContent>
        <mc:AlternateContent xmlns:mc="http://schemas.openxmlformats.org/markup-compatibility/2006">
          <mc:Choice Requires="x14">
            <control shapeId="21547" r:id="rId37" name="TaskCheck_BW29">
              <controlPr defaultSize="0" autoFill="0" autoLine="0" autoPict="0">
                <anchor moveWithCells="1">
                  <from>
                    <xdr:col>74</xdr:col>
                    <xdr:colOff>19050</xdr:colOff>
                    <xdr:row>28</xdr:row>
                    <xdr:rowOff>12700</xdr:rowOff>
                  </from>
                  <to>
                    <xdr:col>75</xdr:col>
                    <xdr:colOff>50800</xdr:colOff>
                    <xdr:row>28</xdr:row>
                    <xdr:rowOff>273050</xdr:rowOff>
                  </to>
                </anchor>
              </controlPr>
            </control>
          </mc:Choice>
        </mc:AlternateContent>
        <mc:AlternateContent xmlns:mc="http://schemas.openxmlformats.org/markup-compatibility/2006">
          <mc:Choice Requires="x14">
            <control shapeId="21548" r:id="rId38" name="TaskCheck_BW30">
              <controlPr defaultSize="0" autoFill="0" autoLine="0" autoPict="0">
                <anchor moveWithCells="1">
                  <from>
                    <xdr:col>74</xdr:col>
                    <xdr:colOff>19050</xdr:colOff>
                    <xdr:row>29</xdr:row>
                    <xdr:rowOff>12700</xdr:rowOff>
                  </from>
                  <to>
                    <xdr:col>75</xdr:col>
                    <xdr:colOff>50800</xdr:colOff>
                    <xdr:row>29</xdr:row>
                    <xdr:rowOff>273050</xdr:rowOff>
                  </to>
                </anchor>
              </controlPr>
            </control>
          </mc:Choice>
        </mc:AlternateContent>
        <mc:AlternateContent xmlns:mc="http://schemas.openxmlformats.org/markup-compatibility/2006">
          <mc:Choice Requires="x14">
            <control shapeId="21549" r:id="rId39" name="TaskCheck_BW31">
              <controlPr defaultSize="0" autoFill="0" autoLine="0" autoPict="0">
                <anchor moveWithCells="1">
                  <from>
                    <xdr:col>74</xdr:col>
                    <xdr:colOff>19050</xdr:colOff>
                    <xdr:row>30</xdr:row>
                    <xdr:rowOff>12700</xdr:rowOff>
                  </from>
                  <to>
                    <xdr:col>75</xdr:col>
                    <xdr:colOff>50800</xdr:colOff>
                    <xdr:row>30</xdr:row>
                    <xdr:rowOff>273050</xdr:rowOff>
                  </to>
                </anchor>
              </controlPr>
            </control>
          </mc:Choice>
        </mc:AlternateContent>
        <mc:AlternateContent xmlns:mc="http://schemas.openxmlformats.org/markup-compatibility/2006">
          <mc:Choice Requires="x14">
            <control shapeId="21550" r:id="rId40" name="TaskCheck_BW32">
              <controlPr defaultSize="0" autoFill="0" autoLine="0" autoPict="0">
                <anchor moveWithCells="1">
                  <from>
                    <xdr:col>74</xdr:col>
                    <xdr:colOff>19050</xdr:colOff>
                    <xdr:row>31</xdr:row>
                    <xdr:rowOff>12700</xdr:rowOff>
                  </from>
                  <to>
                    <xdr:col>75</xdr:col>
                    <xdr:colOff>50800</xdr:colOff>
                    <xdr:row>31</xdr:row>
                    <xdr:rowOff>273050</xdr:rowOff>
                  </to>
                </anchor>
              </controlPr>
            </control>
          </mc:Choice>
        </mc:AlternateContent>
        <mc:AlternateContent xmlns:mc="http://schemas.openxmlformats.org/markup-compatibility/2006">
          <mc:Choice Requires="x14">
            <control shapeId="21551" r:id="rId41" name="TaskCheck_BW33">
              <controlPr defaultSize="0" autoFill="0" autoLine="0" autoPict="0">
                <anchor moveWithCells="1">
                  <from>
                    <xdr:col>74</xdr:col>
                    <xdr:colOff>19050</xdr:colOff>
                    <xdr:row>32</xdr:row>
                    <xdr:rowOff>12700</xdr:rowOff>
                  </from>
                  <to>
                    <xdr:col>75</xdr:col>
                    <xdr:colOff>50800</xdr:colOff>
                    <xdr:row>32</xdr:row>
                    <xdr:rowOff>273050</xdr:rowOff>
                  </to>
                </anchor>
              </controlPr>
            </control>
          </mc:Choice>
        </mc:AlternateContent>
        <mc:AlternateContent xmlns:mc="http://schemas.openxmlformats.org/markup-compatibility/2006">
          <mc:Choice Requires="x14">
            <control shapeId="21552" r:id="rId42" name="TaskCheck_BW36">
              <controlPr defaultSize="0" autoFill="0" autoLine="0" autoPict="0">
                <anchor moveWithCells="1">
                  <from>
                    <xdr:col>74</xdr:col>
                    <xdr:colOff>19050</xdr:colOff>
                    <xdr:row>35</xdr:row>
                    <xdr:rowOff>12700</xdr:rowOff>
                  </from>
                  <to>
                    <xdr:col>75</xdr:col>
                    <xdr:colOff>50800</xdr:colOff>
                    <xdr:row>35</xdr:row>
                    <xdr:rowOff>273050</xdr:rowOff>
                  </to>
                </anchor>
              </controlPr>
            </control>
          </mc:Choice>
        </mc:AlternateContent>
        <mc:AlternateContent xmlns:mc="http://schemas.openxmlformats.org/markup-compatibility/2006">
          <mc:Choice Requires="x14">
            <control shapeId="21553" r:id="rId43" name="TaskCheck_BQ37">
              <controlPr defaultSize="0" autoFill="0" autoLine="0" autoPict="0">
                <anchor moveWithCells="1">
                  <from>
                    <xdr:col>68</xdr:col>
                    <xdr:colOff>19050</xdr:colOff>
                    <xdr:row>36</xdr:row>
                    <xdr:rowOff>12700</xdr:rowOff>
                  </from>
                  <to>
                    <xdr:col>69</xdr:col>
                    <xdr:colOff>50800</xdr:colOff>
                    <xdr:row>36</xdr:row>
                    <xdr:rowOff>273050</xdr:rowOff>
                  </to>
                </anchor>
              </controlPr>
            </control>
          </mc:Choice>
        </mc:AlternateContent>
        <mc:AlternateContent xmlns:mc="http://schemas.openxmlformats.org/markup-compatibility/2006">
          <mc:Choice Requires="x14">
            <control shapeId="21554" r:id="rId44" name="TaskCheck_BW37">
              <controlPr defaultSize="0" autoFill="0" autoLine="0" autoPict="0">
                <anchor moveWithCells="1">
                  <from>
                    <xdr:col>74</xdr:col>
                    <xdr:colOff>19050</xdr:colOff>
                    <xdr:row>36</xdr:row>
                    <xdr:rowOff>12700</xdr:rowOff>
                  </from>
                  <to>
                    <xdr:col>75</xdr:col>
                    <xdr:colOff>50800</xdr:colOff>
                    <xdr:row>36</xdr:row>
                    <xdr:rowOff>273050</xdr:rowOff>
                  </to>
                </anchor>
              </controlPr>
            </control>
          </mc:Choice>
        </mc:AlternateContent>
        <mc:AlternateContent xmlns:mc="http://schemas.openxmlformats.org/markup-compatibility/2006">
          <mc:Choice Requires="x14">
            <control shapeId="21555" r:id="rId45" name="TaskCheck_BQ38">
              <controlPr defaultSize="0" autoFill="0" autoLine="0" autoPict="0">
                <anchor moveWithCells="1">
                  <from>
                    <xdr:col>68</xdr:col>
                    <xdr:colOff>19050</xdr:colOff>
                    <xdr:row>37</xdr:row>
                    <xdr:rowOff>12700</xdr:rowOff>
                  </from>
                  <to>
                    <xdr:col>69</xdr:col>
                    <xdr:colOff>50800</xdr:colOff>
                    <xdr:row>37</xdr:row>
                    <xdr:rowOff>273050</xdr:rowOff>
                  </to>
                </anchor>
              </controlPr>
            </control>
          </mc:Choice>
        </mc:AlternateContent>
        <mc:AlternateContent xmlns:mc="http://schemas.openxmlformats.org/markup-compatibility/2006">
          <mc:Choice Requires="x14">
            <control shapeId="21556" r:id="rId46" name="TaskCheck_BW38">
              <controlPr defaultSize="0" autoFill="0" autoLine="0" autoPict="0">
                <anchor moveWithCells="1">
                  <from>
                    <xdr:col>74</xdr:col>
                    <xdr:colOff>19050</xdr:colOff>
                    <xdr:row>37</xdr:row>
                    <xdr:rowOff>12700</xdr:rowOff>
                  </from>
                  <to>
                    <xdr:col>75</xdr:col>
                    <xdr:colOff>50800</xdr:colOff>
                    <xdr:row>37</xdr:row>
                    <xdr:rowOff>273050</xdr:rowOff>
                  </to>
                </anchor>
              </controlPr>
            </control>
          </mc:Choice>
        </mc:AlternateContent>
        <mc:AlternateContent xmlns:mc="http://schemas.openxmlformats.org/markup-compatibility/2006">
          <mc:Choice Requires="x14">
            <control shapeId="21557" r:id="rId47" name="TaskCheck_BQ39">
              <controlPr defaultSize="0" autoFill="0" autoLine="0" autoPict="0">
                <anchor moveWithCells="1">
                  <from>
                    <xdr:col>68</xdr:col>
                    <xdr:colOff>19050</xdr:colOff>
                    <xdr:row>38</xdr:row>
                    <xdr:rowOff>12700</xdr:rowOff>
                  </from>
                  <to>
                    <xdr:col>69</xdr:col>
                    <xdr:colOff>50800</xdr:colOff>
                    <xdr:row>38</xdr:row>
                    <xdr:rowOff>273050</xdr:rowOff>
                  </to>
                </anchor>
              </controlPr>
            </control>
          </mc:Choice>
        </mc:AlternateContent>
        <mc:AlternateContent xmlns:mc="http://schemas.openxmlformats.org/markup-compatibility/2006">
          <mc:Choice Requires="x14">
            <control shapeId="21558" r:id="rId48" name="TaskCheck_BW39">
              <controlPr defaultSize="0" autoFill="0" autoLine="0" autoPict="0">
                <anchor moveWithCells="1">
                  <from>
                    <xdr:col>74</xdr:col>
                    <xdr:colOff>19050</xdr:colOff>
                    <xdr:row>38</xdr:row>
                    <xdr:rowOff>12700</xdr:rowOff>
                  </from>
                  <to>
                    <xdr:col>75</xdr:col>
                    <xdr:colOff>50800</xdr:colOff>
                    <xdr:row>38</xdr:row>
                    <xdr:rowOff>273050</xdr:rowOff>
                  </to>
                </anchor>
              </controlPr>
            </control>
          </mc:Choice>
        </mc:AlternateContent>
        <mc:AlternateContent xmlns:mc="http://schemas.openxmlformats.org/markup-compatibility/2006">
          <mc:Choice Requires="x14">
            <control shapeId="21559" r:id="rId49" name="TaskCheck_BQ40">
              <controlPr defaultSize="0" autoFill="0" autoLine="0" autoPict="0">
                <anchor moveWithCells="1">
                  <from>
                    <xdr:col>68</xdr:col>
                    <xdr:colOff>19050</xdr:colOff>
                    <xdr:row>39</xdr:row>
                    <xdr:rowOff>12700</xdr:rowOff>
                  </from>
                  <to>
                    <xdr:col>69</xdr:col>
                    <xdr:colOff>50800</xdr:colOff>
                    <xdr:row>39</xdr:row>
                    <xdr:rowOff>273050</xdr:rowOff>
                  </to>
                </anchor>
              </controlPr>
            </control>
          </mc:Choice>
        </mc:AlternateContent>
        <mc:AlternateContent xmlns:mc="http://schemas.openxmlformats.org/markup-compatibility/2006">
          <mc:Choice Requires="x14">
            <control shapeId="21560" r:id="rId50" name="TaskCheck_BW40">
              <controlPr defaultSize="0" autoFill="0" autoLine="0" autoPict="0">
                <anchor moveWithCells="1">
                  <from>
                    <xdr:col>74</xdr:col>
                    <xdr:colOff>19050</xdr:colOff>
                    <xdr:row>39</xdr:row>
                    <xdr:rowOff>12700</xdr:rowOff>
                  </from>
                  <to>
                    <xdr:col>75</xdr:col>
                    <xdr:colOff>50800</xdr:colOff>
                    <xdr:row>39</xdr:row>
                    <xdr:rowOff>273050</xdr:rowOff>
                  </to>
                </anchor>
              </controlPr>
            </control>
          </mc:Choice>
        </mc:AlternateContent>
        <mc:AlternateContent xmlns:mc="http://schemas.openxmlformats.org/markup-compatibility/2006">
          <mc:Choice Requires="x14">
            <control shapeId="21561" r:id="rId51" name="TaskCheck_BQ41">
              <controlPr defaultSize="0" autoFill="0" autoLine="0" autoPict="0">
                <anchor moveWithCells="1">
                  <from>
                    <xdr:col>68</xdr:col>
                    <xdr:colOff>19050</xdr:colOff>
                    <xdr:row>40</xdr:row>
                    <xdr:rowOff>12700</xdr:rowOff>
                  </from>
                  <to>
                    <xdr:col>69</xdr:col>
                    <xdr:colOff>50800</xdr:colOff>
                    <xdr:row>40</xdr:row>
                    <xdr:rowOff>273050</xdr:rowOff>
                  </to>
                </anchor>
              </controlPr>
            </control>
          </mc:Choice>
        </mc:AlternateContent>
        <mc:AlternateContent xmlns:mc="http://schemas.openxmlformats.org/markup-compatibility/2006">
          <mc:Choice Requires="x14">
            <control shapeId="21562" r:id="rId52" name="TaskCheck_BW41">
              <controlPr defaultSize="0" autoFill="0" autoLine="0" autoPict="0">
                <anchor moveWithCells="1">
                  <from>
                    <xdr:col>74</xdr:col>
                    <xdr:colOff>19050</xdr:colOff>
                    <xdr:row>40</xdr:row>
                    <xdr:rowOff>12700</xdr:rowOff>
                  </from>
                  <to>
                    <xdr:col>75</xdr:col>
                    <xdr:colOff>50800</xdr:colOff>
                    <xdr:row>40</xdr:row>
                    <xdr:rowOff>273050</xdr:rowOff>
                  </to>
                </anchor>
              </controlPr>
            </control>
          </mc:Choice>
        </mc:AlternateContent>
        <mc:AlternateContent xmlns:mc="http://schemas.openxmlformats.org/markup-compatibility/2006">
          <mc:Choice Requires="x14">
            <control shapeId="21563" r:id="rId53" name="TaskCheck_BQ42">
              <controlPr defaultSize="0" autoFill="0" autoLine="0" autoPict="0">
                <anchor moveWithCells="1">
                  <from>
                    <xdr:col>68</xdr:col>
                    <xdr:colOff>19050</xdr:colOff>
                    <xdr:row>41</xdr:row>
                    <xdr:rowOff>12700</xdr:rowOff>
                  </from>
                  <to>
                    <xdr:col>69</xdr:col>
                    <xdr:colOff>50800</xdr:colOff>
                    <xdr:row>41</xdr:row>
                    <xdr:rowOff>273050</xdr:rowOff>
                  </to>
                </anchor>
              </controlPr>
            </control>
          </mc:Choice>
        </mc:AlternateContent>
        <mc:AlternateContent xmlns:mc="http://schemas.openxmlformats.org/markup-compatibility/2006">
          <mc:Choice Requires="x14">
            <control shapeId="21564" r:id="rId54" name="TaskCheck_BW42">
              <controlPr defaultSize="0" autoFill="0" autoLine="0" autoPict="0">
                <anchor moveWithCells="1">
                  <from>
                    <xdr:col>74</xdr:col>
                    <xdr:colOff>19050</xdr:colOff>
                    <xdr:row>41</xdr:row>
                    <xdr:rowOff>12700</xdr:rowOff>
                  </from>
                  <to>
                    <xdr:col>75</xdr:col>
                    <xdr:colOff>50800</xdr:colOff>
                    <xdr:row>41</xdr:row>
                    <xdr:rowOff>273050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29B95-D50D-4A4D-83C5-2F92BF998D9B}">
  <sheetPr codeName="Sheet16">
    <tabColor rgb="FFFF0000"/>
    <pageSetUpPr fitToPage="1"/>
  </sheetPr>
  <dimension ref="A1:CV95"/>
  <sheetViews>
    <sheetView showGridLines="0" topLeftCell="A43" zoomScale="60" zoomScaleNormal="60" workbookViewId="0">
      <selection activeCell="S20" sqref="S20:U20"/>
    </sheetView>
  </sheetViews>
  <sheetFormatPr defaultColWidth="3.83203125" defaultRowHeight="22.5" customHeight="1"/>
  <cols>
    <col min="1" max="19" width="3.83203125" style="161"/>
    <col min="20" max="20" width="3.83203125" style="161" customWidth="1"/>
    <col min="21" max="33" width="3.83203125" style="161"/>
    <col min="34" max="34" width="3.83203125" style="161" customWidth="1"/>
    <col min="35" max="87" width="3.83203125" style="161"/>
    <col min="88" max="90" width="9.6640625" style="161" customWidth="1"/>
    <col min="91" max="91" width="5.6640625" style="161" bestFit="1" customWidth="1"/>
    <col min="92" max="94" width="3.83203125" style="161"/>
    <col min="95" max="95" width="12.83203125" style="161" bestFit="1" customWidth="1"/>
    <col min="96" max="96" width="9.83203125" style="161" bestFit="1" customWidth="1"/>
    <col min="97" max="97" width="4.25" style="161" bestFit="1" customWidth="1"/>
    <col min="98" max="98" width="4.5" style="161" bestFit="1" customWidth="1"/>
    <col min="99" max="99" width="2.58203125" style="161" bestFit="1" customWidth="1"/>
    <col min="100" max="100" width="4.5" style="161" bestFit="1" customWidth="1"/>
    <col min="101" max="16384" width="3.83203125" style="161"/>
  </cols>
  <sheetData>
    <row r="1" spans="1:100" s="160" customFormat="1" ht="22.5" customHeight="1" thickTop="1" thickBot="1">
      <c r="A1" s="306" t="s">
        <v>66</v>
      </c>
      <c r="B1" s="306"/>
      <c r="C1" s="306"/>
      <c r="D1" s="158" t="s">
        <v>144</v>
      </c>
      <c r="E1" s="158"/>
      <c r="F1" s="158"/>
      <c r="G1" s="307">
        <v>20</v>
      </c>
      <c r="H1" s="307"/>
      <c r="I1" s="158" t="s">
        <v>690</v>
      </c>
      <c r="J1" s="158"/>
      <c r="K1" s="158"/>
      <c r="L1" s="158"/>
      <c r="M1" s="158"/>
      <c r="N1" s="158"/>
      <c r="O1" s="158"/>
      <c r="P1" s="158"/>
      <c r="Q1" s="158"/>
      <c r="R1" s="159"/>
      <c r="S1" s="159"/>
      <c r="T1" s="159"/>
      <c r="U1" s="159"/>
      <c r="V1" s="221" t="s">
        <v>104</v>
      </c>
      <c r="W1" s="158"/>
      <c r="X1" s="158"/>
      <c r="Y1" s="158"/>
      <c r="Z1" s="158"/>
      <c r="AA1" s="308">
        <v>1</v>
      </c>
      <c r="AB1" s="308"/>
      <c r="AC1" s="199" t="s">
        <v>105</v>
      </c>
      <c r="AD1" s="158"/>
      <c r="AE1" s="200" t="s">
        <v>584</v>
      </c>
      <c r="AF1" s="158"/>
      <c r="AG1" s="158"/>
      <c r="AH1" s="159"/>
      <c r="AI1" s="199" t="s">
        <v>106</v>
      </c>
      <c r="AJ1" s="159"/>
      <c r="AK1" s="200" t="s">
        <v>591</v>
      </c>
      <c r="AL1" s="159"/>
      <c r="AM1" s="159"/>
      <c r="AN1" s="159"/>
      <c r="AO1" s="199" t="s">
        <v>106</v>
      </c>
      <c r="AP1" s="159"/>
      <c r="AQ1" s="200"/>
      <c r="AR1" s="159"/>
      <c r="AS1" s="159"/>
      <c r="AT1" s="159"/>
      <c r="AU1" s="199" t="s">
        <v>237</v>
      </c>
      <c r="AV1" s="159"/>
      <c r="AW1" s="200"/>
      <c r="AX1" s="159"/>
      <c r="AY1" s="159"/>
      <c r="AZ1" s="159"/>
      <c r="BA1" s="309" t="s">
        <v>261</v>
      </c>
      <c r="BB1" s="310"/>
      <c r="BC1" s="311">
        <v>46198</v>
      </c>
      <c r="BD1" s="312"/>
      <c r="BE1" s="313"/>
      <c r="BF1" s="314" t="str">
        <f ca="1">IF(BC1="","",(TODAY()-BC1)&amp;"日未更新")</f>
        <v>4日未更新</v>
      </c>
      <c r="BG1" s="315"/>
      <c r="BH1" s="315"/>
      <c r="BI1" s="315"/>
      <c r="BJ1" s="316"/>
      <c r="BK1" s="159"/>
      <c r="BL1" s="159"/>
      <c r="BM1" s="159"/>
      <c r="BN1" s="159"/>
      <c r="BO1" s="158"/>
      <c r="BP1" s="159"/>
      <c r="BQ1" s="159"/>
      <c r="BR1" s="159"/>
      <c r="BS1" s="159"/>
      <c r="BT1" s="159"/>
      <c r="BU1" s="159"/>
      <c r="BV1" s="159"/>
      <c r="BW1" s="159"/>
      <c r="BX1" s="159"/>
      <c r="BY1" s="159"/>
      <c r="BZ1" s="158"/>
      <c r="CA1" s="323" t="s">
        <v>238</v>
      </c>
      <c r="CB1" s="323"/>
      <c r="CC1" s="323"/>
      <c r="CD1" s="323"/>
      <c r="CE1" s="323"/>
      <c r="CF1" s="323"/>
      <c r="CG1" s="323"/>
      <c r="CH1" s="323"/>
    </row>
    <row r="2" spans="1:100" ht="22.5" customHeight="1" thickTop="1">
      <c r="B2" s="175" t="s">
        <v>229</v>
      </c>
      <c r="C2" s="176"/>
      <c r="D2" s="176"/>
      <c r="E2" s="176"/>
      <c r="F2" s="176"/>
      <c r="G2" s="176"/>
      <c r="H2" s="176"/>
      <c r="I2" s="176"/>
      <c r="J2" s="176"/>
      <c r="K2" s="176"/>
      <c r="L2" s="176"/>
      <c r="M2" s="176"/>
      <c r="N2" s="176"/>
      <c r="O2" s="176"/>
      <c r="P2" s="176"/>
      <c r="Q2" s="176"/>
      <c r="R2" s="176"/>
      <c r="S2" s="176"/>
      <c r="T2" s="176"/>
      <c r="U2" s="176"/>
      <c r="V2" s="176"/>
      <c r="W2" s="176"/>
      <c r="X2" s="176"/>
      <c r="Y2" s="176"/>
      <c r="Z2" s="176"/>
      <c r="AA2" s="176"/>
      <c r="AC2" s="177" t="s">
        <v>110</v>
      </c>
      <c r="AD2" s="178"/>
      <c r="AE2" s="178"/>
      <c r="AF2" s="178"/>
      <c r="AG2" s="178"/>
      <c r="AH2" s="178"/>
      <c r="AI2" s="178"/>
      <c r="AJ2" s="178"/>
      <c r="AK2" s="178"/>
      <c r="AL2" s="178"/>
      <c r="AM2" s="178"/>
      <c r="AN2" s="178"/>
      <c r="AO2" s="178"/>
      <c r="AP2" s="178"/>
      <c r="AQ2" s="178"/>
      <c r="AR2" s="178"/>
      <c r="AS2" s="178"/>
      <c r="AT2" s="178"/>
      <c r="AU2" s="178"/>
      <c r="AV2" s="178"/>
      <c r="AW2" s="178"/>
      <c r="AX2" s="178"/>
      <c r="AY2" s="178"/>
      <c r="AZ2" s="178"/>
      <c r="BA2" s="178"/>
      <c r="BB2" s="178"/>
      <c r="BE2" s="324" t="s">
        <v>127</v>
      </c>
      <c r="BF2" s="325"/>
      <c r="BG2" s="325"/>
      <c r="BH2" s="325"/>
      <c r="BI2" s="325"/>
      <c r="BJ2" s="325"/>
      <c r="BK2" s="326"/>
      <c r="BL2" s="189" t="s">
        <v>52</v>
      </c>
      <c r="BM2" s="190" t="s">
        <v>53</v>
      </c>
      <c r="BN2" s="197" t="s">
        <v>54</v>
      </c>
      <c r="BO2" s="198" t="s">
        <v>55</v>
      </c>
      <c r="BP2" s="190" t="s">
        <v>56</v>
      </c>
      <c r="BQ2" s="191" t="s">
        <v>57</v>
      </c>
      <c r="BR2" s="327" t="s">
        <v>112</v>
      </c>
      <c r="BS2" s="328"/>
      <c r="BT2" s="328" t="s">
        <v>115</v>
      </c>
      <c r="BU2" s="329"/>
      <c r="BW2" s="181" t="s">
        <v>948</v>
      </c>
      <c r="BX2" s="179"/>
      <c r="BY2" s="179"/>
      <c r="BZ2" s="179"/>
      <c r="CA2" s="179"/>
      <c r="CB2" s="179"/>
      <c r="CC2" s="179"/>
      <c r="CD2" s="179"/>
      <c r="CE2" s="179"/>
      <c r="CF2" s="179"/>
      <c r="CG2" s="179"/>
      <c r="CH2" s="179"/>
      <c r="CJ2" s="861" t="s">
        <v>909</v>
      </c>
      <c r="CK2" s="861"/>
      <c r="CL2" s="861"/>
      <c r="CM2" s="235"/>
      <c r="CQ2" s="264" t="s">
        <v>917</v>
      </c>
      <c r="CR2" s="265">
        <v>46113</v>
      </c>
      <c r="CS2" s="264">
        <v>6</v>
      </c>
      <c r="CT2" s="264">
        <v>90</v>
      </c>
      <c r="CU2" s="264">
        <v>0</v>
      </c>
      <c r="CV2" s="264">
        <v>90</v>
      </c>
    </row>
    <row r="3" spans="1:100" ht="22.5" customHeight="1">
      <c r="B3" s="300" t="s">
        <v>263</v>
      </c>
      <c r="C3" s="301"/>
      <c r="D3" s="301"/>
      <c r="E3" s="301"/>
      <c r="F3" s="302"/>
      <c r="G3" s="303" t="s">
        <v>254</v>
      </c>
      <c r="H3" s="304"/>
      <c r="I3" s="305"/>
      <c r="J3" s="303" t="s">
        <v>27</v>
      </c>
      <c r="K3" s="304"/>
      <c r="L3" s="305"/>
      <c r="M3" s="303" t="s">
        <v>226</v>
      </c>
      <c r="N3" s="304"/>
      <c r="O3" s="305"/>
      <c r="P3" s="303" t="s">
        <v>15</v>
      </c>
      <c r="Q3" s="304"/>
      <c r="R3" s="305"/>
      <c r="S3" s="303" t="s">
        <v>22</v>
      </c>
      <c r="T3" s="304"/>
      <c r="U3" s="305"/>
      <c r="V3" s="303" t="s">
        <v>1</v>
      </c>
      <c r="W3" s="304"/>
      <c r="X3" s="305"/>
      <c r="Y3" s="303" t="s">
        <v>18</v>
      </c>
      <c r="Z3" s="304"/>
      <c r="AA3" s="305"/>
      <c r="AC3" s="179" t="s">
        <v>61</v>
      </c>
      <c r="AD3" s="179"/>
      <c r="AE3" s="179"/>
      <c r="AF3" s="179"/>
      <c r="AG3" s="179"/>
      <c r="AH3" s="179"/>
      <c r="AI3" s="179"/>
      <c r="AJ3" s="179"/>
      <c r="AK3" s="179"/>
      <c r="AL3" s="179"/>
      <c r="AM3" s="179"/>
      <c r="AN3" s="179"/>
      <c r="AO3" s="178"/>
      <c r="AP3" s="178"/>
      <c r="AQ3" s="179" t="s">
        <v>62</v>
      </c>
      <c r="AR3" s="179"/>
      <c r="AS3" s="179"/>
      <c r="AT3" s="179"/>
      <c r="AU3" s="179"/>
      <c r="AV3" s="179"/>
      <c r="AW3" s="179"/>
      <c r="AX3" s="179"/>
      <c r="AY3" s="179"/>
      <c r="AZ3" s="179"/>
      <c r="BA3" s="179"/>
      <c r="BB3" s="179"/>
      <c r="BE3" s="187">
        <v>1</v>
      </c>
      <c r="BF3" s="317" t="s">
        <v>594</v>
      </c>
      <c r="BG3" s="317"/>
      <c r="BH3" s="317" t="s">
        <v>598</v>
      </c>
      <c r="BI3" s="317"/>
      <c r="BJ3" s="317"/>
      <c r="BK3" s="318"/>
      <c r="BL3" s="215" t="s">
        <v>724</v>
      </c>
      <c r="BM3" s="209" t="s">
        <v>724</v>
      </c>
      <c r="BN3" s="209" t="s">
        <v>724</v>
      </c>
      <c r="BO3" s="209" t="s">
        <v>724</v>
      </c>
      <c r="BP3" s="209"/>
      <c r="BQ3" s="210"/>
      <c r="BR3" s="319"/>
      <c r="BS3" s="317"/>
      <c r="BT3" s="317"/>
      <c r="BU3" s="320"/>
      <c r="BW3" s="285" t="b">
        <v>0</v>
      </c>
      <c r="BX3" s="178" t="s">
        <v>97</v>
      </c>
      <c r="BY3" s="178"/>
      <c r="BZ3" s="178"/>
      <c r="CA3" s="178"/>
      <c r="CB3" s="178"/>
      <c r="CC3" s="178"/>
      <c r="CD3" s="178"/>
      <c r="CE3" s="178"/>
      <c r="CF3" s="178"/>
      <c r="CG3" s="178"/>
      <c r="CH3" s="178"/>
      <c r="CJ3" s="261"/>
      <c r="CK3" s="262" t="s">
        <v>908</v>
      </c>
      <c r="CL3" s="262" t="s">
        <v>898</v>
      </c>
      <c r="CM3" s="861">
        <v>11</v>
      </c>
      <c r="CQ3" s="264" t="s">
        <v>917</v>
      </c>
      <c r="CR3" s="265">
        <v>46113</v>
      </c>
      <c r="CS3" s="264">
        <v>5</v>
      </c>
      <c r="CT3" s="264">
        <v>30</v>
      </c>
      <c r="CU3" s="264">
        <v>0</v>
      </c>
      <c r="CV3" s="264">
        <v>30</v>
      </c>
    </row>
    <row r="4" spans="1:100" ht="22.5" customHeight="1">
      <c r="B4" s="335" t="s">
        <v>32</v>
      </c>
      <c r="C4" s="336"/>
      <c r="D4" s="336"/>
      <c r="E4" s="336"/>
      <c r="F4" s="337"/>
      <c r="G4" s="321">
        <f ca="1">IFERROR(INDEX(INDIRECT("'"&amp;G$3&amp;"'!J:J"),MATCH($D$1,INDIRECT("'"&amp;G$3&amp;"'!A:A"),0)),"")</f>
        <v>20</v>
      </c>
      <c r="H4" s="321"/>
      <c r="I4" s="321"/>
      <c r="J4" s="321">
        <v>20</v>
      </c>
      <c r="K4" s="321"/>
      <c r="L4" s="321"/>
      <c r="M4" s="321">
        <v>20</v>
      </c>
      <c r="N4" s="321"/>
      <c r="O4" s="321"/>
      <c r="P4" s="321" t="str">
        <f ca="1">IFERROR(INDEX(INDIRECT("'"&amp;P$3&amp;"'!J:J"),MATCH($D$1,INDIRECT("'"&amp;P$3&amp;"'!A:A"),0)),"")</f>
        <v/>
      </c>
      <c r="Q4" s="321"/>
      <c r="R4" s="321"/>
      <c r="S4" s="321" t="str">
        <f ca="1">IFERROR(INDEX(INDIRECT("'"&amp;S$3&amp;"'!J:J"),MATCH($D$1,INDIRECT("'"&amp;S$3&amp;"'!A:A"),0)),"")</f>
        <v/>
      </c>
      <c r="T4" s="321"/>
      <c r="U4" s="321"/>
      <c r="V4" s="321" t="str">
        <f t="shared" ref="V4" ca="1" si="0">IFERROR(INDEX(INDIRECT("'"&amp;V$3&amp;"'!J:J"),MATCH($D$1,INDIRECT("'"&amp;V$3&amp;"'!A:A"),0)),"")</f>
        <v/>
      </c>
      <c r="W4" s="321"/>
      <c r="X4" s="321"/>
      <c r="Y4" s="321" t="str">
        <f t="shared" ref="Y4" ca="1" si="1">IFERROR(INDEX(INDIRECT("'"&amp;Y$3&amp;"'!J:J"),MATCH($D$1,INDIRECT("'"&amp;Y$3&amp;"'!A:A"),0)),"")</f>
        <v/>
      </c>
      <c r="Z4" s="321"/>
      <c r="AA4" s="321"/>
      <c r="AC4" s="322" t="s">
        <v>254</v>
      </c>
      <c r="AD4" s="322"/>
      <c r="AE4" s="322" t="s">
        <v>27</v>
      </c>
      <c r="AF4" s="322"/>
      <c r="AG4" s="322" t="s">
        <v>226</v>
      </c>
      <c r="AH4" s="322"/>
      <c r="AI4" s="322" t="s">
        <v>15</v>
      </c>
      <c r="AJ4" s="322"/>
      <c r="AK4" s="322" t="s">
        <v>23</v>
      </c>
      <c r="AL4" s="322"/>
      <c r="AM4" s="322" t="s">
        <v>256</v>
      </c>
      <c r="AN4" s="322"/>
      <c r="AQ4" s="322" t="s">
        <v>254</v>
      </c>
      <c r="AR4" s="322"/>
      <c r="AS4" s="322" t="s">
        <v>27</v>
      </c>
      <c r="AT4" s="322"/>
      <c r="AU4" s="322" t="s">
        <v>226</v>
      </c>
      <c r="AV4" s="322"/>
      <c r="AW4" s="322" t="s">
        <v>15</v>
      </c>
      <c r="AX4" s="322"/>
      <c r="AY4" s="322" t="s">
        <v>23</v>
      </c>
      <c r="AZ4" s="322"/>
      <c r="BA4" s="322" t="s">
        <v>256</v>
      </c>
      <c r="BB4" s="322"/>
      <c r="BE4" s="187">
        <v>2</v>
      </c>
      <c r="BF4" s="317" t="s">
        <v>596</v>
      </c>
      <c r="BG4" s="317"/>
      <c r="BH4" s="317" t="s">
        <v>599</v>
      </c>
      <c r="BI4" s="317"/>
      <c r="BJ4" s="317"/>
      <c r="BK4" s="318"/>
      <c r="BL4" s="209" t="s">
        <v>724</v>
      </c>
      <c r="BM4" s="209" t="s">
        <v>724</v>
      </c>
      <c r="BN4" s="209"/>
      <c r="BO4" s="209"/>
      <c r="BP4" s="209"/>
      <c r="BQ4" s="210"/>
      <c r="BR4" s="319"/>
      <c r="BS4" s="317"/>
      <c r="BT4" s="317"/>
      <c r="BU4" s="320"/>
      <c r="BW4" s="285" t="b">
        <v>0</v>
      </c>
      <c r="BX4" s="192" t="s">
        <v>69</v>
      </c>
      <c r="BY4" s="178"/>
      <c r="BZ4" s="178"/>
      <c r="CA4" s="178"/>
      <c r="CB4" s="178"/>
      <c r="CC4" s="178"/>
      <c r="CD4" s="178"/>
      <c r="CE4" s="178"/>
      <c r="CF4" s="178"/>
      <c r="CG4" s="178"/>
      <c r="CH4" s="178"/>
      <c r="CJ4" s="262" t="s">
        <v>905</v>
      </c>
      <c r="CK4" s="233">
        <v>5</v>
      </c>
      <c r="CL4" s="233">
        <v>0</v>
      </c>
      <c r="CM4" s="861"/>
      <c r="CQ4" s="264" t="s">
        <v>917</v>
      </c>
      <c r="CR4" s="265">
        <v>46113</v>
      </c>
      <c r="CS4" s="264">
        <v>4</v>
      </c>
      <c r="CT4" s="264">
        <v>150</v>
      </c>
      <c r="CU4" s="264">
        <v>6</v>
      </c>
      <c r="CV4" s="264">
        <v>156</v>
      </c>
    </row>
    <row r="5" spans="1:100" ht="22.5" customHeight="1">
      <c r="B5" s="331" t="s">
        <v>225</v>
      </c>
      <c r="C5" s="332"/>
      <c r="D5" s="332"/>
      <c r="E5" s="332"/>
      <c r="F5" s="333"/>
      <c r="G5" s="334">
        <f ca="1">IFERROR(INDEX(INDIRECT("'"&amp;G$3&amp;"'!Ｉ:Ｉ"),MATCH($D$1,INDIRECT("'"&amp;G$3&amp;"'!A:A"),0)),"")</f>
        <v>620</v>
      </c>
      <c r="H5" s="334"/>
      <c r="I5" s="334"/>
      <c r="J5" s="334">
        <v>600</v>
      </c>
      <c r="K5" s="334"/>
      <c r="L5" s="334"/>
      <c r="M5" s="334">
        <v>611</v>
      </c>
      <c r="N5" s="334"/>
      <c r="O5" s="334"/>
      <c r="P5" s="334" t="str">
        <f ca="1">IFERROR(INDEX(INDIRECT("'"&amp;P$3&amp;"'!Ｉ:Ｉ"),MATCH($D$1,INDIRECT("'"&amp;P$3&amp;"'!A:A"),0)),"")</f>
        <v/>
      </c>
      <c r="Q5" s="334"/>
      <c r="R5" s="334"/>
      <c r="S5" s="334" t="str">
        <f ca="1">IFERROR(INDEX(INDIRECT("'"&amp;S$3&amp;"'!Ｉ:Ｉ"),MATCH($D$1,INDIRECT("'"&amp;S$3&amp;"'!A:A"),0)),"")</f>
        <v/>
      </c>
      <c r="T5" s="334"/>
      <c r="U5" s="334"/>
      <c r="V5" s="334" t="str">
        <f t="shared" ref="V5" ca="1" si="2">IFERROR(INDEX(INDIRECT("'"&amp;V$3&amp;"'!Ｉ:Ｉ"),MATCH($D$1,INDIRECT("'"&amp;V$3&amp;"'!A:A"),0)),"")</f>
        <v/>
      </c>
      <c r="W5" s="334"/>
      <c r="X5" s="334"/>
      <c r="Y5" s="334" t="str">
        <f t="shared" ref="Y5" ca="1" si="3">IFERROR(INDEX(INDIRECT("'"&amp;Y$3&amp;"'!Ｉ:Ｉ"),MATCH($D$1,INDIRECT("'"&amp;Y$3&amp;"'!A:A"),0)),"")</f>
        <v/>
      </c>
      <c r="Z5" s="334"/>
      <c r="AA5" s="334"/>
      <c r="AC5" s="330">
        <v>1</v>
      </c>
      <c r="AD5" s="330"/>
      <c r="AE5" s="330">
        <v>1</v>
      </c>
      <c r="AF5" s="330"/>
      <c r="AG5" s="330">
        <v>2</v>
      </c>
      <c r="AH5" s="330"/>
      <c r="AI5" s="330">
        <v>1</v>
      </c>
      <c r="AJ5" s="330"/>
      <c r="AK5" s="330"/>
      <c r="AL5" s="330"/>
      <c r="AM5" s="330"/>
      <c r="AN5" s="330"/>
      <c r="AQ5" s="330">
        <v>1</v>
      </c>
      <c r="AR5" s="330"/>
      <c r="AS5" s="330">
        <v>2</v>
      </c>
      <c r="AT5" s="330"/>
      <c r="AU5" s="330">
        <v>1</v>
      </c>
      <c r="AV5" s="330"/>
      <c r="AW5" s="330">
        <v>3</v>
      </c>
      <c r="AX5" s="330"/>
      <c r="AY5" s="330"/>
      <c r="AZ5" s="330"/>
      <c r="BA5" s="330"/>
      <c r="BB5" s="330"/>
      <c r="BE5" s="187">
        <v>3</v>
      </c>
      <c r="BF5" s="317" t="s">
        <v>596</v>
      </c>
      <c r="BG5" s="317"/>
      <c r="BH5" s="317" t="s">
        <v>600</v>
      </c>
      <c r="BI5" s="317"/>
      <c r="BJ5" s="317"/>
      <c r="BK5" s="318"/>
      <c r="BL5" s="215"/>
      <c r="BM5" s="209"/>
      <c r="BN5" s="209"/>
      <c r="BO5" s="209"/>
      <c r="BP5" s="209"/>
      <c r="BQ5" s="210"/>
      <c r="BR5" s="319"/>
      <c r="BS5" s="317"/>
      <c r="BT5" s="317"/>
      <c r="BU5" s="320"/>
      <c r="BW5" s="285" t="b">
        <v>0</v>
      </c>
      <c r="BX5" s="192" t="s">
        <v>70</v>
      </c>
      <c r="BY5" s="178"/>
      <c r="BZ5" s="178"/>
      <c r="CA5" s="178"/>
      <c r="CB5" s="178"/>
      <c r="CC5" s="193"/>
      <c r="CD5" s="193"/>
      <c r="CE5" s="193"/>
      <c r="CF5" s="178"/>
      <c r="CG5" s="178"/>
      <c r="CH5" s="178"/>
      <c r="CJ5" s="262" t="s">
        <v>905</v>
      </c>
      <c r="CK5" s="233">
        <v>4</v>
      </c>
      <c r="CL5" s="233">
        <v>6</v>
      </c>
      <c r="CM5" s="861"/>
      <c r="CQ5" s="264" t="s">
        <v>917</v>
      </c>
      <c r="CR5" s="265">
        <v>46113</v>
      </c>
      <c r="CS5" s="264">
        <v>3</v>
      </c>
      <c r="CT5" s="264">
        <v>330</v>
      </c>
      <c r="CU5" s="264">
        <v>5</v>
      </c>
      <c r="CV5" s="264">
        <v>335</v>
      </c>
    </row>
    <row r="6" spans="1:100" ht="22.5" customHeight="1">
      <c r="B6" s="338" t="s">
        <v>33</v>
      </c>
      <c r="C6" s="339"/>
      <c r="D6" s="339"/>
      <c r="E6" s="339"/>
      <c r="F6" s="340"/>
      <c r="G6" s="341">
        <f ca="1">IFERROR(G5/(G1*DAY(EOMONTH(DATE(2024,LEFT(G3,LEN(G3)-1),1),0))),"")</f>
        <v>1</v>
      </c>
      <c r="H6" s="341"/>
      <c r="I6" s="341"/>
      <c r="J6" s="341">
        <v>1</v>
      </c>
      <c r="K6" s="341"/>
      <c r="L6" s="341"/>
      <c r="M6" s="341">
        <f>M5/620</f>
        <v>0.98548387096774193</v>
      </c>
      <c r="N6" s="341"/>
      <c r="O6" s="341"/>
      <c r="P6" s="341" t="str">
        <f ca="1">IFERROR(P5/(P1*DAY(EOMONTH(DATE(2024,LEFT(P3,LEN(P3)-1),1),0))),"")</f>
        <v/>
      </c>
      <c r="Q6" s="341"/>
      <c r="R6" s="341"/>
      <c r="S6" s="341" t="str">
        <f ca="1">IFERROR(S5/(S1*DAY(EOMONTH(DATE(2024,LEFT(S3,LEN(S3)-1),1),0))),"")</f>
        <v/>
      </c>
      <c r="T6" s="341"/>
      <c r="U6" s="341"/>
      <c r="V6" s="341" t="str">
        <f t="shared" ref="V6" ca="1" si="4">IFERROR(V5/(V1*DAY(EOMONTH(DATE(2024,LEFT(V3,LEN(V3)-1),1),0))),"")</f>
        <v/>
      </c>
      <c r="W6" s="341"/>
      <c r="X6" s="341"/>
      <c r="Y6" s="341" t="str">
        <f t="shared" ref="Y6" ca="1" si="5">IFERROR(Y5/(Y1*DAY(EOMONTH(DATE(2024,LEFT(Y3,LEN(Y3)-1),1),0))),"")</f>
        <v/>
      </c>
      <c r="Z6" s="341"/>
      <c r="AA6" s="341"/>
      <c r="AC6" s="179" t="s">
        <v>60</v>
      </c>
      <c r="AD6" s="179"/>
      <c r="AE6" s="179"/>
      <c r="AF6" s="179"/>
      <c r="AG6" s="179"/>
      <c r="AH6" s="179"/>
      <c r="AI6" s="179"/>
      <c r="AJ6" s="179"/>
      <c r="AK6" s="179"/>
      <c r="AL6" s="179"/>
      <c r="AM6" s="179"/>
      <c r="AN6" s="179"/>
      <c r="AO6" s="178"/>
      <c r="AP6" s="178"/>
      <c r="AQ6" s="179" t="s">
        <v>109</v>
      </c>
      <c r="AR6" s="179"/>
      <c r="AS6" s="179"/>
      <c r="AT6" s="179"/>
      <c r="AU6" s="179"/>
      <c r="AV6" s="179"/>
      <c r="AW6" s="179"/>
      <c r="AX6" s="179"/>
      <c r="AY6" s="179"/>
      <c r="AZ6" s="179"/>
      <c r="BA6" s="179"/>
      <c r="BB6" s="179"/>
      <c r="BE6" s="187">
        <v>4</v>
      </c>
      <c r="BF6" s="317" t="s">
        <v>596</v>
      </c>
      <c r="BG6" s="317"/>
      <c r="BH6" s="317" t="s">
        <v>601</v>
      </c>
      <c r="BI6" s="317"/>
      <c r="BJ6" s="317"/>
      <c r="BK6" s="318"/>
      <c r="BL6" s="215"/>
      <c r="BM6" s="209"/>
      <c r="BN6" s="209"/>
      <c r="BO6" s="209"/>
      <c r="BP6" s="209"/>
      <c r="BQ6" s="210"/>
      <c r="BR6" s="319"/>
      <c r="BS6" s="317"/>
      <c r="BT6" s="317"/>
      <c r="BU6" s="320"/>
      <c r="BW6" s="285" t="b">
        <v>0</v>
      </c>
      <c r="BX6" s="192" t="s">
        <v>71</v>
      </c>
      <c r="BY6" s="178"/>
      <c r="BZ6" s="178"/>
      <c r="CA6" s="178"/>
      <c r="CB6" s="178"/>
      <c r="CC6" s="193"/>
      <c r="CD6" s="193"/>
      <c r="CE6" s="193"/>
      <c r="CF6" s="178"/>
      <c r="CG6" s="178"/>
      <c r="CH6" s="178"/>
      <c r="CJ6" s="262" t="s">
        <v>905</v>
      </c>
      <c r="CK6" s="233">
        <v>3</v>
      </c>
      <c r="CL6" s="233">
        <v>5</v>
      </c>
      <c r="CM6" s="861"/>
      <c r="CQ6" s="264" t="s">
        <v>917</v>
      </c>
      <c r="CR6" s="265">
        <v>46113</v>
      </c>
      <c r="CS6" s="264">
        <v>2</v>
      </c>
      <c r="CT6" s="264">
        <v>0</v>
      </c>
      <c r="CU6" s="264">
        <v>0</v>
      </c>
      <c r="CV6" s="264">
        <v>0</v>
      </c>
    </row>
    <row r="7" spans="1:100" ht="22.5" customHeight="1">
      <c r="B7" s="335" t="s">
        <v>224</v>
      </c>
      <c r="C7" s="336"/>
      <c r="D7" s="336"/>
      <c r="E7" s="336"/>
      <c r="F7" s="337"/>
      <c r="G7" s="321">
        <f ca="1">IFERROR(INDEX(INDIRECT("'"&amp;G$3&amp;"'!L:L"),MATCH($D$1,INDIRECT("'"&amp;G$3&amp;"'!A:A"),0)),"")</f>
        <v>8</v>
      </c>
      <c r="H7" s="321"/>
      <c r="I7" s="321"/>
      <c r="J7" s="321">
        <v>11</v>
      </c>
      <c r="K7" s="321"/>
      <c r="L7" s="321"/>
      <c r="M7" s="321">
        <v>13</v>
      </c>
      <c r="N7" s="321"/>
      <c r="O7" s="321"/>
      <c r="P7" s="321" t="str">
        <f ca="1">IFERROR(INDEX(INDIRECT("'"&amp;P$3&amp;"'!L:L"),MATCH($D$1,INDIRECT("'"&amp;P$3&amp;"'!A:A"),0)),"")</f>
        <v/>
      </c>
      <c r="Q7" s="321"/>
      <c r="R7" s="321"/>
      <c r="S7" s="321" t="str">
        <f ca="1">IFERROR(INDEX(INDIRECT("'"&amp;S$3&amp;"'!L:L"),MATCH($D$1,INDIRECT("'"&amp;S$3&amp;"'!A:A"),0)),"")</f>
        <v/>
      </c>
      <c r="T7" s="321"/>
      <c r="U7" s="321"/>
      <c r="V7" s="321" t="str">
        <f t="shared" ref="V7" ca="1" si="6">IFERROR(INDEX(INDIRECT("'"&amp;V$3&amp;"'!L:L"),MATCH($D$1,INDIRECT("'"&amp;V$3&amp;"'!A:A"),0)),"")</f>
        <v/>
      </c>
      <c r="W7" s="321"/>
      <c r="X7" s="321"/>
      <c r="Y7" s="321" t="str">
        <f t="shared" ref="Y7" ca="1" si="7">IFERROR(INDEX(INDIRECT("'"&amp;Y$3&amp;"'!L:L"),MATCH($D$1,INDIRECT("'"&amp;Y$3&amp;"'!A:A"),0)),"")</f>
        <v/>
      </c>
      <c r="Z7" s="321"/>
      <c r="AA7" s="321"/>
      <c r="AC7" s="322" t="s">
        <v>254</v>
      </c>
      <c r="AD7" s="322"/>
      <c r="AE7" s="322" t="s">
        <v>27</v>
      </c>
      <c r="AF7" s="322"/>
      <c r="AG7" s="322" t="s">
        <v>226</v>
      </c>
      <c r="AH7" s="322"/>
      <c r="AI7" s="322" t="s">
        <v>15</v>
      </c>
      <c r="AJ7" s="322"/>
      <c r="AK7" s="322" t="s">
        <v>23</v>
      </c>
      <c r="AL7" s="322"/>
      <c r="AM7" s="322" t="s">
        <v>256</v>
      </c>
      <c r="AN7" s="322"/>
      <c r="AQ7" s="322" t="s">
        <v>254</v>
      </c>
      <c r="AR7" s="322"/>
      <c r="AS7" s="322" t="s">
        <v>27</v>
      </c>
      <c r="AT7" s="322"/>
      <c r="AU7" s="322" t="s">
        <v>226</v>
      </c>
      <c r="AV7" s="322"/>
      <c r="AW7" s="322" t="s">
        <v>15</v>
      </c>
      <c r="AX7" s="322"/>
      <c r="AY7" s="322" t="s">
        <v>23</v>
      </c>
      <c r="AZ7" s="322"/>
      <c r="BA7" s="322" t="s">
        <v>256</v>
      </c>
      <c r="BB7" s="322"/>
      <c r="BE7" s="187">
        <v>5</v>
      </c>
      <c r="BF7" s="317" t="s">
        <v>596</v>
      </c>
      <c r="BG7" s="317"/>
      <c r="BH7" s="317" t="s">
        <v>602</v>
      </c>
      <c r="BI7" s="317"/>
      <c r="BJ7" s="317"/>
      <c r="BK7" s="318"/>
      <c r="BL7" s="215"/>
      <c r="BM7" s="209"/>
      <c r="BN7" s="209"/>
      <c r="BO7" s="209"/>
      <c r="BP7" s="209"/>
      <c r="BQ7" s="210"/>
      <c r="BR7" s="319" t="s">
        <v>595</v>
      </c>
      <c r="BS7" s="317"/>
      <c r="BT7" s="317"/>
      <c r="BU7" s="320"/>
      <c r="BW7" s="285" t="b">
        <v>0</v>
      </c>
      <c r="BX7" s="192" t="s">
        <v>74</v>
      </c>
      <c r="BY7" s="178"/>
      <c r="BZ7" s="178"/>
      <c r="CA7" s="178"/>
      <c r="CB7" s="178"/>
      <c r="CC7" s="193"/>
      <c r="CD7" s="193"/>
      <c r="CE7" s="193"/>
      <c r="CF7" s="178"/>
      <c r="CG7" s="178"/>
      <c r="CH7" s="178"/>
      <c r="CJ7" s="262" t="s">
        <v>905</v>
      </c>
      <c r="CK7" s="233">
        <v>2</v>
      </c>
      <c r="CL7" s="233">
        <v>0</v>
      </c>
      <c r="CM7" s="861"/>
      <c r="CQ7" s="264" t="s">
        <v>917</v>
      </c>
      <c r="CR7" s="265">
        <v>46113</v>
      </c>
      <c r="CS7" s="264">
        <v>1</v>
      </c>
      <c r="CT7" s="264">
        <v>0</v>
      </c>
      <c r="CU7" s="264">
        <v>0</v>
      </c>
      <c r="CV7" s="264">
        <v>0</v>
      </c>
    </row>
    <row r="8" spans="1:100" ht="22.5" customHeight="1">
      <c r="B8" s="338" t="s">
        <v>34</v>
      </c>
      <c r="C8" s="339"/>
      <c r="D8" s="339"/>
      <c r="E8" s="339"/>
      <c r="F8" s="340"/>
      <c r="G8" s="341">
        <f ca="1">G7/31</f>
        <v>0.25806451612903225</v>
      </c>
      <c r="H8" s="341"/>
      <c r="I8" s="341"/>
      <c r="J8" s="341">
        <f>J7/30</f>
        <v>0.36666666666666664</v>
      </c>
      <c r="K8" s="341"/>
      <c r="L8" s="341"/>
      <c r="M8" s="341">
        <f>M7/31</f>
        <v>0.41935483870967744</v>
      </c>
      <c r="N8" s="341"/>
      <c r="O8" s="341"/>
      <c r="P8" s="341" t="str">
        <f ca="1">IFERROR(P7/(P1*DAY(EOMONTH(DATE(2024,LEFT(P3,LEN(P3)-1),1),0))),"")</f>
        <v/>
      </c>
      <c r="Q8" s="341"/>
      <c r="R8" s="341"/>
      <c r="S8" s="341" t="str">
        <f ca="1">IFERROR(S7/(S1*DAY(EOMONTH(DATE(2024,LEFT(S3,LEN(S3)-1),1),0))),"")</f>
        <v/>
      </c>
      <c r="T8" s="341"/>
      <c r="U8" s="341"/>
      <c r="V8" s="341" t="str">
        <f t="shared" ref="V8" ca="1" si="8">IFERROR(V7/(V1*DAY(EOMONTH(DATE(2024,LEFT(V3,LEN(V3)-1),1),0))),"")</f>
        <v/>
      </c>
      <c r="W8" s="341"/>
      <c r="X8" s="341"/>
      <c r="Y8" s="341" t="str">
        <f t="shared" ref="Y8" ca="1" si="9">IFERROR(Y7/(Y1*DAY(EOMONTH(DATE(2024,LEFT(Y3,LEN(Y3)-1),1),0))),"")</f>
        <v/>
      </c>
      <c r="Z8" s="341"/>
      <c r="AA8" s="341"/>
      <c r="AC8" s="330">
        <v>0</v>
      </c>
      <c r="AD8" s="330"/>
      <c r="AE8" s="330">
        <v>0</v>
      </c>
      <c r="AF8" s="330"/>
      <c r="AG8" s="330">
        <v>1</v>
      </c>
      <c r="AH8" s="330"/>
      <c r="AI8" s="330">
        <v>0</v>
      </c>
      <c r="AJ8" s="330"/>
      <c r="AK8" s="330"/>
      <c r="AL8" s="330"/>
      <c r="AM8" s="330"/>
      <c r="AN8" s="330"/>
      <c r="AQ8" s="330">
        <v>1</v>
      </c>
      <c r="AR8" s="330"/>
      <c r="AS8" s="330">
        <v>0</v>
      </c>
      <c r="AT8" s="330"/>
      <c r="AU8" s="330">
        <v>2</v>
      </c>
      <c r="AV8" s="330"/>
      <c r="AW8" s="330">
        <v>2</v>
      </c>
      <c r="AX8" s="330"/>
      <c r="AY8" s="330"/>
      <c r="AZ8" s="330"/>
      <c r="BA8" s="330"/>
      <c r="BB8" s="330"/>
      <c r="BE8" s="187">
        <v>6</v>
      </c>
      <c r="BF8" s="317" t="s">
        <v>596</v>
      </c>
      <c r="BG8" s="317"/>
      <c r="BH8" s="317" t="s">
        <v>603</v>
      </c>
      <c r="BI8" s="317"/>
      <c r="BJ8" s="317"/>
      <c r="BK8" s="318"/>
      <c r="BL8" s="215"/>
      <c r="BM8" s="209"/>
      <c r="BN8" s="209"/>
      <c r="BO8" s="209"/>
      <c r="BP8" s="209"/>
      <c r="BQ8" s="210"/>
      <c r="BR8" s="319"/>
      <c r="BS8" s="317"/>
      <c r="BT8" s="317"/>
      <c r="BU8" s="320"/>
      <c r="BW8" s="285" t="b">
        <v>0</v>
      </c>
      <c r="BX8" s="192" t="s">
        <v>72</v>
      </c>
      <c r="BY8" s="178"/>
      <c r="BZ8" s="178"/>
      <c r="CA8" s="178"/>
      <c r="CB8" s="178"/>
      <c r="CC8" s="193"/>
      <c r="CD8" s="193"/>
      <c r="CE8" s="193"/>
      <c r="CF8" s="178"/>
      <c r="CG8" s="178"/>
      <c r="CH8" s="178"/>
      <c r="CJ8" s="262" t="s">
        <v>905</v>
      </c>
      <c r="CK8" s="233">
        <v>1</v>
      </c>
      <c r="CL8" s="233">
        <v>0</v>
      </c>
      <c r="CM8" s="861"/>
      <c r="CQ8" s="264" t="s">
        <v>917</v>
      </c>
      <c r="CR8" s="265">
        <v>46113</v>
      </c>
      <c r="CS8" s="264" t="s">
        <v>904</v>
      </c>
      <c r="CT8" s="264">
        <v>0</v>
      </c>
      <c r="CU8" s="264">
        <v>0</v>
      </c>
      <c r="CV8" s="264">
        <v>0</v>
      </c>
    </row>
    <row r="9" spans="1:100" ht="22.5" customHeight="1">
      <c r="B9" s="735" t="s">
        <v>175</v>
      </c>
      <c r="C9" s="736"/>
      <c r="D9" s="736"/>
      <c r="E9" s="736"/>
      <c r="F9" s="737"/>
      <c r="G9" s="321">
        <f ca="1">IFERROR(INDEX(INDIRECT("'"&amp;G$3&amp;"'!O:O"),MATCH($D$1,INDIRECT("'"&amp;G$3&amp;"'!A:A"),0)),"")</f>
        <v>616</v>
      </c>
      <c r="H9" s="321"/>
      <c r="I9" s="321"/>
      <c r="J9" s="321">
        <v>595</v>
      </c>
      <c r="K9" s="321"/>
      <c r="L9" s="321"/>
      <c r="M9" s="321">
        <v>607</v>
      </c>
      <c r="N9" s="321"/>
      <c r="O9" s="321"/>
      <c r="P9" s="321" t="str">
        <f ca="1">IFERROR(INDEX(INDIRECT("'"&amp;P$3&amp;"'!O:O"),MATCH($D$1,INDIRECT("'"&amp;P$3&amp;"'!A:A"),0)),"")</f>
        <v/>
      </c>
      <c r="Q9" s="321"/>
      <c r="R9" s="321"/>
      <c r="S9" s="321" t="str">
        <f ca="1">IFERROR(INDEX(INDIRECT("'"&amp;S$3&amp;"'!O:O"),MATCH($D$1,INDIRECT("'"&amp;S$3&amp;"'!A:A"),0)),"")</f>
        <v/>
      </c>
      <c r="T9" s="321"/>
      <c r="U9" s="321"/>
      <c r="V9" s="321" t="str">
        <f t="shared" ref="V9" ca="1" si="10">IFERROR(INDEX(INDIRECT("'"&amp;V$3&amp;"'!O:O"),MATCH($D$1,INDIRECT("'"&amp;V$3&amp;"'!A:A"),0)),"")</f>
        <v/>
      </c>
      <c r="W9" s="321"/>
      <c r="X9" s="321"/>
      <c r="Y9" s="321" t="str">
        <f t="shared" ref="Y9" ca="1" si="11">IFERROR(INDEX(INDIRECT("'"&amp;Y$3&amp;"'!O:O"),MATCH($D$1,INDIRECT("'"&amp;Y$3&amp;"'!A:A"),0)),"")</f>
        <v/>
      </c>
      <c r="Z9" s="321"/>
      <c r="AA9" s="321"/>
      <c r="AC9" s="179" t="s">
        <v>250</v>
      </c>
      <c r="AD9" s="179"/>
      <c r="AE9" s="179"/>
      <c r="AF9" s="179"/>
      <c r="AG9" s="179"/>
      <c r="AH9" s="179"/>
      <c r="AI9" s="179"/>
      <c r="AJ9" s="179"/>
      <c r="AK9" s="179"/>
      <c r="AL9" s="179"/>
      <c r="AM9" s="179"/>
      <c r="AN9" s="179"/>
      <c r="AO9" s="179"/>
      <c r="AP9" s="179"/>
      <c r="AQ9" s="180"/>
      <c r="AR9" s="179"/>
      <c r="AS9" s="179"/>
      <c r="AT9" s="179"/>
      <c r="AU9" s="179"/>
      <c r="AV9" s="179"/>
      <c r="AW9" s="179"/>
      <c r="AX9" s="179"/>
      <c r="AY9" s="179"/>
      <c r="AZ9" s="179"/>
      <c r="BA9" s="179"/>
      <c r="BB9" s="179"/>
      <c r="BE9" s="187">
        <v>7</v>
      </c>
      <c r="BF9" s="317" t="s">
        <v>594</v>
      </c>
      <c r="BG9" s="317"/>
      <c r="BH9" s="317" t="s">
        <v>604</v>
      </c>
      <c r="BI9" s="317"/>
      <c r="BJ9" s="317"/>
      <c r="BK9" s="318"/>
      <c r="BL9" s="209" t="s">
        <v>724</v>
      </c>
      <c r="BM9" s="209" t="s">
        <v>724</v>
      </c>
      <c r="BN9" s="209" t="s">
        <v>724</v>
      </c>
      <c r="BO9" s="209"/>
      <c r="BP9" s="209"/>
      <c r="BQ9" s="210"/>
      <c r="BR9" s="319"/>
      <c r="BS9" s="317"/>
      <c r="BT9" s="317"/>
      <c r="BU9" s="320"/>
      <c r="BW9" s="285" t="b">
        <v>0</v>
      </c>
      <c r="BX9" s="192" t="s">
        <v>73</v>
      </c>
      <c r="BY9" s="178"/>
      <c r="BZ9" s="178"/>
      <c r="CA9" s="178"/>
      <c r="CB9" s="178"/>
      <c r="CC9" s="193"/>
      <c r="CD9" s="193"/>
      <c r="CE9" s="193"/>
      <c r="CF9" s="178"/>
      <c r="CG9" s="178"/>
      <c r="CH9" s="178"/>
      <c r="CJ9" s="262" t="s">
        <v>905</v>
      </c>
      <c r="CK9" s="233" t="s">
        <v>904</v>
      </c>
      <c r="CL9" s="233">
        <v>0</v>
      </c>
      <c r="CM9" s="861"/>
    </row>
    <row r="10" spans="1:100" ht="22.5" customHeight="1">
      <c r="B10" s="338" t="s">
        <v>35</v>
      </c>
      <c r="C10" s="339"/>
      <c r="D10" s="339"/>
      <c r="E10" s="339"/>
      <c r="F10" s="340"/>
      <c r="G10" s="341">
        <f ca="1">IFERROR(G9/G5,"")</f>
        <v>0.99354838709677418</v>
      </c>
      <c r="H10" s="341"/>
      <c r="I10" s="341"/>
      <c r="J10" s="341">
        <f>IFERROR(J9/J5,"")</f>
        <v>0.9916666666666667</v>
      </c>
      <c r="K10" s="341"/>
      <c r="L10" s="341"/>
      <c r="M10" s="341">
        <f>IFERROR(M9/M5,"")</f>
        <v>0.99345335515548283</v>
      </c>
      <c r="N10" s="341"/>
      <c r="O10" s="341"/>
      <c r="P10" s="341" t="str">
        <f ca="1">IFERROR(P9/P5,"")</f>
        <v/>
      </c>
      <c r="Q10" s="341"/>
      <c r="R10" s="341"/>
      <c r="S10" s="341" t="str">
        <f ca="1">IFERROR(S9/S5,"")</f>
        <v/>
      </c>
      <c r="T10" s="341"/>
      <c r="U10" s="341"/>
      <c r="V10" s="341" t="str">
        <f t="shared" ref="V10" ca="1" si="12">IFERROR(V9/V5,"")</f>
        <v/>
      </c>
      <c r="W10" s="341"/>
      <c r="X10" s="341"/>
      <c r="Y10" s="341" t="str">
        <f t="shared" ref="Y10" ca="1" si="13">IFERROR(Y9/Y5,"")</f>
        <v/>
      </c>
      <c r="Z10" s="341"/>
      <c r="AA10" s="341"/>
      <c r="AC10" s="342" t="s">
        <v>249</v>
      </c>
      <c r="AD10" s="343"/>
      <c r="AE10" s="343"/>
      <c r="AF10" s="343"/>
      <c r="AG10" s="343"/>
      <c r="AH10" s="343"/>
      <c r="AI10" s="343"/>
      <c r="AJ10" s="344"/>
      <c r="AK10" s="342" t="s">
        <v>63</v>
      </c>
      <c r="AL10" s="343"/>
      <c r="AM10" s="345"/>
      <c r="AN10" s="346" t="s">
        <v>111</v>
      </c>
      <c r="AO10" s="343"/>
      <c r="AP10" s="343"/>
      <c r="AQ10" s="343"/>
      <c r="AR10" s="343"/>
      <c r="AS10" s="343"/>
      <c r="AT10" s="343"/>
      <c r="AU10" s="343"/>
      <c r="AV10" s="343"/>
      <c r="AW10" s="343"/>
      <c r="AX10" s="343"/>
      <c r="AY10" s="343"/>
      <c r="AZ10" s="343"/>
      <c r="BA10" s="343"/>
      <c r="BB10" s="345"/>
      <c r="BE10" s="187">
        <v>8</v>
      </c>
      <c r="BF10" s="317" t="s">
        <v>596</v>
      </c>
      <c r="BG10" s="317"/>
      <c r="BH10" s="317" t="s">
        <v>605</v>
      </c>
      <c r="BI10" s="317"/>
      <c r="BJ10" s="317"/>
      <c r="BK10" s="318"/>
      <c r="BL10" s="215"/>
      <c r="BM10" s="209"/>
      <c r="BN10" s="209"/>
      <c r="BO10" s="209"/>
      <c r="BP10" s="209"/>
      <c r="BQ10" s="210"/>
      <c r="BR10" s="319"/>
      <c r="BS10" s="317"/>
      <c r="BT10" s="317"/>
      <c r="BU10" s="320"/>
      <c r="BW10" s="285" t="b">
        <v>0</v>
      </c>
      <c r="BX10" s="192" t="s">
        <v>76</v>
      </c>
      <c r="BY10" s="178"/>
      <c r="BZ10" s="178"/>
      <c r="CA10" s="178"/>
      <c r="CB10" s="178"/>
      <c r="CC10" s="193"/>
      <c r="CD10" s="193"/>
      <c r="CE10" s="193"/>
      <c r="CF10" s="178"/>
      <c r="CG10" s="178"/>
      <c r="CH10" s="178"/>
      <c r="CJ10" s="262" t="s">
        <v>906</v>
      </c>
      <c r="CK10" s="233">
        <v>6</v>
      </c>
      <c r="CL10" s="233">
        <v>30</v>
      </c>
      <c r="CM10" s="861">
        <v>600</v>
      </c>
    </row>
    <row r="11" spans="1:100" ht="22.5" customHeight="1">
      <c r="B11" s="335" t="s">
        <v>179</v>
      </c>
      <c r="C11" s="336"/>
      <c r="D11" s="336"/>
      <c r="E11" s="336"/>
      <c r="F11" s="337"/>
      <c r="G11" s="321">
        <f ca="1">IFERROR(INDEX(INDIRECT("'"&amp;G$3&amp;"'!R:R"),MATCH($D$1,INDIRECT("'"&amp;G$3&amp;"'!A:A"),0)),"")</f>
        <v>288</v>
      </c>
      <c r="H11" s="321"/>
      <c r="I11" s="321"/>
      <c r="J11" s="321">
        <v>283</v>
      </c>
      <c r="K11" s="321"/>
      <c r="L11" s="321"/>
      <c r="M11" s="321">
        <v>284</v>
      </c>
      <c r="N11" s="321"/>
      <c r="O11" s="321"/>
      <c r="P11" s="321" t="str">
        <f ca="1">IFERROR(INDEX(INDIRECT("'"&amp;P$3&amp;"'!R:R"),MATCH($D$1,INDIRECT("'"&amp;P$3&amp;"'!A:A"),0)),"")</f>
        <v/>
      </c>
      <c r="Q11" s="321"/>
      <c r="R11" s="321"/>
      <c r="S11" s="321" t="str">
        <f ca="1">IFERROR(INDEX(INDIRECT("'"&amp;S$3&amp;"'!R:R"),MATCH($D$1,INDIRECT("'"&amp;S$3&amp;"'!A:A"),0)),"")</f>
        <v/>
      </c>
      <c r="T11" s="321"/>
      <c r="U11" s="321"/>
      <c r="V11" s="321" t="str">
        <f t="shared" ref="V11" ca="1" si="14">IFERROR(INDEX(INDIRECT("'"&amp;V$3&amp;"'!R:R"),MATCH($D$1,INDIRECT("'"&amp;V$3&amp;"'!A:A"),0)),"")</f>
        <v/>
      </c>
      <c r="W11" s="321"/>
      <c r="X11" s="321"/>
      <c r="Y11" s="321" t="str">
        <f t="shared" ref="Y11" ca="1" si="15">IFERROR(INDEX(INDIRECT("'"&amp;Y$3&amp;"'!R:R"),MATCH($D$1,INDIRECT("'"&amp;Y$3&amp;"'!A:A"),0)),"")</f>
        <v/>
      </c>
      <c r="Z11" s="321"/>
      <c r="AA11" s="321"/>
      <c r="AC11" s="862"/>
      <c r="AD11" s="862"/>
      <c r="AE11" s="862"/>
      <c r="AF11" s="862"/>
      <c r="AG11" s="862"/>
      <c r="AH11" s="862"/>
      <c r="AI11" s="862"/>
      <c r="AJ11" s="862"/>
      <c r="AK11" s="863"/>
      <c r="AL11" s="863"/>
      <c r="AM11" s="233"/>
      <c r="AN11" s="862"/>
      <c r="AO11" s="862"/>
      <c r="AP11" s="862"/>
      <c r="AQ11" s="862"/>
      <c r="AR11" s="862"/>
      <c r="AS11" s="862"/>
      <c r="AT11" s="862"/>
      <c r="AU11" s="862"/>
      <c r="AV11" s="862"/>
      <c r="AW11" s="862"/>
      <c r="AX11" s="862"/>
      <c r="AY11" s="862"/>
      <c r="AZ11" s="862"/>
      <c r="BA11" s="862"/>
      <c r="BB11" s="862"/>
      <c r="BE11" s="187">
        <v>9</v>
      </c>
      <c r="BF11" s="317" t="s">
        <v>596</v>
      </c>
      <c r="BG11" s="317"/>
      <c r="BH11" s="317" t="s">
        <v>606</v>
      </c>
      <c r="BI11" s="317"/>
      <c r="BJ11" s="317"/>
      <c r="BK11" s="318"/>
      <c r="BL11" s="215"/>
      <c r="BM11" s="209"/>
      <c r="BN11" s="209"/>
      <c r="BO11" s="209"/>
      <c r="BP11" s="209"/>
      <c r="BQ11" s="210"/>
      <c r="BR11" s="319" t="s">
        <v>595</v>
      </c>
      <c r="BS11" s="317"/>
      <c r="BT11" s="317"/>
      <c r="BU11" s="320"/>
      <c r="BW11" s="285" t="b">
        <v>0</v>
      </c>
      <c r="BX11" s="192" t="s">
        <v>239</v>
      </c>
      <c r="BY11" s="178"/>
      <c r="BZ11" s="178"/>
      <c r="CA11" s="178"/>
      <c r="CB11" s="178"/>
      <c r="CC11" s="193"/>
      <c r="CD11" s="193"/>
      <c r="CE11" s="193"/>
      <c r="CF11" s="178"/>
      <c r="CG11" s="178"/>
      <c r="CH11" s="178"/>
      <c r="CJ11" s="262" t="s">
        <v>906</v>
      </c>
      <c r="CK11" s="233">
        <v>5</v>
      </c>
      <c r="CL11" s="233">
        <v>0</v>
      </c>
      <c r="CM11" s="861"/>
    </row>
    <row r="12" spans="1:100" ht="22.5" customHeight="1">
      <c r="B12" s="338" t="s">
        <v>218</v>
      </c>
      <c r="C12" s="339"/>
      <c r="D12" s="339"/>
      <c r="E12" s="339"/>
      <c r="F12" s="340"/>
      <c r="G12" s="341">
        <f ca="1">IFERROR(G11/G5,"")</f>
        <v>0.46451612903225808</v>
      </c>
      <c r="H12" s="341"/>
      <c r="I12" s="341"/>
      <c r="J12" s="341">
        <f>IFERROR(J11/J5,"")</f>
        <v>0.47166666666666668</v>
      </c>
      <c r="K12" s="341"/>
      <c r="L12" s="341"/>
      <c r="M12" s="341">
        <f>IFERROR(M11/M5,"")</f>
        <v>0.46481178396072015</v>
      </c>
      <c r="N12" s="341"/>
      <c r="O12" s="341"/>
      <c r="P12" s="341" t="str">
        <f ca="1">IFERROR(P11/P5,"")</f>
        <v/>
      </c>
      <c r="Q12" s="341"/>
      <c r="R12" s="341"/>
      <c r="S12" s="341" t="str">
        <f ca="1">IFERROR(S11/S5,"")</f>
        <v/>
      </c>
      <c r="T12" s="341"/>
      <c r="U12" s="341"/>
      <c r="V12" s="341" t="str">
        <f t="shared" ref="V12" ca="1" si="16">IFERROR(V11/V5,"")</f>
        <v/>
      </c>
      <c r="W12" s="341"/>
      <c r="X12" s="341"/>
      <c r="Y12" s="341" t="str">
        <f t="shared" ref="Y12" ca="1" si="17">IFERROR(Y11/Y5,"")</f>
        <v/>
      </c>
      <c r="Z12" s="341"/>
      <c r="AA12" s="341"/>
      <c r="AC12" s="862"/>
      <c r="AD12" s="862"/>
      <c r="AE12" s="862"/>
      <c r="AF12" s="862"/>
      <c r="AG12" s="862"/>
      <c r="AH12" s="862"/>
      <c r="AI12" s="862"/>
      <c r="AJ12" s="862"/>
      <c r="AK12" s="863"/>
      <c r="AL12" s="863"/>
      <c r="AM12" s="233"/>
      <c r="AN12" s="862"/>
      <c r="AO12" s="862"/>
      <c r="AP12" s="862"/>
      <c r="AQ12" s="862"/>
      <c r="AR12" s="862"/>
      <c r="AS12" s="862"/>
      <c r="AT12" s="862"/>
      <c r="AU12" s="862"/>
      <c r="AV12" s="862"/>
      <c r="AW12" s="862"/>
      <c r="AX12" s="862"/>
      <c r="AY12" s="862"/>
      <c r="AZ12" s="862"/>
      <c r="BA12" s="862"/>
      <c r="BB12" s="862"/>
      <c r="BE12" s="187">
        <v>10</v>
      </c>
      <c r="BF12" s="317" t="s">
        <v>596</v>
      </c>
      <c r="BG12" s="317"/>
      <c r="BH12" s="317" t="s">
        <v>607</v>
      </c>
      <c r="BI12" s="317"/>
      <c r="BJ12" s="317"/>
      <c r="BK12" s="318"/>
      <c r="BL12" s="215"/>
      <c r="BM12" s="209"/>
      <c r="BN12" s="209"/>
      <c r="BO12" s="209"/>
      <c r="BP12" s="209"/>
      <c r="BQ12" s="210"/>
      <c r="BR12" s="319" t="s">
        <v>595</v>
      </c>
      <c r="BS12" s="317"/>
      <c r="BT12" s="317"/>
      <c r="BU12" s="320"/>
      <c r="BW12" s="285" t="b">
        <v>0</v>
      </c>
      <c r="BX12" s="192" t="s">
        <v>77</v>
      </c>
      <c r="BY12" s="178"/>
      <c r="BZ12" s="178"/>
      <c r="CA12" s="178"/>
      <c r="CB12" s="178"/>
      <c r="CC12" s="193"/>
      <c r="CD12" s="193"/>
      <c r="CE12" s="193"/>
      <c r="CF12" s="178"/>
      <c r="CG12" s="178"/>
      <c r="CH12" s="178"/>
      <c r="CJ12" s="262" t="s">
        <v>906</v>
      </c>
      <c r="CK12" s="233">
        <v>4</v>
      </c>
      <c r="CL12" s="233">
        <v>60</v>
      </c>
      <c r="CM12" s="861"/>
    </row>
    <row r="13" spans="1:100" ht="22.5" customHeight="1">
      <c r="B13" s="335" t="s">
        <v>47</v>
      </c>
      <c r="C13" s="336"/>
      <c r="D13" s="336"/>
      <c r="E13" s="336"/>
      <c r="F13" s="337"/>
      <c r="G13" s="361">
        <f ca="1">IFERROR(INDEX(INDIRECT("'"&amp;G$3&amp;"'!M:M"),MATCH($D$1,INDIRECT("'"&amp;G$3&amp;"'!A:A"),0)),"")</f>
        <v>0</v>
      </c>
      <c r="H13" s="361"/>
      <c r="I13" s="361"/>
      <c r="J13" s="361" t="str">
        <f ca="1">IFERROR(INDEX(INDIRECT("'"&amp;J$3&amp;"'!M:M"),MATCH($D$1,INDIRECT("'"&amp;J$3&amp;"'!A:A"),0)),"")</f>
        <v/>
      </c>
      <c r="K13" s="361"/>
      <c r="L13" s="361"/>
      <c r="M13" s="361" t="str">
        <f ca="1">IFERROR(INDEX(INDIRECT("'"&amp;M$3&amp;"'!M:M"),MATCH($D$1,INDIRECT("'"&amp;M$3&amp;"'!A:A"),0)),"")</f>
        <v/>
      </c>
      <c r="N13" s="361"/>
      <c r="O13" s="361"/>
      <c r="P13" s="361" t="str">
        <f ca="1">IFERROR(INDEX(INDIRECT("'"&amp;P$3&amp;"'!M:M"),MATCH($D$1,INDIRECT("'"&amp;P$3&amp;"'!A:A"),0)),"")</f>
        <v/>
      </c>
      <c r="Q13" s="361"/>
      <c r="R13" s="361"/>
      <c r="S13" s="361" t="str">
        <f ca="1">IFERROR(INDEX(INDIRECT("'"&amp;S$3&amp;"'!M:M"),MATCH($D$1,INDIRECT("'"&amp;S$3&amp;"'!A:A"),0)),"")</f>
        <v/>
      </c>
      <c r="T13" s="361"/>
      <c r="U13" s="361"/>
      <c r="V13" s="361" t="str">
        <f t="shared" ref="V13" ca="1" si="18">IFERROR(INDEX(INDIRECT("'"&amp;V$3&amp;"'!M:M"),MATCH($D$1,INDIRECT("'"&amp;V$3&amp;"'!A:A"),0)),"")</f>
        <v/>
      </c>
      <c r="W13" s="361"/>
      <c r="X13" s="361"/>
      <c r="Y13" s="361" t="str">
        <f t="shared" ref="Y13" ca="1" si="19">IFERROR(INDEX(INDIRECT("'"&amp;Y$3&amp;"'!M:M"),MATCH($D$1,INDIRECT("'"&amp;Y$3&amp;"'!A:A"),0)),"")</f>
        <v/>
      </c>
      <c r="Z13" s="361"/>
      <c r="AA13" s="361"/>
      <c r="AC13" s="862"/>
      <c r="AD13" s="862"/>
      <c r="AE13" s="862"/>
      <c r="AF13" s="862"/>
      <c r="AG13" s="862"/>
      <c r="AH13" s="862"/>
      <c r="AI13" s="862"/>
      <c r="AJ13" s="862"/>
      <c r="AK13" s="863"/>
      <c r="AL13" s="863"/>
      <c r="AM13" s="233"/>
      <c r="AN13" s="862"/>
      <c r="AO13" s="862"/>
      <c r="AP13" s="862"/>
      <c r="AQ13" s="862"/>
      <c r="AR13" s="862"/>
      <c r="AS13" s="862"/>
      <c r="AT13" s="862"/>
      <c r="AU13" s="862"/>
      <c r="AV13" s="862"/>
      <c r="AW13" s="862"/>
      <c r="AX13" s="862"/>
      <c r="AY13" s="862"/>
      <c r="AZ13" s="862"/>
      <c r="BA13" s="862"/>
      <c r="BB13" s="862"/>
      <c r="BE13" s="187">
        <v>11</v>
      </c>
      <c r="BF13" s="317" t="s">
        <v>594</v>
      </c>
      <c r="BG13" s="317"/>
      <c r="BH13" s="317" t="s">
        <v>608</v>
      </c>
      <c r="BI13" s="317"/>
      <c r="BJ13" s="317"/>
      <c r="BK13" s="318"/>
      <c r="BL13" s="209" t="s">
        <v>724</v>
      </c>
      <c r="BM13" s="209" t="s">
        <v>724</v>
      </c>
      <c r="BN13" s="209" t="s">
        <v>724</v>
      </c>
      <c r="BO13" s="209"/>
      <c r="BP13" s="209"/>
      <c r="BQ13" s="210"/>
      <c r="BR13" s="362" t="s">
        <v>595</v>
      </c>
      <c r="BS13" s="319"/>
      <c r="BT13" s="317"/>
      <c r="BU13" s="320"/>
      <c r="BW13" s="285" t="b">
        <v>0</v>
      </c>
      <c r="BX13" s="192" t="s">
        <v>78</v>
      </c>
      <c r="BY13" s="178"/>
      <c r="BZ13" s="178"/>
      <c r="CA13" s="178"/>
      <c r="CB13" s="178"/>
      <c r="CC13" s="193"/>
      <c r="CD13" s="193"/>
      <c r="CE13" s="193"/>
      <c r="CF13" s="178"/>
      <c r="CG13" s="178"/>
      <c r="CH13" s="178"/>
      <c r="CJ13" s="262" t="s">
        <v>906</v>
      </c>
      <c r="CK13" s="233">
        <v>3</v>
      </c>
      <c r="CL13" s="233">
        <v>210</v>
      </c>
      <c r="CM13" s="861"/>
    </row>
    <row r="14" spans="1:100" ht="22.5" customHeight="1" thickBot="1">
      <c r="A14" s="201" t="s">
        <v>251</v>
      </c>
      <c r="B14" s="363" t="s">
        <v>227</v>
      </c>
      <c r="C14" s="364"/>
      <c r="D14" s="364"/>
      <c r="E14" s="364"/>
      <c r="F14" s="365"/>
      <c r="G14" s="366"/>
      <c r="H14" s="366"/>
      <c r="I14" s="366"/>
      <c r="J14" s="366"/>
      <c r="K14" s="366"/>
      <c r="L14" s="366"/>
      <c r="M14" s="366"/>
      <c r="N14" s="366"/>
      <c r="O14" s="366"/>
      <c r="P14" s="366"/>
      <c r="Q14" s="366"/>
      <c r="R14" s="366"/>
      <c r="S14" s="366"/>
      <c r="T14" s="366"/>
      <c r="U14" s="366"/>
      <c r="V14" s="366"/>
      <c r="W14" s="366"/>
      <c r="X14" s="366"/>
      <c r="Y14" s="366"/>
      <c r="Z14" s="366"/>
      <c r="AA14" s="366"/>
      <c r="AC14" s="367"/>
      <c r="AD14" s="368"/>
      <c r="AE14" s="368"/>
      <c r="AF14" s="368"/>
      <c r="AG14" s="368"/>
      <c r="AH14" s="368"/>
      <c r="AI14" s="368"/>
      <c r="AJ14" s="369"/>
      <c r="AK14" s="370"/>
      <c r="AL14" s="371"/>
      <c r="AM14" s="204"/>
      <c r="AN14" s="372"/>
      <c r="AO14" s="368"/>
      <c r="AP14" s="368"/>
      <c r="AQ14" s="368"/>
      <c r="AR14" s="368"/>
      <c r="AS14" s="368"/>
      <c r="AT14" s="368"/>
      <c r="AU14" s="368"/>
      <c r="AV14" s="368"/>
      <c r="AW14" s="368"/>
      <c r="AX14" s="368"/>
      <c r="AY14" s="368"/>
      <c r="AZ14" s="368"/>
      <c r="BA14" s="368"/>
      <c r="BB14" s="373"/>
      <c r="BE14" s="187">
        <v>12</v>
      </c>
      <c r="BF14" s="317" t="s">
        <v>596</v>
      </c>
      <c r="BG14" s="317"/>
      <c r="BH14" s="317" t="s">
        <v>609</v>
      </c>
      <c r="BI14" s="317"/>
      <c r="BJ14" s="317"/>
      <c r="BK14" s="318"/>
      <c r="BL14" s="215"/>
      <c r="BM14" s="209"/>
      <c r="BN14" s="209"/>
      <c r="BO14" s="209"/>
      <c r="BP14" s="209"/>
      <c r="BQ14" s="210"/>
      <c r="BR14" s="362"/>
      <c r="BS14" s="319"/>
      <c r="BT14" s="317"/>
      <c r="BU14" s="320"/>
      <c r="BW14" s="285" t="b">
        <v>0</v>
      </c>
      <c r="BX14" s="192" t="s">
        <v>79</v>
      </c>
      <c r="BY14" s="178"/>
      <c r="BZ14" s="178"/>
      <c r="CA14" s="178"/>
      <c r="CB14" s="178"/>
      <c r="CC14" s="178"/>
      <c r="CD14" s="178"/>
      <c r="CE14" s="178"/>
      <c r="CF14" s="178"/>
      <c r="CG14" s="178"/>
      <c r="CH14" s="178"/>
      <c r="CJ14" s="262" t="s">
        <v>906</v>
      </c>
      <c r="CK14" s="233">
        <v>2</v>
      </c>
      <c r="CL14" s="233">
        <v>0</v>
      </c>
      <c r="CM14" s="861"/>
    </row>
    <row r="15" spans="1:100" ht="22.5" customHeight="1" thickTop="1">
      <c r="B15" s="739" t="s">
        <v>264</v>
      </c>
      <c r="C15" s="740"/>
      <c r="D15" s="740"/>
      <c r="E15" s="740"/>
      <c r="F15" s="741"/>
      <c r="G15" s="385">
        <f ca="1">IFERROR(INDEX(INDIRECT("'"&amp;G$3&amp;"'!X:X"),MATCH($D$1,INDIRECT("'"&amp;G$3&amp;"'!A:A"),0)),"")</f>
        <v>649082.72</v>
      </c>
      <c r="H15" s="385"/>
      <c r="I15" s="385"/>
      <c r="J15" s="385">
        <v>628228</v>
      </c>
      <c r="K15" s="385"/>
      <c r="L15" s="385"/>
      <c r="M15" s="385">
        <v>640051</v>
      </c>
      <c r="N15" s="385"/>
      <c r="O15" s="385"/>
      <c r="P15" s="385" t="str">
        <f ca="1">IFERROR(INDEX(INDIRECT("'"&amp;P$3&amp;"'!X:X"),MATCH($D$1,INDIRECT("'"&amp;P$3&amp;"'!A:A"),0)),"")</f>
        <v/>
      </c>
      <c r="Q15" s="385"/>
      <c r="R15" s="385"/>
      <c r="S15" s="385" t="str">
        <f ca="1">IFERROR(INDEX(INDIRECT("'"&amp;S$3&amp;"'!X:X"),MATCH($D$1,INDIRECT("'"&amp;S$3&amp;"'!A:A"),0)),"")</f>
        <v/>
      </c>
      <c r="T15" s="385"/>
      <c r="U15" s="385"/>
      <c r="V15" s="386" t="s">
        <v>266</v>
      </c>
      <c r="W15" s="387"/>
      <c r="X15" s="388">
        <f ca="1">AVERAGE(G15:U15)</f>
        <v>639120.57333333336</v>
      </c>
      <c r="Y15" s="388"/>
      <c r="Z15" s="388"/>
      <c r="AA15" s="389"/>
      <c r="AB15" s="162"/>
      <c r="BE15" s="187">
        <v>13</v>
      </c>
      <c r="BF15" s="317" t="s">
        <v>596</v>
      </c>
      <c r="BG15" s="317"/>
      <c r="BH15" s="317" t="s">
        <v>610</v>
      </c>
      <c r="BI15" s="317"/>
      <c r="BJ15" s="317"/>
      <c r="BK15" s="318"/>
      <c r="BL15" s="215"/>
      <c r="BM15" s="209"/>
      <c r="BN15" s="209"/>
      <c r="BO15" s="209"/>
      <c r="BP15" s="209"/>
      <c r="BQ15" s="210"/>
      <c r="BR15" s="362" t="s">
        <v>595</v>
      </c>
      <c r="BS15" s="319"/>
      <c r="BT15" s="317"/>
      <c r="BU15" s="320"/>
      <c r="BW15" s="285" t="b">
        <v>0</v>
      </c>
      <c r="BX15" s="192" t="s">
        <v>80</v>
      </c>
      <c r="BY15" s="178"/>
      <c r="BZ15" s="178"/>
      <c r="CA15" s="178"/>
      <c r="CB15" s="178"/>
      <c r="CC15" s="178"/>
      <c r="CD15" s="178"/>
      <c r="CE15" s="178"/>
      <c r="CF15" s="178"/>
      <c r="CG15" s="178"/>
      <c r="CH15" s="178"/>
      <c r="CJ15" s="262" t="s">
        <v>906</v>
      </c>
      <c r="CK15" s="233">
        <v>1</v>
      </c>
      <c r="CL15" s="233">
        <v>0</v>
      </c>
      <c r="CM15" s="861"/>
    </row>
    <row r="16" spans="1:100" s="164" customFormat="1" ht="22.5" customHeight="1">
      <c r="B16" s="164">
        <v>30</v>
      </c>
      <c r="V16" s="220"/>
      <c r="W16" s="220"/>
      <c r="X16" s="220"/>
      <c r="Y16" s="220"/>
      <c r="Z16" s="220"/>
      <c r="AA16" s="220"/>
      <c r="AB16" s="162"/>
      <c r="AC16" s="374" t="s">
        <v>236</v>
      </c>
      <c r="AD16" s="375"/>
      <c r="AE16" s="375"/>
      <c r="AF16" s="375"/>
      <c r="AG16" s="375"/>
      <c r="AH16" s="375"/>
      <c r="AI16" s="375"/>
      <c r="AJ16" s="376"/>
      <c r="AK16" s="377" t="s">
        <v>254</v>
      </c>
      <c r="AL16" s="378"/>
      <c r="AM16" s="379"/>
      <c r="AN16" s="380" t="s">
        <v>27</v>
      </c>
      <c r="AO16" s="378"/>
      <c r="AP16" s="381"/>
      <c r="AQ16" s="377" t="s">
        <v>226</v>
      </c>
      <c r="AR16" s="378"/>
      <c r="AS16" s="379"/>
      <c r="AT16" s="380" t="s">
        <v>14</v>
      </c>
      <c r="AU16" s="378"/>
      <c r="AV16" s="381"/>
      <c r="AW16" s="377" t="s">
        <v>22</v>
      </c>
      <c r="AX16" s="378"/>
      <c r="AY16" s="379"/>
      <c r="AZ16" s="380" t="s">
        <v>1</v>
      </c>
      <c r="BA16" s="378"/>
      <c r="BB16" s="379"/>
      <c r="BE16" s="187">
        <v>14</v>
      </c>
      <c r="BF16" s="317" t="s">
        <v>594</v>
      </c>
      <c r="BG16" s="317"/>
      <c r="BH16" s="317" t="s">
        <v>611</v>
      </c>
      <c r="BI16" s="317"/>
      <c r="BJ16" s="317"/>
      <c r="BK16" s="318"/>
      <c r="BL16" s="209" t="s">
        <v>724</v>
      </c>
      <c r="BM16" s="209" t="s">
        <v>724</v>
      </c>
      <c r="BN16" s="209" t="s">
        <v>724</v>
      </c>
      <c r="BO16" s="209"/>
      <c r="BP16" s="209"/>
      <c r="BQ16" s="210"/>
      <c r="BR16" s="319"/>
      <c r="BS16" s="317"/>
      <c r="BT16" s="317"/>
      <c r="BU16" s="320"/>
      <c r="BW16" s="285" t="b">
        <v>0</v>
      </c>
      <c r="BX16" s="192" t="s">
        <v>81</v>
      </c>
      <c r="BY16" s="194"/>
      <c r="BZ16" s="194"/>
      <c r="CA16" s="194"/>
      <c r="CB16" s="194"/>
      <c r="CC16" s="194"/>
      <c r="CD16" s="194"/>
      <c r="CE16" s="194"/>
      <c r="CF16" s="194"/>
      <c r="CG16" s="194"/>
      <c r="CH16" s="194"/>
      <c r="CJ16" s="262" t="s">
        <v>906</v>
      </c>
      <c r="CK16" s="233" t="s">
        <v>904</v>
      </c>
      <c r="CL16" s="233">
        <v>0</v>
      </c>
      <c r="CM16" s="861"/>
    </row>
    <row r="17" spans="2:91" ht="22.5" customHeight="1">
      <c r="B17" s="850">
        <f ca="1">NOW()</f>
        <v>46202.751855324073</v>
      </c>
      <c r="C17" s="851"/>
      <c r="D17" s="851"/>
      <c r="E17" s="851"/>
      <c r="F17" s="852"/>
      <c r="G17" s="303" t="s">
        <v>777</v>
      </c>
      <c r="H17" s="304"/>
      <c r="I17" s="305"/>
      <c r="J17" s="303" t="s">
        <v>778</v>
      </c>
      <c r="K17" s="304"/>
      <c r="L17" s="305"/>
      <c r="M17" s="303" t="s">
        <v>779</v>
      </c>
      <c r="N17" s="304"/>
      <c r="O17" s="305"/>
      <c r="P17" s="303" t="s">
        <v>780</v>
      </c>
      <c r="Q17" s="304"/>
      <c r="R17" s="305"/>
      <c r="S17" s="303" t="s">
        <v>781</v>
      </c>
      <c r="T17" s="304"/>
      <c r="U17" s="305"/>
      <c r="V17" s="303" t="s">
        <v>782</v>
      </c>
      <c r="W17" s="304"/>
      <c r="X17" s="305"/>
      <c r="AB17" s="165"/>
      <c r="AC17" s="864" t="s">
        <v>234</v>
      </c>
      <c r="AD17" s="865"/>
      <c r="AE17" s="865"/>
      <c r="AF17" s="866"/>
      <c r="AG17" s="398" t="s">
        <v>262</v>
      </c>
      <c r="AH17" s="399"/>
      <c r="AI17" s="399"/>
      <c r="AJ17" s="400"/>
      <c r="AK17" s="401">
        <v>10</v>
      </c>
      <c r="AL17" s="402"/>
      <c r="AM17" s="403"/>
      <c r="AN17" s="404">
        <v>10.199999999999999</v>
      </c>
      <c r="AO17" s="402"/>
      <c r="AP17" s="405"/>
      <c r="AQ17" s="401">
        <v>10.199999999999999</v>
      </c>
      <c r="AR17" s="402"/>
      <c r="AS17" s="403"/>
      <c r="AT17" s="404">
        <v>10.199999999999999</v>
      </c>
      <c r="AU17" s="402"/>
      <c r="AV17" s="405"/>
      <c r="AW17" s="401"/>
      <c r="AX17" s="402"/>
      <c r="AY17" s="403"/>
      <c r="AZ17" s="404"/>
      <c r="BA17" s="402"/>
      <c r="BB17" s="403"/>
      <c r="BE17" s="187">
        <v>15</v>
      </c>
      <c r="BF17" s="317" t="s">
        <v>596</v>
      </c>
      <c r="BG17" s="317"/>
      <c r="BH17" s="317" t="s">
        <v>612</v>
      </c>
      <c r="BI17" s="317"/>
      <c r="BJ17" s="317"/>
      <c r="BK17" s="318"/>
      <c r="BL17" s="215"/>
      <c r="BM17" s="209"/>
      <c r="BN17" s="209"/>
      <c r="BO17" s="209"/>
      <c r="BP17" s="209"/>
      <c r="BQ17" s="210"/>
      <c r="BR17" s="319" t="s">
        <v>595</v>
      </c>
      <c r="BS17" s="317"/>
      <c r="BT17" s="317"/>
      <c r="BU17" s="320"/>
      <c r="BX17" s="178"/>
      <c r="BY17" s="178"/>
      <c r="BZ17" s="178"/>
      <c r="CA17" s="178"/>
      <c r="CB17" s="178"/>
      <c r="CC17" s="178"/>
      <c r="CD17" s="178"/>
      <c r="CE17" s="178"/>
      <c r="CF17" s="178"/>
      <c r="CG17" s="178"/>
      <c r="CH17" s="178"/>
      <c r="CJ17" s="262" t="s">
        <v>907</v>
      </c>
      <c r="CK17" s="233">
        <v>6</v>
      </c>
      <c r="CL17" s="233">
        <v>60</v>
      </c>
      <c r="CM17" s="861"/>
    </row>
    <row r="18" spans="2:91" ht="22.5" customHeight="1">
      <c r="B18" s="335" t="s">
        <v>32</v>
      </c>
      <c r="C18" s="336"/>
      <c r="D18" s="336"/>
      <c r="E18" s="336"/>
      <c r="F18" s="337"/>
      <c r="G18" s="321">
        <v>20</v>
      </c>
      <c r="H18" s="321"/>
      <c r="I18" s="321"/>
      <c r="J18" s="321">
        <v>20</v>
      </c>
      <c r="K18" s="321"/>
      <c r="L18" s="321"/>
      <c r="M18" s="321">
        <v>20</v>
      </c>
      <c r="N18" s="321"/>
      <c r="O18" s="321"/>
      <c r="P18" s="321">
        <v>20</v>
      </c>
      <c r="Q18" s="321"/>
      <c r="R18" s="321"/>
      <c r="S18" s="321"/>
      <c r="T18" s="321"/>
      <c r="U18" s="321"/>
      <c r="V18" s="782"/>
      <c r="W18" s="782"/>
      <c r="X18" s="782"/>
      <c r="AB18" s="162"/>
      <c r="AC18" s="867"/>
      <c r="AD18" s="868"/>
      <c r="AE18" s="868"/>
      <c r="AF18" s="869"/>
      <c r="AG18" s="407" t="s">
        <v>50</v>
      </c>
      <c r="AH18" s="408"/>
      <c r="AI18" s="408"/>
      <c r="AJ18" s="409"/>
      <c r="AK18" s="410">
        <f>240/160</f>
        <v>1.5</v>
      </c>
      <c r="AL18" s="411"/>
      <c r="AM18" s="412"/>
      <c r="AN18" s="413">
        <v>1.38</v>
      </c>
      <c r="AO18" s="411"/>
      <c r="AP18" s="414"/>
      <c r="AQ18" s="410">
        <v>1.6</v>
      </c>
      <c r="AR18" s="411"/>
      <c r="AS18" s="412"/>
      <c r="AT18" s="413">
        <v>1.26</v>
      </c>
      <c r="AU18" s="411"/>
      <c r="AV18" s="414"/>
      <c r="AW18" s="410"/>
      <c r="AX18" s="411"/>
      <c r="AY18" s="412"/>
      <c r="AZ18" s="413"/>
      <c r="BA18" s="411"/>
      <c r="BB18" s="412"/>
      <c r="BE18" s="187">
        <v>16</v>
      </c>
      <c r="BF18" s="317" t="s">
        <v>594</v>
      </c>
      <c r="BG18" s="317"/>
      <c r="BH18" s="317" t="s">
        <v>711</v>
      </c>
      <c r="BI18" s="317"/>
      <c r="BJ18" s="317"/>
      <c r="BK18" s="318"/>
      <c r="BL18" s="215"/>
      <c r="BM18" s="209"/>
      <c r="BN18" s="209"/>
      <c r="BO18" s="209"/>
      <c r="BP18" s="209"/>
      <c r="BQ18" s="210"/>
      <c r="BR18" s="319"/>
      <c r="BS18" s="317"/>
      <c r="BT18" s="317"/>
      <c r="BU18" s="320"/>
      <c r="BW18" s="181" t="s">
        <v>949</v>
      </c>
      <c r="BX18" s="179"/>
      <c r="BY18" s="179"/>
      <c r="BZ18" s="179"/>
      <c r="CA18" s="179"/>
      <c r="CB18" s="179"/>
      <c r="CC18" s="179"/>
      <c r="CD18" s="179"/>
      <c r="CE18" s="179"/>
      <c r="CF18" s="179"/>
      <c r="CG18" s="179"/>
      <c r="CH18" s="179"/>
      <c r="CJ18" s="262" t="s">
        <v>907</v>
      </c>
      <c r="CK18" s="233">
        <v>5</v>
      </c>
      <c r="CL18" s="233">
        <v>30</v>
      </c>
      <c r="CM18" s="861"/>
    </row>
    <row r="19" spans="2:91" ht="22.5" customHeight="1">
      <c r="B19" s="858" t="s">
        <v>225</v>
      </c>
      <c r="C19" s="775"/>
      <c r="D19" s="775"/>
      <c r="E19" s="775"/>
      <c r="F19" s="859"/>
      <c r="G19" s="334">
        <v>600</v>
      </c>
      <c r="H19" s="334"/>
      <c r="I19" s="334"/>
      <c r="J19" s="334">
        <v>600</v>
      </c>
      <c r="K19" s="334"/>
      <c r="L19" s="334"/>
      <c r="M19" s="334">
        <v>600</v>
      </c>
      <c r="N19" s="334"/>
      <c r="O19" s="334"/>
      <c r="P19" s="334">
        <v>600</v>
      </c>
      <c r="Q19" s="334"/>
      <c r="R19" s="334"/>
      <c r="S19" s="334"/>
      <c r="T19" s="334"/>
      <c r="U19" s="334"/>
      <c r="V19" s="784"/>
      <c r="W19" s="784"/>
      <c r="X19" s="784"/>
      <c r="AB19" s="162"/>
      <c r="AC19" s="446">
        <v>10.199999999999999</v>
      </c>
      <c r="AD19" s="447"/>
      <c r="AE19" s="447"/>
      <c r="AF19" s="448"/>
      <c r="AG19" s="452" t="s">
        <v>51</v>
      </c>
      <c r="AH19" s="453"/>
      <c r="AI19" s="453"/>
      <c r="AJ19" s="454"/>
      <c r="AK19" s="421">
        <f>54/160</f>
        <v>0.33750000000000002</v>
      </c>
      <c r="AL19" s="416"/>
      <c r="AM19" s="417"/>
      <c r="AN19" s="415">
        <v>0.1</v>
      </c>
      <c r="AO19" s="416"/>
      <c r="AP19" s="442"/>
      <c r="AQ19" s="421">
        <v>0.17</v>
      </c>
      <c r="AR19" s="416"/>
      <c r="AS19" s="417"/>
      <c r="AT19" s="415">
        <v>0.1</v>
      </c>
      <c r="AU19" s="416"/>
      <c r="AV19" s="442"/>
      <c r="AW19" s="421"/>
      <c r="AX19" s="416"/>
      <c r="AY19" s="417"/>
      <c r="AZ19" s="415"/>
      <c r="BA19" s="416"/>
      <c r="BB19" s="417"/>
      <c r="BE19" s="187">
        <v>17</v>
      </c>
      <c r="BF19" s="317" t="s">
        <v>594</v>
      </c>
      <c r="BG19" s="317"/>
      <c r="BH19" s="317" t="s">
        <v>712</v>
      </c>
      <c r="BI19" s="317"/>
      <c r="BJ19" s="317"/>
      <c r="BK19" s="318"/>
      <c r="BL19" s="215"/>
      <c r="BM19" s="209"/>
      <c r="BN19" s="209"/>
      <c r="BO19" s="209"/>
      <c r="BP19" s="209"/>
      <c r="BQ19" s="210"/>
      <c r="BR19" s="319"/>
      <c r="BS19" s="317"/>
      <c r="BT19" s="317"/>
      <c r="BU19" s="320"/>
      <c r="BW19" s="285" t="b">
        <v>0</v>
      </c>
      <c r="BX19" s="178" t="s">
        <v>100</v>
      </c>
      <c r="BY19" s="178"/>
      <c r="BZ19" s="178"/>
      <c r="CA19" s="178"/>
      <c r="CB19" s="178"/>
      <c r="CC19" s="178"/>
      <c r="CD19" s="178"/>
      <c r="CE19" s="178"/>
      <c r="CF19" s="178"/>
      <c r="CG19" s="178"/>
      <c r="CH19" s="178"/>
      <c r="CJ19" s="262" t="s">
        <v>907</v>
      </c>
      <c r="CK19" s="233">
        <v>4</v>
      </c>
      <c r="CL19" s="233">
        <v>90</v>
      </c>
      <c r="CM19" s="861"/>
    </row>
    <row r="20" spans="2:91" ht="22.5" customHeight="1">
      <c r="B20" s="338" t="s">
        <v>33</v>
      </c>
      <c r="C20" s="339"/>
      <c r="D20" s="339"/>
      <c r="E20" s="339"/>
      <c r="F20" s="340"/>
      <c r="G20" s="341">
        <f>G19/(B16*20)</f>
        <v>1</v>
      </c>
      <c r="H20" s="341"/>
      <c r="I20" s="341"/>
      <c r="J20" s="341">
        <f>J19/(B16*20)</f>
        <v>1</v>
      </c>
      <c r="K20" s="341"/>
      <c r="L20" s="341"/>
      <c r="M20" s="341">
        <v>1</v>
      </c>
      <c r="N20" s="341"/>
      <c r="O20" s="341"/>
      <c r="P20" s="341">
        <v>1</v>
      </c>
      <c r="Q20" s="341"/>
      <c r="R20" s="341"/>
      <c r="S20" s="341"/>
      <c r="T20" s="341"/>
      <c r="U20" s="341"/>
      <c r="V20" s="786"/>
      <c r="W20" s="786"/>
      <c r="X20" s="786"/>
      <c r="AB20" s="162"/>
      <c r="AC20" s="446"/>
      <c r="AD20" s="447"/>
      <c r="AE20" s="447"/>
      <c r="AF20" s="448"/>
      <c r="AG20" s="439" t="s">
        <v>232</v>
      </c>
      <c r="AH20" s="440"/>
      <c r="AI20" s="440"/>
      <c r="AJ20" s="441"/>
      <c r="AK20" s="410">
        <v>0</v>
      </c>
      <c r="AL20" s="411"/>
      <c r="AM20" s="412"/>
      <c r="AN20" s="413">
        <v>0</v>
      </c>
      <c r="AO20" s="411"/>
      <c r="AP20" s="414"/>
      <c r="AQ20" s="410">
        <v>0</v>
      </c>
      <c r="AR20" s="411"/>
      <c r="AS20" s="412"/>
      <c r="AT20" s="413">
        <v>0</v>
      </c>
      <c r="AU20" s="411"/>
      <c r="AV20" s="414"/>
      <c r="AW20" s="410"/>
      <c r="AX20" s="411"/>
      <c r="AY20" s="412"/>
      <c r="AZ20" s="413"/>
      <c r="BA20" s="411"/>
      <c r="BB20" s="412"/>
      <c r="BE20" s="187">
        <v>18</v>
      </c>
      <c r="BF20" s="317" t="s">
        <v>596</v>
      </c>
      <c r="BG20" s="317"/>
      <c r="BH20" s="317" t="s">
        <v>613</v>
      </c>
      <c r="BI20" s="317"/>
      <c r="BJ20" s="317"/>
      <c r="BK20" s="318"/>
      <c r="BL20" s="215"/>
      <c r="BM20" s="209"/>
      <c r="BN20" s="209"/>
      <c r="BO20" s="209"/>
      <c r="BP20" s="209"/>
      <c r="BQ20" s="210"/>
      <c r="BR20" s="319"/>
      <c r="BS20" s="317"/>
      <c r="BT20" s="317"/>
      <c r="BU20" s="320"/>
      <c r="BW20" s="285" t="b">
        <v>0</v>
      </c>
      <c r="BX20" s="178" t="s">
        <v>98</v>
      </c>
      <c r="BY20" s="178"/>
      <c r="BZ20" s="178"/>
      <c r="CA20" s="194"/>
      <c r="CB20" s="193"/>
      <c r="CC20" s="178"/>
      <c r="CD20" s="178"/>
      <c r="CE20" s="178"/>
      <c r="CF20" s="178"/>
      <c r="CG20" s="178"/>
      <c r="CH20" s="178"/>
      <c r="CJ20" s="262" t="s">
        <v>907</v>
      </c>
      <c r="CK20" s="233">
        <v>3</v>
      </c>
      <c r="CL20" s="233">
        <v>120</v>
      </c>
      <c r="CM20" s="861"/>
    </row>
    <row r="21" spans="2:91" ht="22.5" customHeight="1" thickBot="1">
      <c r="B21" s="858" t="s">
        <v>783</v>
      </c>
      <c r="C21" s="775"/>
      <c r="D21" s="775"/>
      <c r="E21" s="775"/>
      <c r="F21" s="859"/>
      <c r="G21" s="334">
        <v>600</v>
      </c>
      <c r="H21" s="334"/>
      <c r="I21" s="334"/>
      <c r="J21" s="334">
        <v>600</v>
      </c>
      <c r="K21" s="334"/>
      <c r="L21" s="334"/>
      <c r="M21" s="860">
        <v>600</v>
      </c>
      <c r="N21" s="860"/>
      <c r="O21" s="860"/>
      <c r="P21" s="860">
        <v>600</v>
      </c>
      <c r="Q21" s="860"/>
      <c r="R21" s="860"/>
      <c r="S21" s="860"/>
      <c r="T21" s="860"/>
      <c r="U21" s="860"/>
      <c r="V21" s="786"/>
      <c r="W21" s="786"/>
      <c r="X21" s="786"/>
      <c r="AB21" s="162"/>
      <c r="AC21" s="446"/>
      <c r="AD21" s="447"/>
      <c r="AE21" s="447"/>
      <c r="AF21" s="448"/>
      <c r="AG21" s="443" t="s">
        <v>233</v>
      </c>
      <c r="AH21" s="444"/>
      <c r="AI21" s="444"/>
      <c r="AJ21" s="445"/>
      <c r="AK21" s="421">
        <f>345/160</f>
        <v>2.15625</v>
      </c>
      <c r="AL21" s="416"/>
      <c r="AM21" s="417"/>
      <c r="AN21" s="415">
        <v>1.8</v>
      </c>
      <c r="AO21" s="416"/>
      <c r="AP21" s="442"/>
      <c r="AQ21" s="421">
        <v>1.69</v>
      </c>
      <c r="AR21" s="416"/>
      <c r="AS21" s="417"/>
      <c r="AT21" s="415">
        <v>1.08</v>
      </c>
      <c r="AU21" s="416"/>
      <c r="AV21" s="442"/>
      <c r="AW21" s="421"/>
      <c r="AX21" s="416"/>
      <c r="AY21" s="417"/>
      <c r="AZ21" s="415"/>
      <c r="BA21" s="416"/>
      <c r="BB21" s="417"/>
      <c r="BE21" s="187">
        <v>19</v>
      </c>
      <c r="BF21" s="317" t="s">
        <v>596</v>
      </c>
      <c r="BG21" s="317"/>
      <c r="BH21" s="317" t="s">
        <v>614</v>
      </c>
      <c r="BI21" s="317"/>
      <c r="BJ21" s="317"/>
      <c r="BK21" s="318"/>
      <c r="BL21" s="215"/>
      <c r="BM21" s="209"/>
      <c r="BN21" s="209"/>
      <c r="BO21" s="209"/>
      <c r="BP21" s="209"/>
      <c r="BQ21" s="210"/>
      <c r="BR21" s="319" t="s">
        <v>595</v>
      </c>
      <c r="BS21" s="317"/>
      <c r="BT21" s="317"/>
      <c r="BU21" s="320"/>
      <c r="BW21" s="285" t="b">
        <v>0</v>
      </c>
      <c r="BX21" s="178" t="s">
        <v>99</v>
      </c>
      <c r="BY21" s="178"/>
      <c r="BZ21" s="178"/>
      <c r="CA21" s="194"/>
      <c r="CB21" s="193"/>
      <c r="CC21" s="178"/>
      <c r="CD21" s="178"/>
      <c r="CE21" s="178"/>
      <c r="CF21" s="178"/>
      <c r="CG21" s="178"/>
      <c r="CH21" s="178"/>
      <c r="CJ21" s="262" t="s">
        <v>907</v>
      </c>
      <c r="CK21" s="233">
        <v>2</v>
      </c>
      <c r="CL21" s="233">
        <v>0</v>
      </c>
      <c r="CM21" s="861"/>
    </row>
    <row r="22" spans="2:91" ht="22.5" customHeight="1" thickTop="1">
      <c r="B22" s="338" t="s">
        <v>784</v>
      </c>
      <c r="C22" s="339"/>
      <c r="D22" s="339"/>
      <c r="E22" s="339"/>
      <c r="F22" s="340"/>
      <c r="G22" s="341">
        <v>1</v>
      </c>
      <c r="H22" s="341"/>
      <c r="I22" s="341"/>
      <c r="J22" s="341">
        <v>1</v>
      </c>
      <c r="K22" s="341"/>
      <c r="L22" s="341"/>
      <c r="M22" s="341">
        <v>1</v>
      </c>
      <c r="N22" s="341"/>
      <c r="O22" s="341"/>
      <c r="P22" s="341">
        <v>1</v>
      </c>
      <c r="Q22" s="341"/>
      <c r="R22" s="341"/>
      <c r="S22" s="341"/>
      <c r="T22" s="341"/>
      <c r="U22" s="341"/>
      <c r="V22" s="786"/>
      <c r="W22" s="786"/>
      <c r="X22" s="786"/>
      <c r="AB22" s="162"/>
      <c r="AC22" s="449"/>
      <c r="AD22" s="450"/>
      <c r="AE22" s="450"/>
      <c r="AF22" s="451"/>
      <c r="AG22" s="418" t="s">
        <v>235</v>
      </c>
      <c r="AH22" s="419"/>
      <c r="AI22" s="419"/>
      <c r="AJ22" s="420"/>
      <c r="AK22" s="462">
        <f>IFERROR((AK20+AK21)/AK17,"")</f>
        <v>0.21562500000000001</v>
      </c>
      <c r="AL22" s="463"/>
      <c r="AM22" s="464"/>
      <c r="AN22" s="462">
        <f>IFERROR((AN20+AN21)/AN17,"")</f>
        <v>0.17647058823529413</v>
      </c>
      <c r="AO22" s="463"/>
      <c r="AP22" s="464"/>
      <c r="AQ22" s="462">
        <f>IFERROR((AQ20+AQ21)/AQ17,"")</f>
        <v>0.16568627450980392</v>
      </c>
      <c r="AR22" s="463"/>
      <c r="AS22" s="464"/>
      <c r="AT22" s="462">
        <f>IFERROR((AT20+AT21)/AT17,"")</f>
        <v>0.10588235294117648</v>
      </c>
      <c r="AU22" s="463"/>
      <c r="AV22" s="464"/>
      <c r="AW22" s="462" t="str">
        <f>IFERROR((AW20+AW21)/AW17,"")</f>
        <v/>
      </c>
      <c r="AX22" s="463"/>
      <c r="AY22" s="464"/>
      <c r="AZ22" s="462" t="str">
        <f>IFERROR((AZ20+AZ21)/AZ17,"")</f>
        <v/>
      </c>
      <c r="BA22" s="463"/>
      <c r="BB22" s="464"/>
      <c r="BE22" s="187">
        <v>20</v>
      </c>
      <c r="BF22" s="317" t="s">
        <v>382</v>
      </c>
      <c r="BG22" s="317"/>
      <c r="BH22" s="317" t="s">
        <v>615</v>
      </c>
      <c r="BI22" s="317"/>
      <c r="BJ22" s="317"/>
      <c r="BK22" s="318"/>
      <c r="BL22" s="215"/>
      <c r="BM22" s="209"/>
      <c r="BN22" s="209"/>
      <c r="BO22" s="209"/>
      <c r="BP22" s="209"/>
      <c r="BQ22" s="210"/>
      <c r="BR22" s="319"/>
      <c r="BS22" s="317"/>
      <c r="BT22" s="317"/>
      <c r="BU22" s="320"/>
      <c r="BW22" s="285" t="b">
        <v>0</v>
      </c>
      <c r="BX22" s="192" t="s">
        <v>95</v>
      </c>
      <c r="BY22" s="178"/>
      <c r="BZ22" s="178"/>
      <c r="CA22" s="194"/>
      <c r="CB22" s="193"/>
      <c r="CC22" s="178"/>
      <c r="CD22" s="178"/>
      <c r="CE22" s="178"/>
      <c r="CF22" s="178"/>
      <c r="CG22" s="178"/>
      <c r="CH22" s="178"/>
      <c r="CJ22" s="262" t="s">
        <v>907</v>
      </c>
      <c r="CK22" s="233">
        <v>1</v>
      </c>
      <c r="CL22" s="233">
        <v>0</v>
      </c>
      <c r="CM22" s="861"/>
    </row>
    <row r="23" spans="2:91" ht="22.5" customHeight="1">
      <c r="B23" s="335" t="s">
        <v>224</v>
      </c>
      <c r="C23" s="336"/>
      <c r="D23" s="336"/>
      <c r="E23" s="336"/>
      <c r="F23" s="337"/>
      <c r="G23" s="321">
        <v>7</v>
      </c>
      <c r="H23" s="321"/>
      <c r="I23" s="321"/>
      <c r="J23" s="321">
        <v>11</v>
      </c>
      <c r="K23" s="321"/>
      <c r="L23" s="321"/>
      <c r="M23" s="321">
        <v>21</v>
      </c>
      <c r="N23" s="321"/>
      <c r="O23" s="321"/>
      <c r="P23" s="321">
        <v>21</v>
      </c>
      <c r="Q23" s="321"/>
      <c r="R23" s="321"/>
      <c r="S23" s="321" t="str">
        <f ca="1">IFERROR(INDEX(INDIRECT("'"&amp;S$3&amp;"'!L:L"),MATCH($D$1,INDIRECT("'"&amp;S$3&amp;"'!A:A"),0)),"")</f>
        <v/>
      </c>
      <c r="T23" s="321"/>
      <c r="U23" s="321"/>
      <c r="V23" s="782" t="str">
        <f ca="1">IFERROR(INDEX(INDIRECT("'"&amp;#REF!&amp;"'!L:L"),MATCH($D$1,INDIRECT("'"&amp;#REF!&amp;"'!A:A"),0)),"")</f>
        <v/>
      </c>
      <c r="W23" s="782"/>
      <c r="X23" s="782"/>
      <c r="AB23" s="162"/>
      <c r="BE23" s="187">
        <v>21</v>
      </c>
      <c r="BF23" s="317" t="s">
        <v>382</v>
      </c>
      <c r="BG23" s="317"/>
      <c r="BH23" s="317" t="s">
        <v>616</v>
      </c>
      <c r="BI23" s="317"/>
      <c r="BJ23" s="317"/>
      <c r="BK23" s="318"/>
      <c r="BL23" s="215"/>
      <c r="BM23" s="209"/>
      <c r="BN23" s="209"/>
      <c r="BO23" s="209"/>
      <c r="BP23" s="209"/>
      <c r="BQ23" s="210"/>
      <c r="BR23" s="319"/>
      <c r="BS23" s="317"/>
      <c r="BT23" s="317"/>
      <c r="BU23" s="320"/>
      <c r="BW23" s="285" t="b">
        <v>0</v>
      </c>
      <c r="BX23" s="192" t="s">
        <v>94</v>
      </c>
      <c r="BY23" s="178"/>
      <c r="BZ23" s="178"/>
      <c r="CA23" s="194"/>
      <c r="CB23" s="193"/>
      <c r="CC23" s="178"/>
      <c r="CD23" s="178"/>
      <c r="CE23" s="178"/>
      <c r="CF23" s="178"/>
      <c r="CG23" s="178"/>
      <c r="CH23" s="178"/>
      <c r="CJ23" s="262" t="s">
        <v>907</v>
      </c>
      <c r="CK23" s="233" t="s">
        <v>904</v>
      </c>
      <c r="CL23" s="233">
        <v>0</v>
      </c>
      <c r="CM23" s="861"/>
    </row>
    <row r="24" spans="2:91" ht="22.5" customHeight="1">
      <c r="B24" s="338" t="s">
        <v>34</v>
      </c>
      <c r="C24" s="339"/>
      <c r="D24" s="339"/>
      <c r="E24" s="339"/>
      <c r="F24" s="340"/>
      <c r="G24" s="341">
        <f>G23/30</f>
        <v>0.23333333333333334</v>
      </c>
      <c r="H24" s="341"/>
      <c r="I24" s="341"/>
      <c r="J24" s="341">
        <f>J23/30</f>
        <v>0.36666666666666664</v>
      </c>
      <c r="K24" s="341"/>
      <c r="L24" s="341"/>
      <c r="M24" s="341">
        <f>M23/30</f>
        <v>0.7</v>
      </c>
      <c r="N24" s="341"/>
      <c r="O24" s="341"/>
      <c r="P24" s="341">
        <f>P23/30</f>
        <v>0.7</v>
      </c>
      <c r="Q24" s="341"/>
      <c r="R24" s="341"/>
      <c r="S24" s="341"/>
      <c r="T24" s="341"/>
      <c r="U24" s="341"/>
      <c r="V24" s="786"/>
      <c r="W24" s="786"/>
      <c r="X24" s="786"/>
      <c r="AC24" s="182" t="s">
        <v>240</v>
      </c>
      <c r="AD24" s="182"/>
      <c r="AE24" s="182"/>
      <c r="AF24" s="182"/>
      <c r="AG24" s="182"/>
      <c r="AH24" s="182"/>
      <c r="AI24" s="183"/>
      <c r="AJ24" s="183"/>
      <c r="AK24" s="183"/>
      <c r="AL24" s="183"/>
      <c r="AM24" s="183"/>
      <c r="AN24" s="183"/>
      <c r="AO24" s="184"/>
      <c r="AP24" s="184"/>
      <c r="AQ24" s="184"/>
      <c r="AR24" s="184"/>
      <c r="AS24" s="185"/>
      <c r="AT24" s="185"/>
      <c r="AU24" s="185"/>
      <c r="AV24" s="185"/>
      <c r="AW24" s="186"/>
      <c r="AX24" s="186"/>
      <c r="AY24" s="186"/>
      <c r="AZ24" s="186"/>
      <c r="BA24" s="179"/>
      <c r="BB24" s="179"/>
      <c r="BE24" s="187">
        <v>22</v>
      </c>
      <c r="BF24" s="317" t="s">
        <v>382</v>
      </c>
      <c r="BG24" s="317"/>
      <c r="BH24" s="317" t="s">
        <v>617</v>
      </c>
      <c r="BI24" s="317"/>
      <c r="BJ24" s="317"/>
      <c r="BK24" s="318"/>
      <c r="BL24" s="215"/>
      <c r="BM24" s="209"/>
      <c r="BN24" s="209"/>
      <c r="BO24" s="209"/>
      <c r="BP24" s="209"/>
      <c r="BQ24" s="210"/>
      <c r="BR24" s="319"/>
      <c r="BS24" s="317"/>
      <c r="BT24" s="317"/>
      <c r="BU24" s="320"/>
      <c r="BW24" s="285" t="b">
        <v>0</v>
      </c>
      <c r="BX24" s="192" t="s">
        <v>93</v>
      </c>
      <c r="BY24" s="178"/>
      <c r="BZ24" s="178"/>
      <c r="CA24" s="194"/>
      <c r="CB24" s="193"/>
      <c r="CC24" s="178"/>
      <c r="CD24" s="178"/>
      <c r="CE24" s="178"/>
      <c r="CF24" s="178"/>
      <c r="CG24" s="178"/>
      <c r="CH24" s="178"/>
    </row>
    <row r="25" spans="2:91" ht="22.5" customHeight="1">
      <c r="B25" s="779"/>
      <c r="C25" s="779"/>
      <c r="D25" s="779"/>
      <c r="E25" s="779"/>
      <c r="F25" s="779"/>
      <c r="G25" s="780"/>
      <c r="H25" s="780"/>
      <c r="I25" s="780"/>
      <c r="J25" s="780"/>
      <c r="K25" s="780"/>
      <c r="L25" s="780"/>
      <c r="M25" s="780"/>
      <c r="N25" s="780"/>
      <c r="O25" s="780"/>
      <c r="P25" s="780"/>
      <c r="Q25" s="780"/>
      <c r="R25" s="780"/>
      <c r="S25" s="780"/>
      <c r="T25" s="780"/>
      <c r="U25" s="780"/>
      <c r="V25" s="713"/>
      <c r="W25" s="713"/>
      <c r="X25" s="713"/>
      <c r="AB25" s="167"/>
      <c r="AC25" s="473"/>
      <c r="AD25" s="474"/>
      <c r="AE25" s="377" t="s">
        <v>254</v>
      </c>
      <c r="AF25" s="378"/>
      <c r="AG25" s="378"/>
      <c r="AH25" s="379"/>
      <c r="AI25" s="380" t="s">
        <v>255</v>
      </c>
      <c r="AJ25" s="378"/>
      <c r="AK25" s="378"/>
      <c r="AL25" s="381"/>
      <c r="AM25" s="377" t="s">
        <v>58</v>
      </c>
      <c r="AN25" s="378"/>
      <c r="AO25" s="378"/>
      <c r="AP25" s="379"/>
      <c r="AQ25" s="380" t="s">
        <v>14</v>
      </c>
      <c r="AR25" s="378"/>
      <c r="AS25" s="378"/>
      <c r="AT25" s="381"/>
      <c r="AU25" s="377" t="s">
        <v>22</v>
      </c>
      <c r="AV25" s="378"/>
      <c r="AW25" s="378"/>
      <c r="AX25" s="379"/>
      <c r="AY25" s="380" t="s">
        <v>1</v>
      </c>
      <c r="AZ25" s="378"/>
      <c r="BA25" s="378"/>
      <c r="BB25" s="379"/>
      <c r="BE25" s="187">
        <v>23</v>
      </c>
      <c r="BF25" s="317"/>
      <c r="BG25" s="317"/>
      <c r="BH25" s="317"/>
      <c r="BI25" s="317"/>
      <c r="BJ25" s="317"/>
      <c r="BK25" s="318"/>
      <c r="BL25" s="215"/>
      <c r="BM25" s="209"/>
      <c r="BN25" s="209"/>
      <c r="BO25" s="209"/>
      <c r="BP25" s="209"/>
      <c r="BQ25" s="210"/>
      <c r="BR25" s="319"/>
      <c r="BS25" s="317"/>
      <c r="BT25" s="317"/>
      <c r="BU25" s="320"/>
      <c r="BW25" s="285" t="b">
        <v>0</v>
      </c>
      <c r="BX25" s="192" t="s">
        <v>92</v>
      </c>
      <c r="BY25" s="178"/>
      <c r="BZ25" s="178"/>
      <c r="CA25" s="194"/>
      <c r="CB25" s="193"/>
      <c r="CC25" s="178"/>
      <c r="CD25" s="178"/>
      <c r="CE25" s="178"/>
      <c r="CF25" s="178"/>
      <c r="CG25" s="178"/>
      <c r="CH25" s="178"/>
    </row>
    <row r="26" spans="2:91" ht="22.5" customHeight="1">
      <c r="B26" s="374" t="s">
        <v>787</v>
      </c>
      <c r="C26" s="375"/>
      <c r="D26" s="375"/>
      <c r="E26" s="375"/>
      <c r="F26" s="375"/>
      <c r="G26" s="375"/>
      <c r="H26" s="375"/>
      <c r="I26" s="376"/>
      <c r="J26" s="377" t="s">
        <v>254</v>
      </c>
      <c r="K26" s="378"/>
      <c r="L26" s="379"/>
      <c r="M26" s="380" t="s">
        <v>27</v>
      </c>
      <c r="N26" s="378"/>
      <c r="O26" s="381"/>
      <c r="P26" s="377" t="s">
        <v>226</v>
      </c>
      <c r="Q26" s="378"/>
      <c r="R26" s="379"/>
      <c r="S26" s="380" t="s">
        <v>14</v>
      </c>
      <c r="T26" s="378"/>
      <c r="U26" s="381"/>
      <c r="V26" s="377" t="s">
        <v>22</v>
      </c>
      <c r="W26" s="378"/>
      <c r="X26" s="379"/>
      <c r="Y26" s="380" t="s">
        <v>1</v>
      </c>
      <c r="Z26" s="378"/>
      <c r="AA26" s="379"/>
      <c r="AB26" s="167"/>
      <c r="AC26" s="475"/>
      <c r="AD26" s="476"/>
      <c r="AE26" s="458" t="s">
        <v>120</v>
      </c>
      <c r="AF26" s="459"/>
      <c r="AG26" s="459" t="s">
        <v>121</v>
      </c>
      <c r="AH26" s="460"/>
      <c r="AI26" s="470" t="s">
        <v>120</v>
      </c>
      <c r="AJ26" s="459"/>
      <c r="AK26" s="459" t="s">
        <v>121</v>
      </c>
      <c r="AL26" s="471"/>
      <c r="AM26" s="458" t="s">
        <v>120</v>
      </c>
      <c r="AN26" s="459"/>
      <c r="AO26" s="459" t="s">
        <v>121</v>
      </c>
      <c r="AP26" s="460"/>
      <c r="AQ26" s="470" t="s">
        <v>120</v>
      </c>
      <c r="AR26" s="459"/>
      <c r="AS26" s="459" t="s">
        <v>121</v>
      </c>
      <c r="AT26" s="471"/>
      <c r="AU26" s="458" t="s">
        <v>120</v>
      </c>
      <c r="AV26" s="459"/>
      <c r="AW26" s="459" t="s">
        <v>121</v>
      </c>
      <c r="AX26" s="460"/>
      <c r="AY26" s="470" t="s">
        <v>120</v>
      </c>
      <c r="AZ26" s="459"/>
      <c r="BA26" s="459" t="s">
        <v>121</v>
      </c>
      <c r="BB26" s="460"/>
      <c r="BE26" s="187">
        <v>24</v>
      </c>
      <c r="BF26" s="317"/>
      <c r="BG26" s="317"/>
      <c r="BH26" s="317"/>
      <c r="BI26" s="317"/>
      <c r="BJ26" s="317"/>
      <c r="BK26" s="318"/>
      <c r="BL26" s="215"/>
      <c r="BM26" s="209"/>
      <c r="BN26" s="209"/>
      <c r="BO26" s="209"/>
      <c r="BP26" s="209"/>
      <c r="BQ26" s="210"/>
      <c r="BR26" s="319"/>
      <c r="BS26" s="317"/>
      <c r="BT26" s="317"/>
      <c r="BU26" s="320"/>
      <c r="BW26" s="285" t="b">
        <v>0</v>
      </c>
      <c r="BX26" s="192" t="s">
        <v>91</v>
      </c>
      <c r="BY26" s="178"/>
      <c r="BZ26" s="178"/>
      <c r="CA26" s="194"/>
      <c r="CB26" s="193"/>
      <c r="CC26" s="178"/>
      <c r="CD26" s="178"/>
      <c r="CE26" s="178"/>
      <c r="CF26" s="178"/>
      <c r="CG26" s="178"/>
      <c r="CH26" s="178"/>
    </row>
    <row r="27" spans="2:91" ht="22.5" customHeight="1">
      <c r="B27" s="819" t="s">
        <v>790</v>
      </c>
      <c r="C27" s="820"/>
      <c r="D27" s="820"/>
      <c r="E27" s="821"/>
      <c r="F27" s="808" t="s">
        <v>117</v>
      </c>
      <c r="G27" s="809"/>
      <c r="H27" s="809"/>
      <c r="I27" s="810"/>
      <c r="J27" s="798">
        <v>232</v>
      </c>
      <c r="K27" s="799"/>
      <c r="L27" s="800"/>
      <c r="M27" s="801">
        <v>220</v>
      </c>
      <c r="N27" s="802"/>
      <c r="O27" s="803"/>
      <c r="P27" s="801">
        <v>312</v>
      </c>
      <c r="Q27" s="802"/>
      <c r="R27" s="803"/>
      <c r="S27" s="875">
        <v>201</v>
      </c>
      <c r="T27" s="876"/>
      <c r="U27" s="877"/>
      <c r="V27" s="878"/>
      <c r="W27" s="876"/>
      <c r="X27" s="879"/>
      <c r="Y27" s="875"/>
      <c r="Z27" s="876"/>
      <c r="AA27" s="879"/>
      <c r="AB27" s="167"/>
      <c r="AC27" s="324" t="s">
        <v>117</v>
      </c>
      <c r="AD27" s="467"/>
      <c r="AE27" s="468">
        <v>9</v>
      </c>
      <c r="AF27" s="469"/>
      <c r="AG27" s="469">
        <v>0</v>
      </c>
      <c r="AH27" s="489"/>
      <c r="AI27" s="482">
        <v>15</v>
      </c>
      <c r="AJ27" s="469"/>
      <c r="AK27" s="469"/>
      <c r="AL27" s="488"/>
      <c r="AM27" s="468">
        <v>18</v>
      </c>
      <c r="AN27" s="469"/>
      <c r="AO27" s="469"/>
      <c r="AP27" s="489"/>
      <c r="AQ27" s="482"/>
      <c r="AR27" s="469"/>
      <c r="AS27" s="469"/>
      <c r="AT27" s="488"/>
      <c r="AU27" s="468"/>
      <c r="AV27" s="469"/>
      <c r="AW27" s="469"/>
      <c r="AX27" s="489"/>
      <c r="AY27" s="482"/>
      <c r="AZ27" s="469"/>
      <c r="BA27" s="469"/>
      <c r="BB27" s="489"/>
      <c r="BE27" s="187">
        <v>25</v>
      </c>
      <c r="BF27" s="317"/>
      <c r="BG27" s="317"/>
      <c r="BH27" s="317"/>
      <c r="BI27" s="317"/>
      <c r="BJ27" s="317"/>
      <c r="BK27" s="318"/>
      <c r="BL27" s="215"/>
      <c r="BM27" s="209"/>
      <c r="BN27" s="209"/>
      <c r="BO27" s="209"/>
      <c r="BP27" s="209"/>
      <c r="BQ27" s="210"/>
      <c r="BR27" s="319"/>
      <c r="BS27" s="317"/>
      <c r="BT27" s="317"/>
      <c r="BU27" s="320"/>
      <c r="BW27" s="285" t="b">
        <v>0</v>
      </c>
      <c r="BX27" s="178" t="s">
        <v>90</v>
      </c>
      <c r="BY27" s="178"/>
      <c r="BZ27" s="178"/>
      <c r="CA27" s="194"/>
      <c r="CB27" s="193"/>
      <c r="CC27" s="178"/>
      <c r="CD27" s="178"/>
      <c r="CE27" s="178"/>
      <c r="CF27" s="178"/>
      <c r="CG27" s="178"/>
      <c r="CH27" s="178"/>
    </row>
    <row r="28" spans="2:91" ht="22.5" customHeight="1">
      <c r="B28" s="822"/>
      <c r="C28" s="823"/>
      <c r="D28" s="823"/>
      <c r="E28" s="824"/>
      <c r="F28" s="885" t="s">
        <v>118</v>
      </c>
      <c r="G28" s="886"/>
      <c r="H28" s="886"/>
      <c r="I28" s="887"/>
      <c r="J28" s="798">
        <v>66</v>
      </c>
      <c r="K28" s="799"/>
      <c r="L28" s="800"/>
      <c r="M28" s="798">
        <v>118</v>
      </c>
      <c r="N28" s="799"/>
      <c r="O28" s="800"/>
      <c r="P28" s="798">
        <v>102</v>
      </c>
      <c r="Q28" s="799"/>
      <c r="R28" s="800"/>
      <c r="S28" s="880">
        <v>116</v>
      </c>
      <c r="T28" s="881"/>
      <c r="U28" s="882"/>
      <c r="V28" s="883"/>
      <c r="W28" s="881"/>
      <c r="X28" s="884"/>
      <c r="Y28" s="880"/>
      <c r="Z28" s="881"/>
      <c r="AA28" s="884"/>
      <c r="AC28" s="486" t="s">
        <v>118</v>
      </c>
      <c r="AD28" s="487"/>
      <c r="AE28" s="427">
        <v>0</v>
      </c>
      <c r="AF28" s="426"/>
      <c r="AG28" s="426">
        <v>0</v>
      </c>
      <c r="AH28" s="428"/>
      <c r="AI28" s="423">
        <v>0</v>
      </c>
      <c r="AJ28" s="426"/>
      <c r="AK28" s="426"/>
      <c r="AL28" s="424"/>
      <c r="AM28" s="427">
        <v>0</v>
      </c>
      <c r="AN28" s="426"/>
      <c r="AO28" s="426"/>
      <c r="AP28" s="428"/>
      <c r="AQ28" s="423"/>
      <c r="AR28" s="426"/>
      <c r="AS28" s="426"/>
      <c r="AT28" s="424"/>
      <c r="AU28" s="427"/>
      <c r="AV28" s="426"/>
      <c r="AW28" s="426"/>
      <c r="AX28" s="428"/>
      <c r="AY28" s="423"/>
      <c r="AZ28" s="426"/>
      <c r="BA28" s="426"/>
      <c r="BB28" s="428"/>
      <c r="BE28" s="187">
        <v>26</v>
      </c>
      <c r="BF28" s="317"/>
      <c r="BG28" s="317"/>
      <c r="BH28" s="317"/>
      <c r="BI28" s="317"/>
      <c r="BJ28" s="317"/>
      <c r="BK28" s="318"/>
      <c r="BL28" s="215"/>
      <c r="BM28" s="209"/>
      <c r="BN28" s="209"/>
      <c r="BO28" s="209"/>
      <c r="BP28" s="209"/>
      <c r="BQ28" s="210"/>
      <c r="BR28" s="319"/>
      <c r="BS28" s="317"/>
      <c r="BT28" s="317"/>
      <c r="BU28" s="320"/>
      <c r="BW28" s="285" t="b">
        <v>0</v>
      </c>
      <c r="BX28" s="192" t="s">
        <v>101</v>
      </c>
      <c r="BY28" s="178"/>
      <c r="BZ28" s="178"/>
      <c r="CA28" s="194"/>
      <c r="CB28" s="193"/>
      <c r="CC28" s="178"/>
      <c r="CD28" s="178"/>
      <c r="CE28" s="178"/>
      <c r="CF28" s="178"/>
      <c r="CG28" s="178"/>
      <c r="CH28" s="178"/>
    </row>
    <row r="29" spans="2:91" ht="22.5" customHeight="1" thickBot="1">
      <c r="B29" s="825"/>
      <c r="C29" s="826"/>
      <c r="D29" s="826"/>
      <c r="E29" s="827"/>
      <c r="F29" s="888" t="s">
        <v>789</v>
      </c>
      <c r="G29" s="889"/>
      <c r="H29" s="889"/>
      <c r="I29" s="890"/>
      <c r="J29" s="873">
        <v>298</v>
      </c>
      <c r="K29" s="871"/>
      <c r="L29" s="874"/>
      <c r="M29" s="873">
        <v>338</v>
      </c>
      <c r="N29" s="871"/>
      <c r="O29" s="874"/>
      <c r="P29" s="873">
        <v>414</v>
      </c>
      <c r="Q29" s="871"/>
      <c r="R29" s="874"/>
      <c r="S29" s="870"/>
      <c r="T29" s="871"/>
      <c r="U29" s="872"/>
      <c r="V29" s="873"/>
      <c r="W29" s="871"/>
      <c r="X29" s="874"/>
      <c r="Y29" s="870"/>
      <c r="Z29" s="871"/>
      <c r="AA29" s="874"/>
      <c r="AC29" s="508" t="s">
        <v>119</v>
      </c>
      <c r="AD29" s="509"/>
      <c r="AE29" s="507">
        <v>7</v>
      </c>
      <c r="AF29" s="499"/>
      <c r="AG29" s="499">
        <v>0</v>
      </c>
      <c r="AH29" s="500"/>
      <c r="AI29" s="505">
        <v>6</v>
      </c>
      <c r="AJ29" s="499"/>
      <c r="AK29" s="499"/>
      <c r="AL29" s="506"/>
      <c r="AM29" s="507">
        <v>6</v>
      </c>
      <c r="AN29" s="499"/>
      <c r="AO29" s="499"/>
      <c r="AP29" s="500"/>
      <c r="AQ29" s="505"/>
      <c r="AR29" s="499"/>
      <c r="AS29" s="499"/>
      <c r="AT29" s="506"/>
      <c r="AU29" s="507"/>
      <c r="AV29" s="499"/>
      <c r="AW29" s="499"/>
      <c r="AX29" s="500"/>
      <c r="AY29" s="505"/>
      <c r="AZ29" s="499"/>
      <c r="BA29" s="499"/>
      <c r="BB29" s="500"/>
      <c r="BE29" s="187">
        <v>27</v>
      </c>
      <c r="BF29" s="317"/>
      <c r="BG29" s="317"/>
      <c r="BH29" s="317"/>
      <c r="BI29" s="317"/>
      <c r="BJ29" s="317"/>
      <c r="BK29" s="318"/>
      <c r="BL29" s="215"/>
      <c r="BM29" s="209"/>
      <c r="BN29" s="209"/>
      <c r="BO29" s="209"/>
      <c r="BP29" s="209"/>
      <c r="BQ29" s="210"/>
      <c r="BR29" s="319"/>
      <c r="BS29" s="317"/>
      <c r="BT29" s="317"/>
      <c r="BU29" s="320"/>
      <c r="BW29" s="285" t="b">
        <v>0</v>
      </c>
      <c r="BX29" s="192" t="s">
        <v>83</v>
      </c>
      <c r="BY29" s="178"/>
      <c r="BZ29" s="178"/>
      <c r="CA29" s="178"/>
      <c r="CB29" s="178"/>
      <c r="CC29" s="178"/>
      <c r="CD29" s="178"/>
      <c r="CE29" s="178"/>
      <c r="CF29" s="178"/>
      <c r="CG29" s="178"/>
      <c r="CH29" s="178"/>
    </row>
    <row r="30" spans="2:91" ht="22.5" customHeight="1" thickTop="1" thickBot="1">
      <c r="B30" s="818" t="s">
        <v>788</v>
      </c>
      <c r="C30" s="818"/>
      <c r="D30" s="818"/>
      <c r="E30" s="818"/>
      <c r="F30" s="439" t="s">
        <v>785</v>
      </c>
      <c r="G30" s="440"/>
      <c r="H30" s="440"/>
      <c r="I30" s="441"/>
      <c r="J30" s="792">
        <v>345</v>
      </c>
      <c r="K30" s="793"/>
      <c r="L30" s="794"/>
      <c r="M30" s="806">
        <v>429</v>
      </c>
      <c r="N30" s="793"/>
      <c r="O30" s="807"/>
      <c r="P30" s="792">
        <v>367</v>
      </c>
      <c r="Q30" s="793"/>
      <c r="R30" s="794"/>
      <c r="S30" s="806">
        <v>280</v>
      </c>
      <c r="T30" s="793"/>
      <c r="U30" s="807"/>
      <c r="V30" s="792"/>
      <c r="W30" s="793"/>
      <c r="X30" s="794"/>
      <c r="Y30" s="806"/>
      <c r="Z30" s="793"/>
      <c r="AA30" s="794"/>
      <c r="AC30" s="501" t="s">
        <v>108</v>
      </c>
      <c r="AD30" s="502"/>
      <c r="AE30" s="497">
        <f>IF(SUM(AE27:AE29)=0,"",SUM(AE27:AE29))</f>
        <v>16</v>
      </c>
      <c r="AF30" s="495"/>
      <c r="AG30" s="495" t="str">
        <f>IF(SUM(AG27:AG29)=0,"",SUM(AG27:AG29))</f>
        <v/>
      </c>
      <c r="AH30" s="498"/>
      <c r="AI30" s="497">
        <f>IF(SUM(AI27:AI29)=0,"",SUM(AI27:AI29))</f>
        <v>21</v>
      </c>
      <c r="AJ30" s="495"/>
      <c r="AK30" s="495" t="str">
        <f>IF(SUM(AK27:AK29)=0,"",SUM(AK27:AK29))</f>
        <v/>
      </c>
      <c r="AL30" s="498"/>
      <c r="AM30" s="497">
        <f>IF(SUM(AM27:AM29)=0,"",SUM(AM27:AM29))</f>
        <v>24</v>
      </c>
      <c r="AN30" s="495"/>
      <c r="AO30" s="495" t="str">
        <f>IF(SUM(AO27:AO29)=0,"",SUM(AO27:AO29))</f>
        <v/>
      </c>
      <c r="AP30" s="498"/>
      <c r="AQ30" s="494" t="str">
        <f>IF(SUM(AQ27:AQ29)=0,"",SUM(AQ27:AQ29))</f>
        <v/>
      </c>
      <c r="AR30" s="495"/>
      <c r="AS30" s="495" t="str">
        <f>IF(SUM(AS27:AS29)=0,"",SUM(AS27:AS29))</f>
        <v/>
      </c>
      <c r="AT30" s="496"/>
      <c r="AU30" s="497" t="str">
        <f>IF(SUM(AU27:AU29)=0,"",SUM(AU27:AU29))</f>
        <v/>
      </c>
      <c r="AV30" s="495"/>
      <c r="AW30" s="495" t="str">
        <f>IF(SUM(AW27:AW29)=0,"",SUM(AW27:AW29))</f>
        <v/>
      </c>
      <c r="AX30" s="498"/>
      <c r="AY30" s="494" t="str">
        <f>IF(SUM(AY27:AY29)=0,"",SUM(AY27:AY29))</f>
        <v/>
      </c>
      <c r="AZ30" s="495"/>
      <c r="BA30" s="495" t="str">
        <f>IF(SUM(BA27:BA29)=0,"",SUM(BA27:BA29))</f>
        <v/>
      </c>
      <c r="BB30" s="498"/>
      <c r="BE30" s="187">
        <v>28</v>
      </c>
      <c r="BF30" s="317"/>
      <c r="BG30" s="317"/>
      <c r="BH30" s="317"/>
      <c r="BI30" s="317"/>
      <c r="BJ30" s="317"/>
      <c r="BK30" s="318"/>
      <c r="BL30" s="215"/>
      <c r="BM30" s="209"/>
      <c r="BN30" s="209"/>
      <c r="BO30" s="209"/>
      <c r="BP30" s="209"/>
      <c r="BQ30" s="210"/>
      <c r="BR30" s="319"/>
      <c r="BS30" s="317"/>
      <c r="BT30" s="317"/>
      <c r="BU30" s="320"/>
      <c r="BW30" s="285" t="b">
        <v>0</v>
      </c>
      <c r="BX30" s="192" t="s">
        <v>84</v>
      </c>
      <c r="BY30" s="195"/>
      <c r="BZ30" s="196"/>
      <c r="CA30" s="196"/>
      <c r="CB30" s="196"/>
      <c r="CC30" s="196"/>
      <c r="CD30" s="196"/>
      <c r="CE30" s="196"/>
      <c r="CF30" s="196"/>
      <c r="CG30" s="196"/>
      <c r="CH30" s="178"/>
    </row>
    <row r="31" spans="2:91" ht="22.5" customHeight="1" thickBot="1">
      <c r="B31" s="818"/>
      <c r="C31" s="818"/>
      <c r="D31" s="818"/>
      <c r="E31" s="818"/>
      <c r="F31" s="443" t="s">
        <v>786</v>
      </c>
      <c r="G31" s="444"/>
      <c r="H31" s="444"/>
      <c r="I31" s="445"/>
      <c r="J31" s="828">
        <v>26</v>
      </c>
      <c r="K31" s="816"/>
      <c r="L31" s="817"/>
      <c r="M31" s="815">
        <v>28</v>
      </c>
      <c r="N31" s="816"/>
      <c r="O31" s="829"/>
      <c r="P31" s="828">
        <v>23</v>
      </c>
      <c r="Q31" s="816"/>
      <c r="R31" s="817"/>
      <c r="S31" s="815"/>
      <c r="T31" s="816"/>
      <c r="U31" s="829"/>
      <c r="V31" s="828"/>
      <c r="W31" s="816"/>
      <c r="X31" s="817"/>
      <c r="Y31" s="815"/>
      <c r="Z31" s="816"/>
      <c r="AA31" s="817"/>
      <c r="AC31" s="550" t="s">
        <v>122</v>
      </c>
      <c r="AD31" s="551"/>
      <c r="AE31" s="536" t="str">
        <f>IFERROR(AG30/AE30,"")</f>
        <v/>
      </c>
      <c r="AF31" s="537"/>
      <c r="AG31" s="537"/>
      <c r="AH31" s="538"/>
      <c r="AI31" s="539" t="str">
        <f>IFERROR(AK30/AI30,"")</f>
        <v/>
      </c>
      <c r="AJ31" s="537"/>
      <c r="AK31" s="537"/>
      <c r="AL31" s="540"/>
      <c r="AM31" s="536" t="str">
        <f t="shared" ref="AM31" si="20">IFERROR(AO30/AM30,"")</f>
        <v/>
      </c>
      <c r="AN31" s="537"/>
      <c r="AO31" s="537"/>
      <c r="AP31" s="538"/>
      <c r="AQ31" s="539" t="str">
        <f>IFERROR(AS30/AQ30,"")</f>
        <v/>
      </c>
      <c r="AR31" s="537"/>
      <c r="AS31" s="537"/>
      <c r="AT31" s="540"/>
      <c r="AU31" s="536" t="str">
        <f t="shared" ref="AU31" si="21">IFERROR(AW30/AU30,"")</f>
        <v/>
      </c>
      <c r="AV31" s="537"/>
      <c r="AW31" s="537"/>
      <c r="AX31" s="538"/>
      <c r="AY31" s="539" t="str">
        <f t="shared" ref="AY31" si="22">IFERROR(BA30/AY30,"")</f>
        <v/>
      </c>
      <c r="AZ31" s="537"/>
      <c r="BA31" s="537"/>
      <c r="BB31" s="538"/>
      <c r="BE31" s="187">
        <v>29</v>
      </c>
      <c r="BF31" s="317"/>
      <c r="BG31" s="317"/>
      <c r="BH31" s="317"/>
      <c r="BI31" s="317"/>
      <c r="BJ31" s="317"/>
      <c r="BK31" s="318"/>
      <c r="BL31" s="215"/>
      <c r="BM31" s="209"/>
      <c r="BN31" s="209"/>
      <c r="BO31" s="209"/>
      <c r="BP31" s="209"/>
      <c r="BQ31" s="210"/>
      <c r="BR31" s="319"/>
      <c r="BS31" s="317"/>
      <c r="BT31" s="317"/>
      <c r="BU31" s="320"/>
      <c r="BW31" s="285" t="b">
        <v>0</v>
      </c>
      <c r="BX31" s="192" t="s">
        <v>85</v>
      </c>
      <c r="BY31" s="195"/>
      <c r="BZ31" s="196"/>
      <c r="CA31" s="196"/>
      <c r="CB31" s="196"/>
      <c r="CC31" s="196"/>
      <c r="CD31" s="196"/>
      <c r="CE31" s="196"/>
      <c r="CF31" s="196"/>
      <c r="CG31" s="196"/>
      <c r="CH31" s="178"/>
    </row>
    <row r="32" spans="2:91" ht="22.5" customHeight="1" thickTop="1">
      <c r="B32" s="257"/>
      <c r="C32" s="258"/>
      <c r="D32" s="258"/>
      <c r="E32" s="259"/>
      <c r="F32" s="418"/>
      <c r="G32" s="419"/>
      <c r="H32" s="419"/>
      <c r="I32" s="420"/>
      <c r="J32" s="462"/>
      <c r="K32" s="463"/>
      <c r="L32" s="464"/>
      <c r="M32" s="462"/>
      <c r="N32" s="463"/>
      <c r="O32" s="464"/>
      <c r="P32" s="462"/>
      <c r="Q32" s="463"/>
      <c r="R32" s="464"/>
      <c r="S32" s="462"/>
      <c r="T32" s="463"/>
      <c r="U32" s="464"/>
      <c r="V32" s="462"/>
      <c r="W32" s="463"/>
      <c r="X32" s="464"/>
      <c r="Y32" s="462"/>
      <c r="Z32" s="463"/>
      <c r="AA32" s="464"/>
      <c r="AC32" s="486" t="s">
        <v>124</v>
      </c>
      <c r="AD32" s="487"/>
      <c r="AE32" s="580">
        <v>0</v>
      </c>
      <c r="AF32" s="581"/>
      <c r="AG32" s="581"/>
      <c r="AH32" s="582"/>
      <c r="AI32" s="583"/>
      <c r="AJ32" s="581"/>
      <c r="AK32" s="581"/>
      <c r="AL32" s="584"/>
      <c r="AM32" s="580"/>
      <c r="AN32" s="581"/>
      <c r="AO32" s="581"/>
      <c r="AP32" s="582"/>
      <c r="AQ32" s="583"/>
      <c r="AR32" s="581"/>
      <c r="AS32" s="581"/>
      <c r="AT32" s="584"/>
      <c r="AU32" s="580"/>
      <c r="AV32" s="581"/>
      <c r="AW32" s="581"/>
      <c r="AX32" s="582"/>
      <c r="AY32" s="583"/>
      <c r="AZ32" s="581"/>
      <c r="BA32" s="581"/>
      <c r="BB32" s="582"/>
      <c r="BE32" s="188">
        <v>30</v>
      </c>
      <c r="BF32" s="534"/>
      <c r="BG32" s="534"/>
      <c r="BH32" s="534"/>
      <c r="BI32" s="534"/>
      <c r="BJ32" s="534"/>
      <c r="BK32" s="742"/>
      <c r="BL32" s="216"/>
      <c r="BM32" s="213"/>
      <c r="BN32" s="213"/>
      <c r="BO32" s="213"/>
      <c r="BP32" s="213"/>
      <c r="BQ32" s="214"/>
      <c r="BR32" s="707"/>
      <c r="BS32" s="534"/>
      <c r="BT32" s="534"/>
      <c r="BU32" s="535"/>
      <c r="BW32" s="285" t="b">
        <v>0</v>
      </c>
      <c r="BX32" s="178" t="s">
        <v>65</v>
      </c>
      <c r="BY32" s="195"/>
      <c r="BZ32" s="196"/>
      <c r="CA32" s="196"/>
      <c r="CB32" s="196"/>
      <c r="CC32" s="196"/>
      <c r="CD32" s="196"/>
      <c r="CE32" s="196"/>
      <c r="CF32" s="196"/>
      <c r="CG32" s="196"/>
      <c r="CH32" s="178"/>
    </row>
    <row r="33" spans="2:87" ht="22.5" customHeight="1">
      <c r="B33" s="178"/>
      <c r="C33" s="178"/>
      <c r="D33" s="178"/>
      <c r="E33" s="178"/>
      <c r="F33" s="178"/>
      <c r="G33" s="588"/>
      <c r="H33" s="588"/>
      <c r="I33" s="588"/>
      <c r="J33" s="588"/>
      <c r="K33" s="588"/>
      <c r="L33" s="588"/>
      <c r="M33" s="588"/>
      <c r="N33" s="588"/>
      <c r="O33" s="588"/>
      <c r="P33" s="588"/>
      <c r="Q33" s="588"/>
      <c r="R33" s="588"/>
      <c r="S33" s="588"/>
      <c r="T33" s="588"/>
      <c r="U33" s="588"/>
      <c r="V33" s="588"/>
      <c r="W33" s="588"/>
      <c r="X33" s="588"/>
      <c r="AC33" s="575" t="s">
        <v>123</v>
      </c>
      <c r="AD33" s="576"/>
      <c r="AE33" s="552" t="str">
        <f>IFERROR(AE32/AG30,"")</f>
        <v/>
      </c>
      <c r="AF33" s="553"/>
      <c r="AG33" s="553"/>
      <c r="AH33" s="554"/>
      <c r="AI33" s="552" t="str">
        <f>IFERROR(AI32/AK30,"")</f>
        <v/>
      </c>
      <c r="AJ33" s="553"/>
      <c r="AK33" s="553"/>
      <c r="AL33" s="554"/>
      <c r="AM33" s="552" t="str">
        <f>IFERROR(AM32/AO30,"")</f>
        <v/>
      </c>
      <c r="AN33" s="553"/>
      <c r="AO33" s="553"/>
      <c r="AP33" s="554"/>
      <c r="AQ33" s="552" t="str">
        <f>IFERROR(AQ32/AS30,"")</f>
        <v/>
      </c>
      <c r="AR33" s="553"/>
      <c r="AS33" s="553"/>
      <c r="AT33" s="554"/>
      <c r="AU33" s="552" t="str">
        <f>IFERROR(AU32/AW30,"")</f>
        <v/>
      </c>
      <c r="AV33" s="553"/>
      <c r="AW33" s="553"/>
      <c r="AX33" s="554"/>
      <c r="AY33" s="552" t="str">
        <f>IFERROR(AY32/BA30,"")</f>
        <v/>
      </c>
      <c r="AZ33" s="553"/>
      <c r="BA33" s="553"/>
      <c r="BB33" s="554"/>
      <c r="BL33" s="589" t="s">
        <v>125</v>
      </c>
      <c r="BM33" s="590"/>
      <c r="BN33" s="591"/>
      <c r="BO33" s="555" t="str">
        <f>IF(COUNTA(BH3:BH32)=0,"",
IF(COUNTIF(BN3:BN32,"完")/COUNTA(BH3:BH32)&gt;=0.8,"A",
IF(COUNTIF(BN3:BN32,"完")/COUNTA(BH3:BH32)&gt;=0.5,"B",
IF(COUNTIF(BN3:BN32,"完")/COUNTA(BH3:BH32)&gt;=0.3,"C",
IF(COUNTIF(BN3:BN32,"完")/COUNTA(BH3:BH32)&gt;=0.1,"D","E")))))</f>
        <v>D</v>
      </c>
      <c r="BP33" s="556"/>
      <c r="BQ33" s="556"/>
      <c r="BR33" s="557"/>
      <c r="BS33" s="561">
        <f>IF(COUNTA(BH3:BH32)=0,"",COUNTIF(BN3:BN32,"完")/COUNTA(BH3:BH32))</f>
        <v>0.18181818181818182</v>
      </c>
      <c r="BT33" s="562"/>
      <c r="BU33" s="563"/>
      <c r="BW33" s="285" t="b">
        <v>0</v>
      </c>
      <c r="BX33" s="178" t="s">
        <v>96</v>
      </c>
      <c r="BY33" s="178"/>
      <c r="BZ33" s="178"/>
      <c r="CA33" s="178"/>
      <c r="CB33" s="178"/>
      <c r="CC33" s="178"/>
      <c r="CD33" s="196"/>
      <c r="CE33" s="196"/>
      <c r="CF33" s="196"/>
      <c r="CG33" s="196"/>
      <c r="CH33" s="178"/>
    </row>
    <row r="34" spans="2:87" ht="22.5" customHeight="1">
      <c r="BL34" s="592"/>
      <c r="BM34" s="593"/>
      <c r="BN34" s="594"/>
      <c r="BO34" s="558"/>
      <c r="BP34" s="559"/>
      <c r="BQ34" s="559"/>
      <c r="BR34" s="560"/>
      <c r="BS34" s="564"/>
      <c r="BT34" s="565"/>
      <c r="BU34" s="566"/>
      <c r="BY34" s="178"/>
      <c r="BZ34" s="178"/>
      <c r="CA34" s="178"/>
      <c r="CB34" s="178"/>
      <c r="CC34" s="178"/>
      <c r="CD34" s="178"/>
      <c r="CE34" s="178"/>
      <c r="CF34" s="178"/>
      <c r="CG34" s="196"/>
      <c r="CH34" s="196"/>
      <c r="CI34" s="178"/>
    </row>
    <row r="35" spans="2:87" ht="22.5" customHeight="1">
      <c r="B35" s="567" t="s">
        <v>38</v>
      </c>
      <c r="C35" s="568"/>
      <c r="D35" s="568"/>
      <c r="E35" s="568"/>
      <c r="F35" s="568"/>
      <c r="G35" s="568"/>
      <c r="H35" s="568"/>
      <c r="I35" s="568"/>
      <c r="J35" s="568"/>
      <c r="K35" s="568"/>
      <c r="L35" s="568"/>
      <c r="M35" s="568"/>
      <c r="N35" s="568"/>
      <c r="O35" s="568"/>
      <c r="P35" s="568"/>
      <c r="Q35" s="568"/>
      <c r="R35" s="568"/>
      <c r="S35" s="568"/>
      <c r="T35" s="568"/>
      <c r="U35" s="569"/>
      <c r="V35" s="570">
        <f>IF(COUNT(J37:J66)=0,"",AVERAGE(J37:J66))</f>
        <v>3.8</v>
      </c>
      <c r="W35" s="571"/>
      <c r="X35" s="572"/>
      <c r="Y35" s="573" t="s">
        <v>39</v>
      </c>
      <c r="Z35" s="568"/>
      <c r="AA35" s="568"/>
      <c r="AB35" s="568"/>
      <c r="AC35" s="568"/>
      <c r="AD35" s="568"/>
      <c r="AE35" s="568"/>
      <c r="AF35" s="568"/>
      <c r="AG35" s="569"/>
      <c r="AH35" s="574" t="s">
        <v>736</v>
      </c>
      <c r="AI35" s="436"/>
      <c r="AJ35" s="438"/>
      <c r="AL35" s="160" t="s">
        <v>59</v>
      </c>
      <c r="BW35" s="181" t="s">
        <v>950</v>
      </c>
      <c r="BX35" s="179"/>
      <c r="BY35" s="179"/>
      <c r="BZ35" s="179"/>
      <c r="CA35" s="179"/>
      <c r="CB35" s="179"/>
      <c r="CC35" s="179"/>
      <c r="CD35" s="179"/>
      <c r="CE35" s="179"/>
      <c r="CF35" s="186"/>
      <c r="CG35" s="186"/>
      <c r="CH35" s="179"/>
    </row>
    <row r="36" spans="2:87" ht="22.5" customHeight="1">
      <c r="B36" s="458" t="s">
        <v>41</v>
      </c>
      <c r="C36" s="459"/>
      <c r="D36" s="459"/>
      <c r="E36" s="459"/>
      <c r="F36" s="459"/>
      <c r="G36" s="459"/>
      <c r="H36" s="459"/>
      <c r="I36" s="459"/>
      <c r="J36" s="459" t="s">
        <v>42</v>
      </c>
      <c r="K36" s="459"/>
      <c r="L36" s="459" t="s">
        <v>43</v>
      </c>
      <c r="M36" s="459"/>
      <c r="N36" s="459"/>
      <c r="O36" s="459"/>
      <c r="P36" s="459"/>
      <c r="Q36" s="459"/>
      <c r="R36" s="459"/>
      <c r="S36" s="459" t="s">
        <v>44</v>
      </c>
      <c r="T36" s="459"/>
      <c r="U36" s="459"/>
      <c r="V36" s="459"/>
      <c r="W36" s="459"/>
      <c r="X36" s="460"/>
      <c r="Y36" s="598" t="s">
        <v>45</v>
      </c>
      <c r="Z36" s="599"/>
      <c r="AA36" s="599"/>
      <c r="AB36" s="599"/>
      <c r="AC36" s="599"/>
      <c r="AD36" s="459" t="s">
        <v>260</v>
      </c>
      <c r="AE36" s="459"/>
      <c r="AF36" s="459" t="s">
        <v>46</v>
      </c>
      <c r="AG36" s="459"/>
      <c r="AH36" s="459"/>
      <c r="AI36" s="459"/>
      <c r="AJ36" s="460"/>
      <c r="AL36" s="182" t="s">
        <v>247</v>
      </c>
      <c r="AM36" s="182"/>
      <c r="AN36" s="182"/>
      <c r="AO36" s="182"/>
      <c r="AP36" s="182"/>
      <c r="AQ36" s="182"/>
      <c r="AR36" s="183"/>
      <c r="AS36" s="183"/>
      <c r="AT36" s="183"/>
      <c r="AU36" s="183"/>
      <c r="AV36" s="183"/>
      <c r="AW36" s="183"/>
      <c r="AX36" s="183"/>
      <c r="AY36" s="179"/>
      <c r="AZ36" s="179"/>
      <c r="BA36" s="179"/>
      <c r="BB36" s="179"/>
      <c r="BC36" s="179"/>
      <c r="BD36" s="179"/>
      <c r="BE36" s="179"/>
      <c r="BF36" s="179"/>
      <c r="BG36" s="179"/>
      <c r="BH36" s="179"/>
      <c r="BI36" s="179"/>
      <c r="BK36" s="406" t="s">
        <v>244</v>
      </c>
      <c r="BL36" s="406"/>
      <c r="BM36" s="406"/>
      <c r="BN36" s="406"/>
      <c r="BO36" s="406"/>
      <c r="BP36" s="406"/>
      <c r="BQ36" s="406" t="s">
        <v>64</v>
      </c>
      <c r="BR36" s="406"/>
      <c r="BS36" s="406"/>
      <c r="BT36" s="406"/>
      <c r="BU36" s="406"/>
      <c r="BW36" s="285" t="b">
        <v>0</v>
      </c>
      <c r="BX36" s="192" t="s">
        <v>102</v>
      </c>
      <c r="BY36" s="178"/>
      <c r="BZ36" s="178"/>
      <c r="CA36" s="178"/>
      <c r="CB36" s="178"/>
      <c r="CC36" s="178"/>
      <c r="CD36" s="196"/>
      <c r="CE36" s="196"/>
      <c r="CF36" s="196"/>
      <c r="CG36" s="196"/>
      <c r="CH36" s="178"/>
    </row>
    <row r="37" spans="2:87" ht="22.5" customHeight="1">
      <c r="B37" s="324">
        <v>101</v>
      </c>
      <c r="C37" s="325"/>
      <c r="D37" s="531" t="s">
        <v>478</v>
      </c>
      <c r="E37" s="531"/>
      <c r="F37" s="531"/>
      <c r="G37" s="531"/>
      <c r="H37" s="531"/>
      <c r="I37" s="531"/>
      <c r="J37" s="469">
        <v>3</v>
      </c>
      <c r="K37" s="469"/>
      <c r="L37" s="595"/>
      <c r="M37" s="595"/>
      <c r="N37" s="595"/>
      <c r="O37" s="595"/>
      <c r="P37" s="595"/>
      <c r="Q37" s="595"/>
      <c r="R37" s="595"/>
      <c r="S37" s="208"/>
      <c r="T37" s="595"/>
      <c r="U37" s="595"/>
      <c r="V37" s="595"/>
      <c r="W37" s="595"/>
      <c r="X37" s="596"/>
      <c r="Y37" s="597"/>
      <c r="Z37" s="531"/>
      <c r="AA37" s="531"/>
      <c r="AB37" s="531"/>
      <c r="AC37" s="531"/>
      <c r="AD37" s="531"/>
      <c r="AE37" s="531"/>
      <c r="AF37" s="531"/>
      <c r="AG37" s="531"/>
      <c r="AH37" s="531"/>
      <c r="AI37" s="531"/>
      <c r="AJ37" s="532"/>
      <c r="AL37" s="600" t="s">
        <v>27</v>
      </c>
      <c r="AM37" s="600"/>
      <c r="AN37" s="600" t="s">
        <v>58</v>
      </c>
      <c r="AO37" s="600"/>
      <c r="AP37" s="600" t="s">
        <v>14</v>
      </c>
      <c r="AQ37" s="600"/>
      <c r="AR37" s="600" t="s">
        <v>22</v>
      </c>
      <c r="AS37" s="600"/>
      <c r="AT37" s="600" t="s">
        <v>1</v>
      </c>
      <c r="AU37" s="600"/>
      <c r="AV37" s="600" t="s">
        <v>18</v>
      </c>
      <c r="AW37" s="600"/>
      <c r="AX37" s="600" t="s">
        <v>28</v>
      </c>
      <c r="AY37" s="600"/>
      <c r="AZ37" s="600" t="s">
        <v>24</v>
      </c>
      <c r="BA37" s="600"/>
      <c r="BB37" s="600" t="s">
        <v>16</v>
      </c>
      <c r="BC37" s="600"/>
      <c r="BD37" s="600" t="s">
        <v>67</v>
      </c>
      <c r="BE37" s="600"/>
      <c r="BF37" s="600" t="s">
        <v>20</v>
      </c>
      <c r="BG37" s="600"/>
      <c r="BH37" s="600" t="s">
        <v>68</v>
      </c>
      <c r="BI37" s="600"/>
      <c r="BK37" s="601"/>
      <c r="BL37" s="601"/>
      <c r="BM37" s="601"/>
      <c r="BN37" s="601"/>
      <c r="BO37" s="601"/>
      <c r="BP37" s="601"/>
      <c r="BQ37" s="602" t="b">
        <v>0</v>
      </c>
      <c r="BR37" s="603"/>
      <c r="BS37" s="603"/>
      <c r="BT37" s="603"/>
      <c r="BU37" s="604"/>
      <c r="BV37" s="170"/>
      <c r="BW37" s="285" t="b">
        <v>0</v>
      </c>
      <c r="BX37" s="192" t="s">
        <v>86</v>
      </c>
      <c r="BY37" s="178"/>
      <c r="BZ37" s="178"/>
      <c r="CA37" s="178"/>
      <c r="CB37" s="178"/>
      <c r="CC37" s="178"/>
      <c r="CD37" s="196"/>
      <c r="CE37" s="196"/>
      <c r="CF37" s="196"/>
      <c r="CG37" s="196"/>
      <c r="CH37" s="178"/>
    </row>
    <row r="38" spans="2:87" ht="22.5" customHeight="1">
      <c r="B38" s="486">
        <v>102</v>
      </c>
      <c r="C38" s="606"/>
      <c r="D38" s="317" t="s">
        <v>479</v>
      </c>
      <c r="E38" s="317"/>
      <c r="F38" s="317"/>
      <c r="G38" s="317"/>
      <c r="H38" s="317"/>
      <c r="I38" s="317"/>
      <c r="J38" s="426">
        <v>4</v>
      </c>
      <c r="K38" s="426"/>
      <c r="L38" s="607"/>
      <c r="M38" s="607"/>
      <c r="N38" s="607"/>
      <c r="O38" s="607"/>
      <c r="P38" s="607"/>
      <c r="Q38" s="607"/>
      <c r="R38" s="607"/>
      <c r="S38" s="209"/>
      <c r="T38" s="607"/>
      <c r="U38" s="607"/>
      <c r="V38" s="607"/>
      <c r="W38" s="607"/>
      <c r="X38" s="608"/>
      <c r="Y38" s="319"/>
      <c r="Z38" s="317"/>
      <c r="AA38" s="317"/>
      <c r="AB38" s="317"/>
      <c r="AC38" s="317"/>
      <c r="AD38" s="317"/>
      <c r="AE38" s="317"/>
      <c r="AF38" s="317"/>
      <c r="AG38" s="317"/>
      <c r="AH38" s="317"/>
      <c r="AI38" s="317"/>
      <c r="AJ38" s="320"/>
      <c r="AL38" s="330">
        <v>0</v>
      </c>
      <c r="AM38" s="330"/>
      <c r="AN38" s="330">
        <v>0</v>
      </c>
      <c r="AO38" s="330"/>
      <c r="AP38" s="330">
        <v>0</v>
      </c>
      <c r="AQ38" s="330"/>
      <c r="AR38" s="330"/>
      <c r="AS38" s="330"/>
      <c r="AT38" s="330"/>
      <c r="AU38" s="330"/>
      <c r="AV38" s="330"/>
      <c r="AW38" s="330"/>
      <c r="AX38" s="330"/>
      <c r="AY38" s="330"/>
      <c r="AZ38" s="330"/>
      <c r="BA38" s="330"/>
      <c r="BB38" s="330"/>
      <c r="BC38" s="330"/>
      <c r="BD38" s="330"/>
      <c r="BE38" s="330"/>
      <c r="BF38" s="330"/>
      <c r="BG38" s="330"/>
      <c r="BH38" s="330">
        <v>22</v>
      </c>
      <c r="BI38" s="330"/>
      <c r="BK38" s="605"/>
      <c r="BL38" s="605"/>
      <c r="BM38" s="605"/>
      <c r="BN38" s="605"/>
      <c r="BO38" s="605"/>
      <c r="BP38" s="605"/>
      <c r="BQ38" s="609" t="b">
        <v>0</v>
      </c>
      <c r="BR38" s="610"/>
      <c r="BS38" s="610"/>
      <c r="BT38" s="610"/>
      <c r="BU38" s="611"/>
      <c r="BV38" s="170"/>
      <c r="BW38" s="285" t="b">
        <v>0</v>
      </c>
      <c r="BX38" s="192" t="s">
        <v>87</v>
      </c>
      <c r="BY38" s="178"/>
      <c r="BZ38" s="178"/>
      <c r="CA38" s="178"/>
      <c r="CB38" s="178"/>
      <c r="CC38" s="178"/>
      <c r="CD38" s="196"/>
      <c r="CE38" s="196"/>
      <c r="CF38" s="196"/>
      <c r="CG38" s="196"/>
      <c r="CH38" s="178"/>
    </row>
    <row r="39" spans="2:87" ht="22.5" customHeight="1">
      <c r="B39" s="486">
        <v>103</v>
      </c>
      <c r="C39" s="606"/>
      <c r="D39" s="317" t="s">
        <v>480</v>
      </c>
      <c r="E39" s="317"/>
      <c r="F39" s="317"/>
      <c r="G39" s="317"/>
      <c r="H39" s="317"/>
      <c r="I39" s="317"/>
      <c r="J39" s="426">
        <v>3</v>
      </c>
      <c r="K39" s="426"/>
      <c r="L39" s="607" t="s">
        <v>943</v>
      </c>
      <c r="M39" s="607"/>
      <c r="N39" s="607"/>
      <c r="O39" s="607"/>
      <c r="P39" s="607"/>
      <c r="Q39" s="607"/>
      <c r="R39" s="607"/>
      <c r="S39" s="209"/>
      <c r="T39" s="607"/>
      <c r="U39" s="607"/>
      <c r="V39" s="607"/>
      <c r="W39" s="607"/>
      <c r="X39" s="608"/>
      <c r="Y39" s="319"/>
      <c r="Z39" s="317"/>
      <c r="AA39" s="317"/>
      <c r="AB39" s="317"/>
      <c r="AC39" s="317"/>
      <c r="AD39" s="317"/>
      <c r="AE39" s="317"/>
      <c r="AF39" s="317"/>
      <c r="AG39" s="317"/>
      <c r="AH39" s="317"/>
      <c r="AI39" s="317"/>
      <c r="AJ39" s="320"/>
      <c r="BK39" s="605"/>
      <c r="BL39" s="605"/>
      <c r="BM39" s="605"/>
      <c r="BN39" s="605"/>
      <c r="BO39" s="605"/>
      <c r="BP39" s="605"/>
      <c r="BQ39" s="609" t="b">
        <v>0</v>
      </c>
      <c r="BR39" s="610"/>
      <c r="BS39" s="610"/>
      <c r="BT39" s="610"/>
      <c r="BU39" s="611"/>
      <c r="BW39" s="285" t="b">
        <v>0</v>
      </c>
      <c r="BX39" s="192" t="s">
        <v>88</v>
      </c>
      <c r="BY39" s="178"/>
      <c r="BZ39" s="178"/>
      <c r="CA39" s="178"/>
      <c r="CB39" s="178"/>
      <c r="CC39" s="178"/>
      <c r="CD39" s="196"/>
      <c r="CE39" s="196"/>
      <c r="CF39" s="196"/>
      <c r="CG39" s="196"/>
      <c r="CH39" s="178"/>
    </row>
    <row r="40" spans="2:87" ht="22.5" customHeight="1">
      <c r="B40" s="486">
        <v>104</v>
      </c>
      <c r="C40" s="606"/>
      <c r="D40" s="317" t="s">
        <v>481</v>
      </c>
      <c r="E40" s="317"/>
      <c r="F40" s="317"/>
      <c r="G40" s="317"/>
      <c r="H40" s="317"/>
      <c r="I40" s="317"/>
      <c r="J40" s="426">
        <v>3</v>
      </c>
      <c r="K40" s="426"/>
      <c r="L40" s="607"/>
      <c r="M40" s="607"/>
      <c r="N40" s="607"/>
      <c r="O40" s="607"/>
      <c r="P40" s="607"/>
      <c r="Q40" s="607"/>
      <c r="R40" s="607"/>
      <c r="S40" s="209"/>
      <c r="T40" s="607"/>
      <c r="U40" s="607"/>
      <c r="V40" s="607"/>
      <c r="W40" s="607"/>
      <c r="X40" s="608"/>
      <c r="Y40" s="319"/>
      <c r="Z40" s="317"/>
      <c r="AA40" s="317"/>
      <c r="AB40" s="317"/>
      <c r="AC40" s="317"/>
      <c r="AD40" s="317"/>
      <c r="AE40" s="317"/>
      <c r="AF40" s="317"/>
      <c r="AG40" s="317"/>
      <c r="AH40" s="317"/>
      <c r="AI40" s="317"/>
      <c r="AJ40" s="320"/>
      <c r="AL40" s="182" t="s">
        <v>248</v>
      </c>
      <c r="AM40" s="182"/>
      <c r="AN40" s="182"/>
      <c r="AO40" s="182"/>
      <c r="AP40" s="182"/>
      <c r="AQ40" s="182"/>
      <c r="AR40" s="183"/>
      <c r="AS40" s="183"/>
      <c r="AT40" s="183"/>
      <c r="AU40" s="183"/>
      <c r="AV40" s="183"/>
      <c r="AW40" s="183"/>
      <c r="AX40" s="183"/>
      <c r="AY40" s="179"/>
      <c r="AZ40" s="179"/>
      <c r="BA40" s="179"/>
      <c r="BB40" s="179"/>
      <c r="BC40" s="179"/>
      <c r="BD40" s="179"/>
      <c r="BE40" s="179"/>
      <c r="BF40" s="179"/>
      <c r="BG40" s="179"/>
      <c r="BH40" s="179"/>
      <c r="BI40" s="179"/>
      <c r="BK40" s="605"/>
      <c r="BL40" s="605"/>
      <c r="BM40" s="605"/>
      <c r="BN40" s="605"/>
      <c r="BO40" s="605"/>
      <c r="BP40" s="605"/>
      <c r="BQ40" s="609" t="b">
        <v>0</v>
      </c>
      <c r="BR40" s="610"/>
      <c r="BS40" s="610"/>
      <c r="BT40" s="610"/>
      <c r="BU40" s="611"/>
      <c r="BW40" s="285" t="b">
        <v>0</v>
      </c>
      <c r="BX40" s="192" t="s">
        <v>89</v>
      </c>
      <c r="BY40" s="178"/>
      <c r="BZ40" s="178"/>
      <c r="CA40" s="178"/>
      <c r="CB40" s="178"/>
      <c r="CC40" s="178"/>
      <c r="CD40" s="196"/>
      <c r="CE40" s="196"/>
      <c r="CF40" s="196"/>
      <c r="CG40" s="196"/>
      <c r="CH40" s="178"/>
    </row>
    <row r="41" spans="2:87" ht="22.5" customHeight="1">
      <c r="B41" s="486">
        <v>105</v>
      </c>
      <c r="C41" s="606"/>
      <c r="D41" s="317" t="s">
        <v>482</v>
      </c>
      <c r="E41" s="317"/>
      <c r="F41" s="317"/>
      <c r="G41" s="317"/>
      <c r="H41" s="317"/>
      <c r="I41" s="317"/>
      <c r="J41" s="426">
        <v>3</v>
      </c>
      <c r="K41" s="426"/>
      <c r="L41" s="607"/>
      <c r="M41" s="607"/>
      <c r="N41" s="607"/>
      <c r="O41" s="607"/>
      <c r="P41" s="607"/>
      <c r="Q41" s="607"/>
      <c r="R41" s="607"/>
      <c r="S41" s="209"/>
      <c r="T41" s="607"/>
      <c r="U41" s="607"/>
      <c r="V41" s="607"/>
      <c r="W41" s="607"/>
      <c r="X41" s="608"/>
      <c r="Y41" s="319"/>
      <c r="Z41" s="317"/>
      <c r="AA41" s="317"/>
      <c r="AB41" s="317"/>
      <c r="AC41" s="317"/>
      <c r="AD41" s="317"/>
      <c r="AE41" s="317"/>
      <c r="AF41" s="317"/>
      <c r="AG41" s="317"/>
      <c r="AH41" s="317"/>
      <c r="AI41" s="317"/>
      <c r="AJ41" s="320"/>
      <c r="AL41" s="600" t="s">
        <v>27</v>
      </c>
      <c r="AM41" s="600"/>
      <c r="AN41" s="600" t="s">
        <v>58</v>
      </c>
      <c r="AO41" s="600"/>
      <c r="AP41" s="600" t="s">
        <v>14</v>
      </c>
      <c r="AQ41" s="600"/>
      <c r="AR41" s="600" t="s">
        <v>22</v>
      </c>
      <c r="AS41" s="600"/>
      <c r="AT41" s="600" t="s">
        <v>1</v>
      </c>
      <c r="AU41" s="600"/>
      <c r="AV41" s="600" t="s">
        <v>18</v>
      </c>
      <c r="AW41" s="600"/>
      <c r="AX41" s="600" t="s">
        <v>28</v>
      </c>
      <c r="AY41" s="600"/>
      <c r="AZ41" s="600" t="s">
        <v>24</v>
      </c>
      <c r="BA41" s="600"/>
      <c r="BB41" s="600" t="s">
        <v>16</v>
      </c>
      <c r="BC41" s="600"/>
      <c r="BD41" s="600" t="s">
        <v>67</v>
      </c>
      <c r="BE41" s="600"/>
      <c r="BF41" s="600" t="s">
        <v>20</v>
      </c>
      <c r="BG41" s="600"/>
      <c r="BH41" s="600" t="s">
        <v>68</v>
      </c>
      <c r="BI41" s="600"/>
      <c r="BK41" s="605"/>
      <c r="BL41" s="605"/>
      <c r="BM41" s="605"/>
      <c r="BN41" s="605"/>
      <c r="BO41" s="605"/>
      <c r="BP41" s="605"/>
      <c r="BQ41" s="609" t="b">
        <v>0</v>
      </c>
      <c r="BR41" s="610"/>
      <c r="BS41" s="610"/>
      <c r="BT41" s="610"/>
      <c r="BU41" s="611"/>
      <c r="BW41" s="285" t="b">
        <v>0</v>
      </c>
      <c r="BX41" s="192" t="s">
        <v>103</v>
      </c>
      <c r="BY41" s="178"/>
      <c r="BZ41" s="178"/>
      <c r="CA41" s="178"/>
      <c r="CB41" s="178"/>
      <c r="CC41" s="178"/>
      <c r="CD41" s="196"/>
      <c r="CE41" s="196"/>
      <c r="CF41" s="196"/>
      <c r="CG41" s="196"/>
      <c r="CH41" s="178"/>
    </row>
    <row r="42" spans="2:87" ht="22.5" customHeight="1">
      <c r="B42" s="486">
        <v>106</v>
      </c>
      <c r="C42" s="606"/>
      <c r="D42" s="317" t="s">
        <v>483</v>
      </c>
      <c r="E42" s="317"/>
      <c r="F42" s="317"/>
      <c r="G42" s="317"/>
      <c r="H42" s="317"/>
      <c r="I42" s="317"/>
      <c r="J42" s="426">
        <v>3</v>
      </c>
      <c r="K42" s="426"/>
      <c r="L42" s="607"/>
      <c r="M42" s="607"/>
      <c r="N42" s="607"/>
      <c r="O42" s="607"/>
      <c r="P42" s="607"/>
      <c r="Q42" s="607"/>
      <c r="R42" s="607"/>
      <c r="S42" s="209"/>
      <c r="T42" s="607"/>
      <c r="U42" s="607"/>
      <c r="V42" s="607"/>
      <c r="W42" s="607"/>
      <c r="X42" s="608"/>
      <c r="Y42" s="319"/>
      <c r="Z42" s="317"/>
      <c r="AA42" s="317"/>
      <c r="AB42" s="317"/>
      <c r="AC42" s="317"/>
      <c r="AD42" s="317"/>
      <c r="AE42" s="317"/>
      <c r="AF42" s="317"/>
      <c r="AG42" s="317"/>
      <c r="AH42" s="317"/>
      <c r="AI42" s="317"/>
      <c r="AJ42" s="320"/>
      <c r="AL42" s="330">
        <v>1</v>
      </c>
      <c r="AM42" s="330"/>
      <c r="AN42" s="330">
        <v>1</v>
      </c>
      <c r="AO42" s="330"/>
      <c r="AP42" s="330">
        <v>0</v>
      </c>
      <c r="AQ42" s="330"/>
      <c r="AR42" s="330"/>
      <c r="AS42" s="330"/>
      <c r="AT42" s="330"/>
      <c r="AU42" s="330"/>
      <c r="AV42" s="330"/>
      <c r="AW42" s="330"/>
      <c r="AX42" s="330"/>
      <c r="AY42" s="330"/>
      <c r="AZ42" s="330"/>
      <c r="BA42" s="330"/>
      <c r="BB42" s="330"/>
      <c r="BC42" s="330"/>
      <c r="BD42" s="330"/>
      <c r="BE42" s="330"/>
      <c r="BF42" s="330"/>
      <c r="BG42" s="330"/>
      <c r="BH42" s="330"/>
      <c r="BI42" s="330"/>
      <c r="BK42" s="612"/>
      <c r="BL42" s="612"/>
      <c r="BM42" s="612"/>
      <c r="BN42" s="612"/>
      <c r="BO42" s="612"/>
      <c r="BP42" s="612"/>
      <c r="BQ42" s="613" t="b">
        <v>0</v>
      </c>
      <c r="BR42" s="614"/>
      <c r="BS42" s="614"/>
      <c r="BT42" s="614"/>
      <c r="BU42" s="615"/>
      <c r="BW42" s="285" t="b">
        <v>0</v>
      </c>
      <c r="BX42" s="192" t="s">
        <v>82</v>
      </c>
      <c r="BY42" s="178"/>
      <c r="BZ42" s="178"/>
      <c r="CA42" s="178"/>
      <c r="CB42" s="178"/>
      <c r="CC42" s="178"/>
      <c r="CD42" s="196"/>
      <c r="CE42" s="196"/>
      <c r="CF42" s="196"/>
      <c r="CG42" s="196"/>
      <c r="CH42" s="178"/>
    </row>
    <row r="43" spans="2:87" ht="22.5" customHeight="1">
      <c r="B43" s="486">
        <v>107</v>
      </c>
      <c r="C43" s="606"/>
      <c r="D43" s="317" t="s">
        <v>484</v>
      </c>
      <c r="E43" s="317"/>
      <c r="F43" s="317"/>
      <c r="G43" s="317"/>
      <c r="H43" s="317"/>
      <c r="I43" s="317"/>
      <c r="J43" s="426">
        <v>3</v>
      </c>
      <c r="K43" s="426"/>
      <c r="L43" s="607"/>
      <c r="M43" s="607"/>
      <c r="N43" s="607"/>
      <c r="O43" s="607"/>
      <c r="P43" s="607"/>
      <c r="Q43" s="607"/>
      <c r="R43" s="607"/>
      <c r="S43" s="209"/>
      <c r="T43" s="607"/>
      <c r="U43" s="607"/>
      <c r="V43" s="607"/>
      <c r="W43" s="607"/>
      <c r="X43" s="608"/>
      <c r="Y43" s="319"/>
      <c r="Z43" s="317"/>
      <c r="AA43" s="317"/>
      <c r="AB43" s="317"/>
      <c r="AC43" s="317"/>
      <c r="AD43" s="317"/>
      <c r="AE43" s="317"/>
      <c r="AF43" s="317"/>
      <c r="AG43" s="317"/>
      <c r="AH43" s="317"/>
      <c r="AI43" s="317"/>
      <c r="AJ43" s="320"/>
      <c r="AL43" s="171"/>
      <c r="AM43" s="171"/>
      <c r="AN43" s="171"/>
      <c r="AO43" s="171"/>
      <c r="AP43" s="171"/>
      <c r="AQ43" s="171"/>
      <c r="AR43" s="171"/>
      <c r="AS43" s="171"/>
      <c r="AT43" s="171"/>
      <c r="AU43" s="171"/>
      <c r="AV43" s="171"/>
      <c r="AW43" s="171"/>
      <c r="AX43" s="171"/>
      <c r="AY43" s="171"/>
      <c r="AZ43" s="171"/>
      <c r="BA43" s="171"/>
      <c r="BB43" s="171"/>
      <c r="BC43" s="171"/>
      <c r="BD43" s="171"/>
      <c r="BE43" s="171"/>
      <c r="BF43" s="171"/>
      <c r="BG43" s="171"/>
      <c r="BH43" s="171"/>
      <c r="BI43" s="171"/>
      <c r="BV43" s="164"/>
    </row>
    <row r="44" spans="2:87" ht="22.5" customHeight="1">
      <c r="B44" s="486">
        <v>108</v>
      </c>
      <c r="C44" s="606"/>
      <c r="D44" s="317" t="s">
        <v>485</v>
      </c>
      <c r="E44" s="317"/>
      <c r="F44" s="317"/>
      <c r="G44" s="317"/>
      <c r="H44" s="317"/>
      <c r="I44" s="317"/>
      <c r="J44" s="426">
        <v>3</v>
      </c>
      <c r="K44" s="426"/>
      <c r="L44" s="607"/>
      <c r="M44" s="607"/>
      <c r="N44" s="607"/>
      <c r="O44" s="607"/>
      <c r="P44" s="607"/>
      <c r="Q44" s="607"/>
      <c r="R44" s="607"/>
      <c r="S44" s="209"/>
      <c r="T44" s="607"/>
      <c r="U44" s="607"/>
      <c r="V44" s="607"/>
      <c r="W44" s="607"/>
      <c r="X44" s="608"/>
      <c r="Y44" s="319"/>
      <c r="Z44" s="317"/>
      <c r="AA44" s="317"/>
      <c r="AB44" s="317"/>
      <c r="AC44" s="317"/>
      <c r="AD44" s="317"/>
      <c r="AE44" s="317"/>
      <c r="AF44" s="317"/>
      <c r="AG44" s="317"/>
      <c r="AH44" s="317"/>
      <c r="AI44" s="317"/>
      <c r="AJ44" s="320"/>
      <c r="AL44" s="179" t="s">
        <v>246</v>
      </c>
      <c r="AM44" s="179"/>
      <c r="AN44" s="179"/>
      <c r="AO44" s="179"/>
      <c r="AP44" s="179"/>
      <c r="AQ44" s="179"/>
      <c r="AR44" s="179"/>
      <c r="AS44" s="179"/>
      <c r="AT44" s="179"/>
      <c r="AU44" s="179"/>
      <c r="AV44" s="179"/>
      <c r="AW44" s="179"/>
      <c r="AX44" s="179"/>
      <c r="AY44" s="179"/>
      <c r="AZ44" s="179"/>
      <c r="BA44" s="179"/>
      <c r="BB44" s="179"/>
      <c r="BC44" s="179"/>
      <c r="BD44" s="179"/>
      <c r="BE44" s="179"/>
      <c r="BF44" s="179"/>
      <c r="BG44" s="179"/>
      <c r="BH44" s="179"/>
      <c r="BI44" s="179"/>
      <c r="BJ44" s="163"/>
      <c r="BK44" s="163"/>
      <c r="BL44" s="163"/>
      <c r="BM44" s="163"/>
      <c r="BN44" s="163"/>
      <c r="BO44" s="163"/>
      <c r="BP44" s="163"/>
      <c r="BQ44" s="163"/>
      <c r="BR44" s="163"/>
      <c r="BS44" s="163"/>
      <c r="BT44" s="163"/>
      <c r="BU44" s="163"/>
      <c r="BV44" s="164"/>
      <c r="BW44" s="179" t="s">
        <v>75</v>
      </c>
      <c r="BX44" s="179"/>
      <c r="BY44" s="179"/>
      <c r="BZ44" s="179"/>
      <c r="CA44" s="179"/>
      <c r="CB44" s="179"/>
      <c r="CC44" s="179"/>
      <c r="CD44" s="179"/>
      <c r="CE44" s="179"/>
      <c r="CF44" s="179"/>
      <c r="CG44" s="179"/>
      <c r="CH44" s="179"/>
    </row>
    <row r="45" spans="2:87" ht="22.5" customHeight="1">
      <c r="B45" s="486">
        <v>109</v>
      </c>
      <c r="C45" s="606"/>
      <c r="D45" s="317" t="s">
        <v>486</v>
      </c>
      <c r="E45" s="317"/>
      <c r="F45" s="317"/>
      <c r="G45" s="317"/>
      <c r="H45" s="317"/>
      <c r="I45" s="317"/>
      <c r="J45" s="426">
        <v>4</v>
      </c>
      <c r="K45" s="426"/>
      <c r="L45" s="607"/>
      <c r="M45" s="607"/>
      <c r="N45" s="607"/>
      <c r="O45" s="607"/>
      <c r="P45" s="607"/>
      <c r="Q45" s="607"/>
      <c r="R45" s="607"/>
      <c r="S45" s="209"/>
      <c r="T45" s="607"/>
      <c r="U45" s="607"/>
      <c r="V45" s="607"/>
      <c r="W45" s="607"/>
      <c r="X45" s="608"/>
      <c r="Y45" s="616"/>
      <c r="Z45" s="617"/>
      <c r="AA45" s="617"/>
      <c r="AB45" s="617"/>
      <c r="AC45" s="617"/>
      <c r="AD45" s="317"/>
      <c r="AE45" s="317"/>
      <c r="AF45" s="317"/>
      <c r="AG45" s="317"/>
      <c r="AH45" s="317"/>
      <c r="AI45" s="317"/>
      <c r="AJ45" s="320"/>
      <c r="AL45" s="618" t="s">
        <v>27</v>
      </c>
      <c r="AM45" s="618"/>
      <c r="AN45" s="618" t="s">
        <v>58</v>
      </c>
      <c r="AO45" s="618"/>
      <c r="AP45" s="618" t="s">
        <v>14</v>
      </c>
      <c r="AQ45" s="618"/>
      <c r="AR45" s="618" t="s">
        <v>22</v>
      </c>
      <c r="AS45" s="618"/>
      <c r="AT45" s="618" t="s">
        <v>1</v>
      </c>
      <c r="AU45" s="618"/>
      <c r="AV45" s="618" t="s">
        <v>18</v>
      </c>
      <c r="AW45" s="618"/>
      <c r="AX45" s="618" t="s">
        <v>28</v>
      </c>
      <c r="AY45" s="618"/>
      <c r="AZ45" s="618" t="s">
        <v>24</v>
      </c>
      <c r="BA45" s="618"/>
      <c r="BB45" s="618" t="s">
        <v>16</v>
      </c>
      <c r="BC45" s="618"/>
      <c r="BD45" s="618" t="s">
        <v>67</v>
      </c>
      <c r="BE45" s="618"/>
      <c r="BF45" s="618" t="s">
        <v>20</v>
      </c>
      <c r="BG45" s="618"/>
      <c r="BH45" s="618" t="s">
        <v>68</v>
      </c>
      <c r="BI45" s="618"/>
      <c r="BK45" s="630" t="s">
        <v>108</v>
      </c>
      <c r="BL45" s="631"/>
      <c r="BM45" s="634">
        <f>SUM(AL46:BI46)</f>
        <v>5</v>
      </c>
      <c r="BN45" s="635"/>
      <c r="BO45" s="636"/>
      <c r="BP45" s="640" t="s">
        <v>107</v>
      </c>
      <c r="BQ45" s="641"/>
      <c r="BR45" s="631"/>
      <c r="BS45" s="642" t="str">
        <f>IF(OR(BP46="",ISBLANK(BP46)),"",
IF(BP46&gt;=5,"A",
IF(BP46&gt;=4,"B",
IF(BP46&gt;=3,"C",
IF(BP46&gt;=1,"D","E")))))</f>
        <v>D</v>
      </c>
      <c r="BT45" s="556"/>
      <c r="BU45" s="557"/>
      <c r="BV45" s="164"/>
      <c r="BW45" s="619" t="s">
        <v>763</v>
      </c>
      <c r="BX45" s="620"/>
      <c r="BY45" s="620"/>
      <c r="BZ45" s="620"/>
      <c r="CA45" s="620"/>
      <c r="CB45" s="620"/>
      <c r="CC45" s="620"/>
      <c r="CD45" s="620"/>
      <c r="CE45" s="620"/>
      <c r="CF45" s="620"/>
      <c r="CG45" s="620"/>
      <c r="CH45" s="621"/>
    </row>
    <row r="46" spans="2:87" ht="22.5" customHeight="1" thickBot="1">
      <c r="B46" s="622">
        <v>110</v>
      </c>
      <c r="C46" s="623"/>
      <c r="D46" s="624" t="s">
        <v>487</v>
      </c>
      <c r="E46" s="624"/>
      <c r="F46" s="624"/>
      <c r="G46" s="624"/>
      <c r="H46" s="624"/>
      <c r="I46" s="624"/>
      <c r="J46" s="625">
        <v>6</v>
      </c>
      <c r="K46" s="625"/>
      <c r="L46" s="626"/>
      <c r="M46" s="626"/>
      <c r="N46" s="626"/>
      <c r="O46" s="626"/>
      <c r="P46" s="626"/>
      <c r="Q46" s="626"/>
      <c r="R46" s="626"/>
      <c r="S46" s="211"/>
      <c r="T46" s="626"/>
      <c r="U46" s="626"/>
      <c r="V46" s="626"/>
      <c r="W46" s="626"/>
      <c r="X46" s="627"/>
      <c r="Y46" s="628" t="s">
        <v>272</v>
      </c>
      <c r="Z46" s="624"/>
      <c r="AA46" s="624"/>
      <c r="AB46" s="624"/>
      <c r="AC46" s="624"/>
      <c r="AD46" s="624" t="s">
        <v>723</v>
      </c>
      <c r="AE46" s="624"/>
      <c r="AF46" s="624" t="s">
        <v>732</v>
      </c>
      <c r="AG46" s="624"/>
      <c r="AH46" s="624"/>
      <c r="AI46" s="624"/>
      <c r="AJ46" s="629"/>
      <c r="AL46" s="330">
        <v>2</v>
      </c>
      <c r="AM46" s="330"/>
      <c r="AN46" s="330">
        <v>1</v>
      </c>
      <c r="AO46" s="330"/>
      <c r="AP46" s="330">
        <v>2</v>
      </c>
      <c r="AQ46" s="330"/>
      <c r="AR46" s="330"/>
      <c r="AS46" s="330"/>
      <c r="AT46" s="330"/>
      <c r="AU46" s="330"/>
      <c r="AV46" s="330"/>
      <c r="AW46" s="330"/>
      <c r="AX46" s="330"/>
      <c r="AY46" s="330"/>
      <c r="AZ46" s="330"/>
      <c r="BA46" s="330"/>
      <c r="BB46" s="330"/>
      <c r="BC46" s="330"/>
      <c r="BD46" s="330"/>
      <c r="BE46" s="330"/>
      <c r="BF46" s="330"/>
      <c r="BG46" s="330"/>
      <c r="BH46" s="330"/>
      <c r="BI46" s="330"/>
      <c r="BK46" s="632"/>
      <c r="BL46" s="633"/>
      <c r="BM46" s="637"/>
      <c r="BN46" s="638"/>
      <c r="BO46" s="639"/>
      <c r="BP46" s="652">
        <f>IF(COUNT(AL46:BI46)=0,"",ROUND(AVERAGE(AL46:BI46),1))</f>
        <v>1.7</v>
      </c>
      <c r="BQ46" s="653"/>
      <c r="BR46" s="654"/>
      <c r="BS46" s="643"/>
      <c r="BT46" s="559"/>
      <c r="BU46" s="560"/>
      <c r="BV46" s="164"/>
      <c r="BW46" s="644"/>
      <c r="BX46" s="607"/>
      <c r="BY46" s="607"/>
      <c r="BZ46" s="607"/>
      <c r="CA46" s="607"/>
      <c r="CB46" s="607"/>
      <c r="CC46" s="607"/>
      <c r="CD46" s="607"/>
      <c r="CE46" s="607"/>
      <c r="CF46" s="607"/>
      <c r="CG46" s="607"/>
      <c r="CH46" s="608"/>
    </row>
    <row r="47" spans="2:87" ht="22.5" customHeight="1">
      <c r="B47" s="550">
        <v>201</v>
      </c>
      <c r="C47" s="645"/>
      <c r="D47" s="646" t="s">
        <v>488</v>
      </c>
      <c r="E47" s="646"/>
      <c r="F47" s="646"/>
      <c r="G47" s="646"/>
      <c r="H47" s="646"/>
      <c r="I47" s="646"/>
      <c r="J47" s="647">
        <v>3</v>
      </c>
      <c r="K47" s="647"/>
      <c r="L47" s="648"/>
      <c r="M47" s="648"/>
      <c r="N47" s="648"/>
      <c r="O47" s="648"/>
      <c r="P47" s="648"/>
      <c r="Q47" s="648"/>
      <c r="R47" s="648"/>
      <c r="S47" s="212"/>
      <c r="T47" s="648"/>
      <c r="U47" s="648"/>
      <c r="V47" s="648"/>
      <c r="W47" s="648"/>
      <c r="X47" s="649"/>
      <c r="Y47" s="650"/>
      <c r="Z47" s="646"/>
      <c r="AA47" s="646"/>
      <c r="AB47" s="646"/>
      <c r="AC47" s="646"/>
      <c r="AD47" s="646"/>
      <c r="AE47" s="646"/>
      <c r="AF47" s="646"/>
      <c r="AG47" s="646"/>
      <c r="AH47" s="646"/>
      <c r="AI47" s="646"/>
      <c r="AJ47" s="651"/>
      <c r="BV47" s="164"/>
      <c r="BW47" s="644"/>
      <c r="BX47" s="607"/>
      <c r="BY47" s="607"/>
      <c r="BZ47" s="607"/>
      <c r="CA47" s="607"/>
      <c r="CB47" s="607"/>
      <c r="CC47" s="607"/>
      <c r="CD47" s="607"/>
      <c r="CE47" s="607"/>
      <c r="CF47" s="607"/>
      <c r="CG47" s="607"/>
      <c r="CH47" s="608"/>
    </row>
    <row r="48" spans="2:87" ht="22.5" customHeight="1">
      <c r="B48" s="486">
        <v>202</v>
      </c>
      <c r="C48" s="606"/>
      <c r="D48" s="317" t="s">
        <v>489</v>
      </c>
      <c r="E48" s="317"/>
      <c r="F48" s="317"/>
      <c r="G48" s="317"/>
      <c r="H48" s="317"/>
      <c r="I48" s="317"/>
      <c r="J48" s="426">
        <v>3</v>
      </c>
      <c r="K48" s="426"/>
      <c r="L48" s="607"/>
      <c r="M48" s="607"/>
      <c r="N48" s="607"/>
      <c r="O48" s="607"/>
      <c r="P48" s="607"/>
      <c r="Q48" s="607"/>
      <c r="R48" s="607"/>
      <c r="S48" s="209"/>
      <c r="T48" s="607"/>
      <c r="U48" s="607"/>
      <c r="V48" s="607"/>
      <c r="W48" s="607"/>
      <c r="X48" s="608"/>
      <c r="Y48" s="319"/>
      <c r="Z48" s="317"/>
      <c r="AA48" s="317"/>
      <c r="AB48" s="317"/>
      <c r="AC48" s="317"/>
      <c r="AD48" s="317"/>
      <c r="AE48" s="317"/>
      <c r="AF48" s="317"/>
      <c r="AG48" s="317"/>
      <c r="AH48" s="317"/>
      <c r="AI48" s="317"/>
      <c r="AJ48" s="320"/>
      <c r="AL48" s="182" t="s">
        <v>241</v>
      </c>
      <c r="AM48" s="182"/>
      <c r="AN48" s="182"/>
      <c r="AO48" s="182"/>
      <c r="AP48" s="182"/>
      <c r="AQ48" s="182"/>
      <c r="AR48" s="183"/>
      <c r="AS48" s="183"/>
      <c r="AT48" s="183"/>
      <c r="AU48" s="183"/>
      <c r="AV48" s="183"/>
      <c r="AW48" s="183"/>
      <c r="AX48" s="184"/>
      <c r="AY48" s="184"/>
      <c r="AZ48" s="184"/>
      <c r="BA48" s="184"/>
      <c r="BB48" s="185"/>
      <c r="BC48" s="185"/>
      <c r="BD48" s="185"/>
      <c r="BE48" s="185"/>
      <c r="BF48" s="186"/>
      <c r="BG48" s="186"/>
      <c r="BH48" s="186"/>
      <c r="BI48" s="186"/>
      <c r="BJ48" s="163"/>
      <c r="BK48" s="163"/>
      <c r="BL48" s="163"/>
      <c r="BM48" s="163"/>
      <c r="BN48" s="163"/>
      <c r="BO48" s="163"/>
      <c r="BP48" s="163"/>
      <c r="BQ48" s="163"/>
      <c r="BR48" s="163"/>
      <c r="BS48" s="163"/>
      <c r="BT48" s="163"/>
      <c r="BU48" s="163"/>
      <c r="BV48" s="164"/>
      <c r="BW48" s="644"/>
      <c r="BX48" s="607"/>
      <c r="BY48" s="607"/>
      <c r="BZ48" s="607"/>
      <c r="CA48" s="607"/>
      <c r="CB48" s="607"/>
      <c r="CC48" s="607"/>
      <c r="CD48" s="607"/>
      <c r="CE48" s="607"/>
      <c r="CF48" s="607"/>
      <c r="CG48" s="607"/>
      <c r="CH48" s="608"/>
    </row>
    <row r="49" spans="2:86" ht="22.5" customHeight="1">
      <c r="B49" s="486">
        <v>203</v>
      </c>
      <c r="C49" s="606"/>
      <c r="D49" s="317" t="s">
        <v>490</v>
      </c>
      <c r="E49" s="317"/>
      <c r="F49" s="317"/>
      <c r="G49" s="317"/>
      <c r="H49" s="317"/>
      <c r="I49" s="317"/>
      <c r="J49" s="426">
        <v>4</v>
      </c>
      <c r="K49" s="426"/>
      <c r="L49" s="607"/>
      <c r="M49" s="607"/>
      <c r="N49" s="607"/>
      <c r="O49" s="607"/>
      <c r="P49" s="607"/>
      <c r="Q49" s="607"/>
      <c r="R49" s="607"/>
      <c r="S49" s="209"/>
      <c r="T49" s="607"/>
      <c r="U49" s="607"/>
      <c r="V49" s="607"/>
      <c r="W49" s="607"/>
      <c r="X49" s="608"/>
      <c r="Y49" s="319"/>
      <c r="Z49" s="317"/>
      <c r="AA49" s="317"/>
      <c r="AB49" s="317"/>
      <c r="AC49" s="317"/>
      <c r="AD49" s="317"/>
      <c r="AE49" s="317"/>
      <c r="AF49" s="317"/>
      <c r="AG49" s="317"/>
      <c r="AH49" s="317"/>
      <c r="AI49" s="317"/>
      <c r="AJ49" s="320"/>
      <c r="AL49" s="600" t="s">
        <v>27</v>
      </c>
      <c r="AM49" s="600"/>
      <c r="AN49" s="600" t="s">
        <v>58</v>
      </c>
      <c r="AO49" s="600"/>
      <c r="AP49" s="600" t="s">
        <v>14</v>
      </c>
      <c r="AQ49" s="600"/>
      <c r="AR49" s="600" t="s">
        <v>22</v>
      </c>
      <c r="AS49" s="600"/>
      <c r="AT49" s="600" t="s">
        <v>1</v>
      </c>
      <c r="AU49" s="600"/>
      <c r="AV49" s="600" t="s">
        <v>18</v>
      </c>
      <c r="AW49" s="600"/>
      <c r="AX49" s="600" t="s">
        <v>28</v>
      </c>
      <c r="AY49" s="600"/>
      <c r="AZ49" s="600" t="s">
        <v>24</v>
      </c>
      <c r="BA49" s="600"/>
      <c r="BB49" s="600" t="s">
        <v>16</v>
      </c>
      <c r="BC49" s="600"/>
      <c r="BD49" s="600" t="s">
        <v>67</v>
      </c>
      <c r="BE49" s="600"/>
      <c r="BF49" s="600" t="s">
        <v>20</v>
      </c>
      <c r="BG49" s="600"/>
      <c r="BH49" s="600" t="s">
        <v>68</v>
      </c>
      <c r="BI49" s="600"/>
      <c r="BK49" s="658" t="s">
        <v>108</v>
      </c>
      <c r="BL49" s="326"/>
      <c r="BM49" s="659">
        <f>SUM(AL50:BI50)</f>
        <v>3</v>
      </c>
      <c r="BN49" s="660"/>
      <c r="BO49" s="661"/>
      <c r="BP49" s="327" t="s">
        <v>107</v>
      </c>
      <c r="BQ49" s="328"/>
      <c r="BR49" s="326"/>
      <c r="BS49" s="665"/>
      <c r="BT49" s="666"/>
      <c r="BU49" s="667"/>
      <c r="BV49" s="164"/>
      <c r="BW49" s="655"/>
      <c r="BX49" s="656"/>
      <c r="BY49" s="656"/>
      <c r="BZ49" s="656"/>
      <c r="CA49" s="656"/>
      <c r="CB49" s="656"/>
      <c r="CC49" s="656"/>
      <c r="CD49" s="656"/>
      <c r="CE49" s="656"/>
      <c r="CF49" s="656"/>
      <c r="CG49" s="656"/>
      <c r="CH49" s="657"/>
    </row>
    <row r="50" spans="2:86" ht="22.5" customHeight="1">
      <c r="B50" s="486">
        <v>204</v>
      </c>
      <c r="C50" s="606"/>
      <c r="D50" s="317" t="s">
        <v>491</v>
      </c>
      <c r="E50" s="317"/>
      <c r="F50" s="317"/>
      <c r="G50" s="317"/>
      <c r="H50" s="317"/>
      <c r="I50" s="317"/>
      <c r="J50" s="426">
        <v>3</v>
      </c>
      <c r="K50" s="426"/>
      <c r="L50" s="607"/>
      <c r="M50" s="607"/>
      <c r="N50" s="607"/>
      <c r="O50" s="607"/>
      <c r="P50" s="607"/>
      <c r="Q50" s="607"/>
      <c r="R50" s="607"/>
      <c r="S50" s="209"/>
      <c r="T50" s="607"/>
      <c r="U50" s="607"/>
      <c r="V50" s="607"/>
      <c r="W50" s="607"/>
      <c r="X50" s="608"/>
      <c r="Y50" s="319"/>
      <c r="Z50" s="317"/>
      <c r="AA50" s="317"/>
      <c r="AB50" s="317"/>
      <c r="AC50" s="317"/>
      <c r="AD50" s="317"/>
      <c r="AE50" s="317"/>
      <c r="AF50" s="317"/>
      <c r="AG50" s="317"/>
      <c r="AH50" s="317"/>
      <c r="AI50" s="317"/>
      <c r="AJ50" s="320"/>
      <c r="AL50" s="330">
        <v>0</v>
      </c>
      <c r="AM50" s="330"/>
      <c r="AN50" s="330">
        <v>2</v>
      </c>
      <c r="AO50" s="330"/>
      <c r="AP50" s="330">
        <v>1</v>
      </c>
      <c r="AQ50" s="330"/>
      <c r="AR50" s="330"/>
      <c r="AS50" s="330"/>
      <c r="AT50" s="330"/>
      <c r="AU50" s="330"/>
      <c r="AV50" s="330"/>
      <c r="AW50" s="330"/>
      <c r="AX50" s="330"/>
      <c r="AY50" s="330"/>
      <c r="AZ50" s="330"/>
      <c r="BA50" s="330"/>
      <c r="BB50" s="330"/>
      <c r="BC50" s="330"/>
      <c r="BD50" s="330"/>
      <c r="BE50" s="330"/>
      <c r="BF50" s="330"/>
      <c r="BG50" s="330"/>
      <c r="BH50" s="330"/>
      <c r="BI50" s="330"/>
      <c r="BK50" s="575"/>
      <c r="BL50" s="576"/>
      <c r="BM50" s="662"/>
      <c r="BN50" s="663"/>
      <c r="BO50" s="664"/>
      <c r="BP50" s="652">
        <f>IF(COUNT(AL50:BI50)=0,"",ROUND(AVERAGE(AL50:BI50),1))</f>
        <v>1</v>
      </c>
      <c r="BQ50" s="653"/>
      <c r="BR50" s="654"/>
      <c r="BS50" s="668"/>
      <c r="BT50" s="669"/>
      <c r="BU50" s="670"/>
      <c r="BV50" s="164"/>
    </row>
    <row r="51" spans="2:86" ht="22.5" customHeight="1">
      <c r="B51" s="486">
        <v>205</v>
      </c>
      <c r="C51" s="606"/>
      <c r="D51" s="317" t="s">
        <v>492</v>
      </c>
      <c r="E51" s="317"/>
      <c r="F51" s="317"/>
      <c r="G51" s="317"/>
      <c r="H51" s="317"/>
      <c r="I51" s="317"/>
      <c r="J51" s="426">
        <v>5</v>
      </c>
      <c r="K51" s="426"/>
      <c r="L51" s="607"/>
      <c r="M51" s="607"/>
      <c r="N51" s="607"/>
      <c r="O51" s="607"/>
      <c r="P51" s="607"/>
      <c r="Q51" s="607"/>
      <c r="R51" s="607"/>
      <c r="S51" s="209"/>
      <c r="T51" s="607"/>
      <c r="U51" s="607"/>
      <c r="V51" s="607"/>
      <c r="W51" s="607"/>
      <c r="X51" s="608"/>
      <c r="Y51" s="319"/>
      <c r="Z51" s="317"/>
      <c r="AA51" s="317"/>
      <c r="AB51" s="317"/>
      <c r="AC51" s="317"/>
      <c r="AD51" s="317"/>
      <c r="AE51" s="317"/>
      <c r="AF51" s="317"/>
      <c r="AG51" s="317"/>
      <c r="AH51" s="317"/>
      <c r="AI51" s="317"/>
      <c r="AJ51" s="320"/>
      <c r="AQ51" s="169"/>
      <c r="AR51" s="168"/>
      <c r="AS51" s="168"/>
      <c r="AT51" s="168"/>
      <c r="AU51" s="168"/>
      <c r="AV51" s="168"/>
      <c r="AW51" s="169"/>
      <c r="AX51" s="172"/>
      <c r="AY51" s="172"/>
      <c r="AZ51" s="172"/>
      <c r="BA51" s="172"/>
      <c r="BB51" s="168"/>
      <c r="BC51" s="168"/>
      <c r="BD51" s="168"/>
      <c r="BE51" s="168"/>
      <c r="BF51" s="169"/>
      <c r="BG51" s="169"/>
      <c r="BH51" s="169"/>
      <c r="BI51" s="169"/>
      <c r="BW51" s="179" t="s">
        <v>259</v>
      </c>
      <c r="BX51" s="179"/>
      <c r="BY51" s="179"/>
      <c r="BZ51" s="179"/>
      <c r="CA51" s="179"/>
      <c r="CB51" s="179"/>
      <c r="CC51" s="179"/>
      <c r="CD51" s="179"/>
      <c r="CE51" s="179"/>
      <c r="CF51" s="179"/>
      <c r="CG51" s="179"/>
      <c r="CH51" s="179"/>
    </row>
    <row r="52" spans="2:86" ht="22.5" customHeight="1">
      <c r="B52" s="486">
        <v>206</v>
      </c>
      <c r="C52" s="606"/>
      <c r="D52" s="317" t="s">
        <v>493</v>
      </c>
      <c r="E52" s="317"/>
      <c r="F52" s="317"/>
      <c r="G52" s="317"/>
      <c r="H52" s="317"/>
      <c r="I52" s="317"/>
      <c r="J52" s="426">
        <v>3</v>
      </c>
      <c r="K52" s="426"/>
      <c r="L52" s="607"/>
      <c r="M52" s="607"/>
      <c r="N52" s="607"/>
      <c r="O52" s="607"/>
      <c r="P52" s="607"/>
      <c r="Q52" s="607"/>
      <c r="R52" s="607"/>
      <c r="S52" s="209"/>
      <c r="T52" s="607"/>
      <c r="U52" s="607"/>
      <c r="V52" s="607"/>
      <c r="W52" s="607"/>
      <c r="X52" s="608"/>
      <c r="Y52" s="319"/>
      <c r="Z52" s="317"/>
      <c r="AA52" s="317"/>
      <c r="AB52" s="317"/>
      <c r="AC52" s="317"/>
      <c r="AD52" s="317"/>
      <c r="AE52" s="317"/>
      <c r="AF52" s="317"/>
      <c r="AG52" s="317"/>
      <c r="AH52" s="317"/>
      <c r="AI52" s="317"/>
      <c r="AJ52" s="320"/>
      <c r="AL52" s="182" t="s">
        <v>242</v>
      </c>
      <c r="AM52" s="182"/>
      <c r="AN52" s="182"/>
      <c r="AO52" s="182"/>
      <c r="AP52" s="182"/>
      <c r="AQ52" s="182"/>
      <c r="AR52" s="183"/>
      <c r="AS52" s="183"/>
      <c r="AT52" s="183"/>
      <c r="AU52" s="183"/>
      <c r="AV52" s="183"/>
      <c r="AW52" s="183"/>
      <c r="AX52" s="184"/>
      <c r="AY52" s="184"/>
      <c r="AZ52" s="184"/>
      <c r="BA52" s="184"/>
      <c r="BB52" s="185"/>
      <c r="BC52" s="185"/>
      <c r="BD52" s="185"/>
      <c r="BE52" s="185"/>
      <c r="BF52" s="186"/>
      <c r="BG52" s="186"/>
      <c r="BH52" s="186"/>
      <c r="BI52" s="186"/>
      <c r="BJ52" s="163"/>
      <c r="BK52" s="163"/>
      <c r="BL52" s="163"/>
      <c r="BM52" s="163"/>
      <c r="BN52" s="163"/>
      <c r="BO52" s="163"/>
      <c r="BP52" s="163"/>
      <c r="BQ52" s="163"/>
      <c r="BR52" s="163"/>
      <c r="BS52" s="163"/>
      <c r="BT52" s="163"/>
      <c r="BU52" s="163"/>
      <c r="BW52" s="678"/>
      <c r="BX52" s="679"/>
      <c r="BY52" s="679"/>
      <c r="BZ52" s="679"/>
      <c r="CA52" s="679"/>
      <c r="CB52" s="679"/>
      <c r="CC52" s="679"/>
      <c r="CD52" s="679"/>
      <c r="CE52" s="679"/>
      <c r="CF52" s="679"/>
      <c r="CG52" s="679"/>
      <c r="CH52" s="680"/>
    </row>
    <row r="53" spans="2:86" ht="22.5" customHeight="1">
      <c r="B53" s="486">
        <v>207</v>
      </c>
      <c r="C53" s="606"/>
      <c r="D53" s="317" t="s">
        <v>494</v>
      </c>
      <c r="E53" s="317"/>
      <c r="F53" s="317"/>
      <c r="G53" s="317"/>
      <c r="H53" s="317"/>
      <c r="I53" s="317"/>
      <c r="J53" s="426">
        <v>4</v>
      </c>
      <c r="K53" s="426"/>
      <c r="L53" s="607"/>
      <c r="M53" s="607"/>
      <c r="N53" s="607"/>
      <c r="O53" s="607"/>
      <c r="P53" s="607"/>
      <c r="Q53" s="607"/>
      <c r="R53" s="607"/>
      <c r="S53" s="209"/>
      <c r="T53" s="607"/>
      <c r="U53" s="607"/>
      <c r="V53" s="607"/>
      <c r="W53" s="607"/>
      <c r="X53" s="608"/>
      <c r="Y53" s="319"/>
      <c r="Z53" s="317"/>
      <c r="AA53" s="317"/>
      <c r="AB53" s="317"/>
      <c r="AC53" s="317"/>
      <c r="AD53" s="317"/>
      <c r="AE53" s="317"/>
      <c r="AF53" s="317"/>
      <c r="AG53" s="317"/>
      <c r="AH53" s="317"/>
      <c r="AI53" s="317"/>
      <c r="AJ53" s="320"/>
      <c r="AL53" s="671" t="s">
        <v>27</v>
      </c>
      <c r="AM53" s="671"/>
      <c r="AN53" s="671" t="s">
        <v>58</v>
      </c>
      <c r="AO53" s="671"/>
      <c r="AP53" s="671" t="s">
        <v>14</v>
      </c>
      <c r="AQ53" s="671"/>
      <c r="AR53" s="671" t="s">
        <v>22</v>
      </c>
      <c r="AS53" s="671"/>
      <c r="AT53" s="671" t="s">
        <v>1</v>
      </c>
      <c r="AU53" s="671"/>
      <c r="AV53" s="671" t="s">
        <v>18</v>
      </c>
      <c r="AW53" s="671"/>
      <c r="AX53" s="671" t="s">
        <v>28</v>
      </c>
      <c r="AY53" s="671"/>
      <c r="AZ53" s="671" t="s">
        <v>24</v>
      </c>
      <c r="BA53" s="671"/>
      <c r="BB53" s="671" t="s">
        <v>16</v>
      </c>
      <c r="BC53" s="671"/>
      <c r="BD53" s="671" t="s">
        <v>67</v>
      </c>
      <c r="BE53" s="671"/>
      <c r="BF53" s="671" t="s">
        <v>20</v>
      </c>
      <c r="BG53" s="671"/>
      <c r="BH53" s="671" t="s">
        <v>68</v>
      </c>
      <c r="BI53" s="671"/>
      <c r="BK53" s="672" t="s">
        <v>108</v>
      </c>
      <c r="BL53" s="673"/>
      <c r="BM53" s="659">
        <f>SUM(AL54:BI54)</f>
        <v>1</v>
      </c>
      <c r="BN53" s="660"/>
      <c r="BO53" s="661"/>
      <c r="BP53" s="676" t="s">
        <v>107</v>
      </c>
      <c r="BQ53" s="677"/>
      <c r="BR53" s="673"/>
      <c r="BS53" s="665"/>
      <c r="BT53" s="666"/>
      <c r="BU53" s="667"/>
      <c r="BW53" s="681"/>
      <c r="BX53" s="682"/>
      <c r="BY53" s="682"/>
      <c r="BZ53" s="682"/>
      <c r="CA53" s="682"/>
      <c r="CB53" s="682"/>
      <c r="CC53" s="682"/>
      <c r="CD53" s="682"/>
      <c r="CE53" s="682"/>
      <c r="CF53" s="682"/>
      <c r="CG53" s="682"/>
      <c r="CH53" s="683"/>
    </row>
    <row r="54" spans="2:86" ht="22.5" customHeight="1">
      <c r="B54" s="486">
        <v>208</v>
      </c>
      <c r="C54" s="606"/>
      <c r="D54" s="317" t="s">
        <v>495</v>
      </c>
      <c r="E54" s="317"/>
      <c r="F54" s="317"/>
      <c r="G54" s="317"/>
      <c r="H54" s="317"/>
      <c r="I54" s="317"/>
      <c r="J54" s="426">
        <v>6</v>
      </c>
      <c r="K54" s="426"/>
      <c r="L54" s="607"/>
      <c r="M54" s="607"/>
      <c r="N54" s="607"/>
      <c r="O54" s="607"/>
      <c r="P54" s="607"/>
      <c r="Q54" s="607"/>
      <c r="R54" s="607"/>
      <c r="S54" s="209"/>
      <c r="T54" s="607"/>
      <c r="U54" s="607"/>
      <c r="V54" s="607"/>
      <c r="W54" s="607"/>
      <c r="X54" s="608"/>
      <c r="Y54" s="319" t="s">
        <v>272</v>
      </c>
      <c r="Z54" s="317"/>
      <c r="AA54" s="317"/>
      <c r="AB54" s="317"/>
      <c r="AC54" s="317"/>
      <c r="AD54" s="317" t="s">
        <v>723</v>
      </c>
      <c r="AE54" s="317"/>
      <c r="AF54" s="317" t="s">
        <v>732</v>
      </c>
      <c r="AG54" s="317"/>
      <c r="AH54" s="317"/>
      <c r="AI54" s="317"/>
      <c r="AJ54" s="320"/>
      <c r="AL54" s="330">
        <v>0</v>
      </c>
      <c r="AM54" s="330"/>
      <c r="AN54" s="330">
        <v>1</v>
      </c>
      <c r="AO54" s="330"/>
      <c r="AP54" s="330">
        <v>0</v>
      </c>
      <c r="AQ54" s="330"/>
      <c r="AR54" s="330">
        <v>0</v>
      </c>
      <c r="AS54" s="330"/>
      <c r="AT54" s="330"/>
      <c r="AU54" s="330"/>
      <c r="AV54" s="330"/>
      <c r="AW54" s="330"/>
      <c r="AX54" s="330"/>
      <c r="AY54" s="330"/>
      <c r="AZ54" s="330"/>
      <c r="BA54" s="330"/>
      <c r="BB54" s="330"/>
      <c r="BC54" s="330"/>
      <c r="BD54" s="330"/>
      <c r="BE54" s="330"/>
      <c r="BF54" s="330"/>
      <c r="BG54" s="330"/>
      <c r="BH54" s="330"/>
      <c r="BI54" s="330"/>
      <c r="BK54" s="674"/>
      <c r="BL54" s="675"/>
      <c r="BM54" s="662"/>
      <c r="BN54" s="663"/>
      <c r="BO54" s="664"/>
      <c r="BP54" s="652">
        <f>IF(COUNT(AL54:BI54)=0,"",ROUND(AVERAGE(AL54:BI54),1))</f>
        <v>0.3</v>
      </c>
      <c r="BQ54" s="653"/>
      <c r="BR54" s="654"/>
      <c r="BS54" s="668"/>
      <c r="BT54" s="669"/>
      <c r="BU54" s="670"/>
      <c r="BW54" s="681"/>
      <c r="BX54" s="682"/>
      <c r="BY54" s="682"/>
      <c r="BZ54" s="682"/>
      <c r="CA54" s="682"/>
      <c r="CB54" s="682"/>
      <c r="CC54" s="682"/>
      <c r="CD54" s="682"/>
      <c r="CE54" s="682"/>
      <c r="CF54" s="682"/>
      <c r="CG54" s="682"/>
      <c r="CH54" s="683"/>
    </row>
    <row r="55" spans="2:86" ht="22.5" customHeight="1">
      <c r="B55" s="486">
        <v>209</v>
      </c>
      <c r="C55" s="606"/>
      <c r="D55" s="317" t="s">
        <v>496</v>
      </c>
      <c r="E55" s="317"/>
      <c r="F55" s="317"/>
      <c r="G55" s="317"/>
      <c r="H55" s="317"/>
      <c r="I55" s="317"/>
      <c r="J55" s="426">
        <v>4</v>
      </c>
      <c r="K55" s="426"/>
      <c r="L55" s="607"/>
      <c r="M55" s="607"/>
      <c r="N55" s="607"/>
      <c r="O55" s="607"/>
      <c r="P55" s="607"/>
      <c r="Q55" s="607"/>
      <c r="R55" s="607"/>
      <c r="S55" s="209"/>
      <c r="T55" s="607"/>
      <c r="U55" s="607"/>
      <c r="V55" s="607"/>
      <c r="W55" s="607"/>
      <c r="X55" s="608"/>
      <c r="Y55" s="319"/>
      <c r="Z55" s="317"/>
      <c r="AA55" s="317"/>
      <c r="AB55" s="317"/>
      <c r="AC55" s="317"/>
      <c r="AD55" s="317"/>
      <c r="AE55" s="317"/>
      <c r="AF55" s="317"/>
      <c r="AG55" s="317"/>
      <c r="AH55" s="317"/>
      <c r="AI55" s="317"/>
      <c r="AJ55" s="320"/>
      <c r="AL55" s="173"/>
      <c r="AM55" s="174"/>
      <c r="AN55" s="174"/>
      <c r="AO55" s="174"/>
      <c r="AQ55" s="169"/>
      <c r="AR55" s="168"/>
      <c r="AS55" s="168"/>
      <c r="AT55" s="168"/>
      <c r="AU55" s="168"/>
      <c r="AV55" s="168"/>
      <c r="AW55" s="169"/>
      <c r="AX55" s="172"/>
      <c r="AY55" s="172"/>
      <c r="AZ55" s="172"/>
      <c r="BA55" s="172"/>
      <c r="BB55" s="168"/>
      <c r="BC55" s="168"/>
      <c r="BD55" s="168"/>
      <c r="BE55" s="168"/>
      <c r="BF55" s="169"/>
      <c r="BG55" s="169"/>
      <c r="BH55" s="169"/>
      <c r="BI55" s="169"/>
      <c r="BW55" s="681"/>
      <c r="BX55" s="682"/>
      <c r="BY55" s="682"/>
      <c r="BZ55" s="682"/>
      <c r="CA55" s="682"/>
      <c r="CB55" s="682"/>
      <c r="CC55" s="682"/>
      <c r="CD55" s="682"/>
      <c r="CE55" s="682"/>
      <c r="CF55" s="682"/>
      <c r="CG55" s="682"/>
      <c r="CH55" s="683"/>
    </row>
    <row r="56" spans="2:86" ht="22.5" customHeight="1" thickBot="1">
      <c r="B56" s="622">
        <v>210</v>
      </c>
      <c r="C56" s="623"/>
      <c r="D56" s="624" t="s">
        <v>497</v>
      </c>
      <c r="E56" s="624"/>
      <c r="F56" s="624"/>
      <c r="G56" s="624"/>
      <c r="H56" s="624"/>
      <c r="I56" s="624"/>
      <c r="J56" s="625">
        <v>6</v>
      </c>
      <c r="K56" s="625"/>
      <c r="L56" s="626"/>
      <c r="M56" s="626"/>
      <c r="N56" s="626"/>
      <c r="O56" s="626"/>
      <c r="P56" s="626"/>
      <c r="Q56" s="626"/>
      <c r="R56" s="626"/>
      <c r="S56" s="211"/>
      <c r="T56" s="626"/>
      <c r="U56" s="626"/>
      <c r="V56" s="626"/>
      <c r="W56" s="626"/>
      <c r="X56" s="627"/>
      <c r="Y56" s="628"/>
      <c r="Z56" s="624"/>
      <c r="AA56" s="624"/>
      <c r="AB56" s="624"/>
      <c r="AC56" s="624"/>
      <c r="AD56" s="624"/>
      <c r="AE56" s="624"/>
      <c r="AF56" s="624"/>
      <c r="AG56" s="624"/>
      <c r="AH56" s="624"/>
      <c r="AI56" s="624"/>
      <c r="AJ56" s="629"/>
      <c r="AL56" s="182" t="s">
        <v>243</v>
      </c>
      <c r="AM56" s="182"/>
      <c r="AN56" s="182"/>
      <c r="AO56" s="182"/>
      <c r="AP56" s="182"/>
      <c r="AQ56" s="182"/>
      <c r="AR56" s="183"/>
      <c r="AS56" s="183"/>
      <c r="AT56" s="183"/>
      <c r="AU56" s="183"/>
      <c r="AV56" s="183"/>
      <c r="AW56" s="183"/>
      <c r="AX56" s="179"/>
      <c r="AY56" s="184"/>
      <c r="AZ56" s="184"/>
      <c r="BA56" s="184"/>
      <c r="BB56" s="185"/>
      <c r="BC56" s="185"/>
      <c r="BD56" s="185"/>
      <c r="BE56" s="185"/>
      <c r="BF56" s="186"/>
      <c r="BG56" s="186"/>
      <c r="BH56" s="186"/>
      <c r="BI56" s="186"/>
      <c r="BJ56" s="163"/>
      <c r="BK56" s="163"/>
      <c r="BL56" s="163"/>
      <c r="BM56" s="163"/>
      <c r="BN56" s="163"/>
      <c r="BO56" s="163"/>
      <c r="BP56" s="163"/>
      <c r="BQ56" s="163"/>
      <c r="BR56" s="163"/>
      <c r="BS56" s="163"/>
      <c r="BT56" s="163"/>
      <c r="BU56" s="163"/>
      <c r="BW56" s="681"/>
      <c r="BX56" s="682"/>
      <c r="BY56" s="682"/>
      <c r="BZ56" s="682"/>
      <c r="CA56" s="682"/>
      <c r="CB56" s="682"/>
      <c r="CC56" s="682"/>
      <c r="CD56" s="682"/>
      <c r="CE56" s="682"/>
      <c r="CF56" s="682"/>
      <c r="CG56" s="682"/>
      <c r="CH56" s="683"/>
    </row>
    <row r="57" spans="2:86" ht="22.5" customHeight="1">
      <c r="B57" s="550">
        <v>301</v>
      </c>
      <c r="C57" s="645"/>
      <c r="D57" s="646"/>
      <c r="E57" s="646"/>
      <c r="F57" s="646"/>
      <c r="G57" s="646"/>
      <c r="H57" s="646"/>
      <c r="I57" s="646"/>
      <c r="J57" s="647"/>
      <c r="K57" s="647"/>
      <c r="L57" s="648"/>
      <c r="M57" s="648"/>
      <c r="N57" s="648"/>
      <c r="O57" s="648"/>
      <c r="P57" s="648"/>
      <c r="Q57" s="648"/>
      <c r="R57" s="648"/>
      <c r="S57" s="212"/>
      <c r="T57" s="648"/>
      <c r="U57" s="648"/>
      <c r="V57" s="648"/>
      <c r="W57" s="648"/>
      <c r="X57" s="649"/>
      <c r="Y57" s="650"/>
      <c r="Z57" s="646"/>
      <c r="AA57" s="646"/>
      <c r="AB57" s="646"/>
      <c r="AC57" s="646"/>
      <c r="AD57" s="646"/>
      <c r="AE57" s="646"/>
      <c r="AF57" s="646"/>
      <c r="AG57" s="646"/>
      <c r="AH57" s="646"/>
      <c r="AI57" s="646"/>
      <c r="AJ57" s="651"/>
      <c r="AL57" s="600" t="s">
        <v>27</v>
      </c>
      <c r="AM57" s="600"/>
      <c r="AN57" s="600" t="s">
        <v>58</v>
      </c>
      <c r="AO57" s="600"/>
      <c r="AP57" s="600" t="s">
        <v>14</v>
      </c>
      <c r="AQ57" s="600"/>
      <c r="AR57" s="600" t="s">
        <v>22</v>
      </c>
      <c r="AS57" s="600"/>
      <c r="AT57" s="600" t="s">
        <v>1</v>
      </c>
      <c r="AU57" s="600"/>
      <c r="AV57" s="600" t="s">
        <v>18</v>
      </c>
      <c r="AW57" s="600"/>
      <c r="AX57" s="600" t="s">
        <v>28</v>
      </c>
      <c r="AY57" s="600"/>
      <c r="AZ57" s="600" t="s">
        <v>24</v>
      </c>
      <c r="BA57" s="600"/>
      <c r="BB57" s="600" t="s">
        <v>16</v>
      </c>
      <c r="BC57" s="600"/>
      <c r="BD57" s="600" t="s">
        <v>67</v>
      </c>
      <c r="BE57" s="600"/>
      <c r="BF57" s="600" t="s">
        <v>20</v>
      </c>
      <c r="BG57" s="600"/>
      <c r="BH57" s="600" t="s">
        <v>68</v>
      </c>
      <c r="BI57" s="600"/>
      <c r="BK57" s="658" t="s">
        <v>108</v>
      </c>
      <c r="BL57" s="326"/>
      <c r="BM57" s="659">
        <f>SUM(AL58:BI58)</f>
        <v>1</v>
      </c>
      <c r="BN57" s="660"/>
      <c r="BO57" s="661"/>
      <c r="BP57" s="327" t="s">
        <v>107</v>
      </c>
      <c r="BQ57" s="328"/>
      <c r="BR57" s="326"/>
      <c r="BS57" s="665"/>
      <c r="BT57" s="666"/>
      <c r="BU57" s="667"/>
      <c r="BW57" s="684"/>
      <c r="BX57" s="685"/>
      <c r="BY57" s="685"/>
      <c r="BZ57" s="685"/>
      <c r="CA57" s="685"/>
      <c r="CB57" s="685"/>
      <c r="CC57" s="685"/>
      <c r="CD57" s="685"/>
      <c r="CE57" s="685"/>
      <c r="CF57" s="685"/>
      <c r="CG57" s="685"/>
      <c r="CH57" s="686"/>
    </row>
    <row r="58" spans="2:86" ht="22.5" customHeight="1">
      <c r="B58" s="486">
        <v>302</v>
      </c>
      <c r="C58" s="606"/>
      <c r="D58" s="317"/>
      <c r="E58" s="317"/>
      <c r="F58" s="317"/>
      <c r="G58" s="317"/>
      <c r="H58" s="317"/>
      <c r="I58" s="317"/>
      <c r="J58" s="426"/>
      <c r="K58" s="426"/>
      <c r="L58" s="607"/>
      <c r="M58" s="607"/>
      <c r="N58" s="607"/>
      <c r="O58" s="607"/>
      <c r="P58" s="607"/>
      <c r="Q58" s="607"/>
      <c r="R58" s="607"/>
      <c r="S58" s="209"/>
      <c r="T58" s="607"/>
      <c r="U58" s="607"/>
      <c r="V58" s="607"/>
      <c r="W58" s="607"/>
      <c r="X58" s="608"/>
      <c r="Y58" s="319"/>
      <c r="Z58" s="317"/>
      <c r="AA58" s="317"/>
      <c r="AB58" s="317"/>
      <c r="AC58" s="317"/>
      <c r="AD58" s="317"/>
      <c r="AE58" s="317"/>
      <c r="AF58" s="317"/>
      <c r="AG58" s="317"/>
      <c r="AH58" s="317"/>
      <c r="AI58" s="317"/>
      <c r="AJ58" s="320"/>
      <c r="AL58" s="330">
        <v>1</v>
      </c>
      <c r="AM58" s="330"/>
      <c r="AN58" s="330">
        <v>0</v>
      </c>
      <c r="AO58" s="330"/>
      <c r="AP58" s="330">
        <v>0</v>
      </c>
      <c r="AQ58" s="330"/>
      <c r="AR58" s="330"/>
      <c r="AS58" s="330"/>
      <c r="AT58" s="330"/>
      <c r="AU58" s="330"/>
      <c r="AV58" s="330"/>
      <c r="AW58" s="330"/>
      <c r="AX58" s="330"/>
      <c r="AY58" s="330"/>
      <c r="AZ58" s="330"/>
      <c r="BA58" s="330"/>
      <c r="BB58" s="330"/>
      <c r="BC58" s="330"/>
      <c r="BD58" s="330"/>
      <c r="BE58" s="330"/>
      <c r="BF58" s="330"/>
      <c r="BG58" s="330"/>
      <c r="BH58" s="330"/>
      <c r="BI58" s="330"/>
      <c r="BK58" s="575"/>
      <c r="BL58" s="576"/>
      <c r="BM58" s="662"/>
      <c r="BN58" s="663"/>
      <c r="BO58" s="664"/>
      <c r="BP58" s="652">
        <f>IF(COUNT(AL58:BI58)=0,"",ROUND(AVERAGE(AL58:BI58),1))</f>
        <v>0.3</v>
      </c>
      <c r="BQ58" s="653"/>
      <c r="BR58" s="654"/>
      <c r="BS58" s="668"/>
      <c r="BT58" s="669"/>
      <c r="BU58" s="670"/>
    </row>
    <row r="59" spans="2:86" ht="22.5" customHeight="1">
      <c r="B59" s="486">
        <v>303</v>
      </c>
      <c r="C59" s="606"/>
      <c r="D59" s="317"/>
      <c r="E59" s="317"/>
      <c r="F59" s="317"/>
      <c r="G59" s="317"/>
      <c r="H59" s="317"/>
      <c r="I59" s="317"/>
      <c r="J59" s="426"/>
      <c r="K59" s="426"/>
      <c r="L59" s="607"/>
      <c r="M59" s="607"/>
      <c r="N59" s="607"/>
      <c r="O59" s="607"/>
      <c r="P59" s="607"/>
      <c r="Q59" s="607"/>
      <c r="R59" s="607"/>
      <c r="S59" s="209"/>
      <c r="T59" s="607"/>
      <c r="U59" s="607"/>
      <c r="V59" s="607"/>
      <c r="W59" s="607"/>
      <c r="X59" s="608"/>
      <c r="Y59" s="319"/>
      <c r="Z59" s="317"/>
      <c r="AA59" s="317"/>
      <c r="AB59" s="317"/>
      <c r="AC59" s="317"/>
      <c r="AD59" s="317"/>
      <c r="AE59" s="317"/>
      <c r="AF59" s="317"/>
      <c r="AG59" s="317"/>
      <c r="AH59" s="317"/>
      <c r="AI59" s="317"/>
      <c r="AJ59" s="320"/>
      <c r="AY59" s="172"/>
      <c r="AZ59" s="172"/>
      <c r="BA59" s="172"/>
      <c r="BB59" s="168"/>
      <c r="BC59" s="168"/>
      <c r="BD59" s="168"/>
      <c r="BE59" s="168"/>
      <c r="BF59" s="169"/>
      <c r="BG59" s="169"/>
      <c r="BH59" s="169"/>
      <c r="BI59" s="169"/>
      <c r="BW59" s="179" t="s">
        <v>259</v>
      </c>
      <c r="BX59" s="179"/>
      <c r="BY59" s="179"/>
      <c r="BZ59" s="179"/>
      <c r="CA59" s="179"/>
      <c r="CB59" s="179"/>
      <c r="CC59" s="179"/>
      <c r="CD59" s="179"/>
      <c r="CE59" s="179"/>
      <c r="CF59" s="179"/>
      <c r="CG59" s="179"/>
      <c r="CH59" s="179"/>
    </row>
    <row r="60" spans="2:86" ht="22.5" customHeight="1">
      <c r="B60" s="486">
        <v>304</v>
      </c>
      <c r="C60" s="606"/>
      <c r="D60" s="317"/>
      <c r="E60" s="317"/>
      <c r="F60" s="317"/>
      <c r="G60" s="317"/>
      <c r="H60" s="317"/>
      <c r="I60" s="317"/>
      <c r="J60" s="426"/>
      <c r="K60" s="426"/>
      <c r="L60" s="607"/>
      <c r="M60" s="607"/>
      <c r="N60" s="607"/>
      <c r="O60" s="607"/>
      <c r="P60" s="607"/>
      <c r="Q60" s="607"/>
      <c r="R60" s="607"/>
      <c r="S60" s="209"/>
      <c r="T60" s="607"/>
      <c r="U60" s="607"/>
      <c r="V60" s="607"/>
      <c r="W60" s="607"/>
      <c r="X60" s="608"/>
      <c r="Y60" s="319"/>
      <c r="Z60" s="317"/>
      <c r="AA60" s="317"/>
      <c r="AB60" s="317"/>
      <c r="AC60" s="317"/>
      <c r="AD60" s="317"/>
      <c r="AE60" s="317"/>
      <c r="AF60" s="317"/>
      <c r="AG60" s="317"/>
      <c r="AH60" s="317"/>
      <c r="AI60" s="317"/>
      <c r="AJ60" s="320"/>
      <c r="AL60" s="182" t="s">
        <v>231</v>
      </c>
      <c r="AM60" s="182"/>
      <c r="AN60" s="182"/>
      <c r="AO60" s="182"/>
      <c r="AP60" s="182"/>
      <c r="AQ60" s="182"/>
      <c r="AR60" s="183"/>
      <c r="AS60" s="183"/>
      <c r="AT60" s="183"/>
      <c r="AU60" s="183"/>
      <c r="AV60" s="183"/>
      <c r="AW60" s="183"/>
      <c r="AX60" s="184"/>
      <c r="AY60" s="184"/>
      <c r="AZ60" s="184"/>
      <c r="BA60" s="184"/>
      <c r="BB60" s="185"/>
      <c r="BC60" s="185"/>
      <c r="BD60" s="185"/>
      <c r="BE60" s="185"/>
      <c r="BF60" s="186"/>
      <c r="BG60" s="186"/>
      <c r="BH60" s="186"/>
      <c r="BI60" s="186"/>
      <c r="BJ60" s="163"/>
      <c r="BK60" s="163"/>
      <c r="BL60" s="163"/>
      <c r="BM60" s="163"/>
      <c r="BN60" s="163"/>
      <c r="BO60" s="163"/>
      <c r="BP60" s="163"/>
      <c r="BQ60" s="163"/>
      <c r="BR60" s="163"/>
      <c r="BS60" s="163"/>
      <c r="BT60" s="163"/>
      <c r="BU60" s="163"/>
      <c r="BW60" s="687"/>
      <c r="BX60" s="688"/>
      <c r="BY60" s="688"/>
      <c r="BZ60" s="688"/>
      <c r="CA60" s="688"/>
      <c r="CB60" s="688"/>
      <c r="CC60" s="688"/>
      <c r="CD60" s="688"/>
      <c r="CE60" s="688"/>
      <c r="CF60" s="688"/>
      <c r="CG60" s="688"/>
      <c r="CH60" s="689"/>
    </row>
    <row r="61" spans="2:86" ht="22.5" customHeight="1">
      <c r="B61" s="486">
        <v>305</v>
      </c>
      <c r="C61" s="606"/>
      <c r="D61" s="317"/>
      <c r="E61" s="317"/>
      <c r="F61" s="317"/>
      <c r="G61" s="317"/>
      <c r="H61" s="317"/>
      <c r="I61" s="317"/>
      <c r="J61" s="426"/>
      <c r="K61" s="426"/>
      <c r="L61" s="607"/>
      <c r="M61" s="607"/>
      <c r="N61" s="607"/>
      <c r="O61" s="607"/>
      <c r="P61" s="607"/>
      <c r="Q61" s="607"/>
      <c r="R61" s="607"/>
      <c r="S61" s="209"/>
      <c r="T61" s="607"/>
      <c r="U61" s="607"/>
      <c r="V61" s="607"/>
      <c r="W61" s="607"/>
      <c r="X61" s="608"/>
      <c r="Y61" s="319"/>
      <c r="Z61" s="317"/>
      <c r="AA61" s="317"/>
      <c r="AB61" s="317"/>
      <c r="AC61" s="317"/>
      <c r="AD61" s="317"/>
      <c r="AE61" s="317"/>
      <c r="AF61" s="317"/>
      <c r="AG61" s="317"/>
      <c r="AH61" s="317"/>
      <c r="AI61" s="317"/>
      <c r="AJ61" s="320"/>
      <c r="AL61" s="600" t="s">
        <v>27</v>
      </c>
      <c r="AM61" s="600"/>
      <c r="AN61" s="600" t="s">
        <v>58</v>
      </c>
      <c r="AO61" s="600"/>
      <c r="AP61" s="600" t="s">
        <v>14</v>
      </c>
      <c r="AQ61" s="600"/>
      <c r="AR61" s="600" t="s">
        <v>22</v>
      </c>
      <c r="AS61" s="600"/>
      <c r="AT61" s="600" t="s">
        <v>1</v>
      </c>
      <c r="AU61" s="600"/>
      <c r="AV61" s="600" t="s">
        <v>18</v>
      </c>
      <c r="AW61" s="600"/>
      <c r="AX61" s="600" t="s">
        <v>28</v>
      </c>
      <c r="AY61" s="600"/>
      <c r="AZ61" s="600" t="s">
        <v>24</v>
      </c>
      <c r="BA61" s="600"/>
      <c r="BB61" s="600" t="s">
        <v>16</v>
      </c>
      <c r="BC61" s="600"/>
      <c r="BD61" s="600" t="s">
        <v>67</v>
      </c>
      <c r="BE61" s="600"/>
      <c r="BF61" s="600" t="s">
        <v>20</v>
      </c>
      <c r="BG61" s="600"/>
      <c r="BH61" s="600" t="s">
        <v>68</v>
      </c>
      <c r="BI61" s="600"/>
      <c r="BK61" s="658" t="s">
        <v>108</v>
      </c>
      <c r="BL61" s="326"/>
      <c r="BM61" s="699">
        <f>SUM(AL62:BI62)</f>
        <v>0</v>
      </c>
      <c r="BN61" s="700"/>
      <c r="BO61" s="701"/>
      <c r="BP61" s="327" t="s">
        <v>107</v>
      </c>
      <c r="BQ61" s="328"/>
      <c r="BR61" s="326"/>
      <c r="BS61" s="665"/>
      <c r="BT61" s="666"/>
      <c r="BU61" s="667"/>
      <c r="BW61" s="690"/>
      <c r="BX61" s="691"/>
      <c r="BY61" s="691"/>
      <c r="BZ61" s="691"/>
      <c r="CA61" s="691"/>
      <c r="CB61" s="691"/>
      <c r="CC61" s="691"/>
      <c r="CD61" s="691"/>
      <c r="CE61" s="691"/>
      <c r="CF61" s="691"/>
      <c r="CG61" s="691"/>
      <c r="CH61" s="692"/>
    </row>
    <row r="62" spans="2:86" ht="22.5" customHeight="1">
      <c r="B62" s="486">
        <v>306</v>
      </c>
      <c r="C62" s="606"/>
      <c r="D62" s="317"/>
      <c r="E62" s="317"/>
      <c r="F62" s="317"/>
      <c r="G62" s="317"/>
      <c r="H62" s="317"/>
      <c r="I62" s="317"/>
      <c r="J62" s="426"/>
      <c r="K62" s="426"/>
      <c r="L62" s="607"/>
      <c r="M62" s="607"/>
      <c r="N62" s="607"/>
      <c r="O62" s="607"/>
      <c r="P62" s="607"/>
      <c r="Q62" s="607"/>
      <c r="R62" s="607"/>
      <c r="S62" s="209"/>
      <c r="T62" s="607"/>
      <c r="U62" s="607"/>
      <c r="V62" s="607"/>
      <c r="W62" s="607"/>
      <c r="X62" s="608"/>
      <c r="Y62" s="319"/>
      <c r="Z62" s="317"/>
      <c r="AA62" s="317"/>
      <c r="AB62" s="317"/>
      <c r="AC62" s="317"/>
      <c r="AD62" s="317"/>
      <c r="AE62" s="317"/>
      <c r="AF62" s="317"/>
      <c r="AG62" s="317"/>
      <c r="AH62" s="317"/>
      <c r="AI62" s="317"/>
      <c r="AJ62" s="320"/>
      <c r="AL62" s="330"/>
      <c r="AM62" s="330"/>
      <c r="AN62" s="330"/>
      <c r="AO62" s="330"/>
      <c r="AP62" s="330"/>
      <c r="AQ62" s="330"/>
      <c r="AR62" s="330"/>
      <c r="AS62" s="330"/>
      <c r="AT62" s="330"/>
      <c r="AU62" s="330"/>
      <c r="AV62" s="330"/>
      <c r="AW62" s="330"/>
      <c r="AX62" s="330"/>
      <c r="AY62" s="330"/>
      <c r="AZ62" s="330"/>
      <c r="BA62" s="330"/>
      <c r="BB62" s="330"/>
      <c r="BC62" s="330"/>
      <c r="BD62" s="330"/>
      <c r="BE62" s="330"/>
      <c r="BF62" s="330"/>
      <c r="BG62" s="330"/>
      <c r="BH62" s="330"/>
      <c r="BI62" s="330"/>
      <c r="BK62" s="575"/>
      <c r="BL62" s="576"/>
      <c r="BM62" s="702"/>
      <c r="BN62" s="703"/>
      <c r="BO62" s="704"/>
      <c r="BP62" s="696" t="str">
        <f>IF(COUNT(AL62:BI62)=0,"",ROUND(AVERAGE(AL62:BI62),1))</f>
        <v/>
      </c>
      <c r="BQ62" s="697"/>
      <c r="BR62" s="698"/>
      <c r="BS62" s="668"/>
      <c r="BT62" s="669"/>
      <c r="BU62" s="670"/>
      <c r="BW62" s="690"/>
      <c r="BX62" s="691"/>
      <c r="BY62" s="691"/>
      <c r="BZ62" s="691"/>
      <c r="CA62" s="691"/>
      <c r="CB62" s="691"/>
      <c r="CC62" s="691"/>
      <c r="CD62" s="691"/>
      <c r="CE62" s="691"/>
      <c r="CF62" s="691"/>
      <c r="CG62" s="691"/>
      <c r="CH62" s="692"/>
    </row>
    <row r="63" spans="2:86" ht="22.5" customHeight="1">
      <c r="B63" s="486">
        <v>307</v>
      </c>
      <c r="C63" s="606"/>
      <c r="D63" s="317"/>
      <c r="E63" s="317"/>
      <c r="F63" s="317"/>
      <c r="G63" s="317"/>
      <c r="H63" s="317"/>
      <c r="I63" s="317"/>
      <c r="J63" s="426"/>
      <c r="K63" s="426"/>
      <c r="L63" s="607"/>
      <c r="M63" s="607"/>
      <c r="N63" s="607"/>
      <c r="O63" s="607"/>
      <c r="P63" s="607"/>
      <c r="Q63" s="607"/>
      <c r="R63" s="607"/>
      <c r="S63" s="209"/>
      <c r="T63" s="607"/>
      <c r="U63" s="607"/>
      <c r="V63" s="607"/>
      <c r="W63" s="607"/>
      <c r="X63" s="608"/>
      <c r="Y63" s="319"/>
      <c r="Z63" s="317"/>
      <c r="AA63" s="317"/>
      <c r="AB63" s="317"/>
      <c r="AC63" s="317"/>
      <c r="AD63" s="317"/>
      <c r="AE63" s="317"/>
      <c r="AF63" s="317"/>
      <c r="AG63" s="317"/>
      <c r="AH63" s="317"/>
      <c r="AI63" s="317"/>
      <c r="AJ63" s="320"/>
      <c r="AY63" s="172"/>
      <c r="AZ63" s="172"/>
      <c r="BA63" s="172"/>
      <c r="BB63" s="168"/>
      <c r="BC63" s="168"/>
      <c r="BD63" s="168"/>
      <c r="BE63" s="168"/>
      <c r="BF63" s="169"/>
      <c r="BG63" s="169"/>
      <c r="BH63" s="169"/>
      <c r="BI63" s="169"/>
      <c r="BW63" s="690"/>
      <c r="BX63" s="691"/>
      <c r="BY63" s="691"/>
      <c r="BZ63" s="691"/>
      <c r="CA63" s="691"/>
      <c r="CB63" s="691"/>
      <c r="CC63" s="691"/>
      <c r="CD63" s="691"/>
      <c r="CE63" s="691"/>
      <c r="CF63" s="691"/>
      <c r="CG63" s="691"/>
      <c r="CH63" s="692"/>
    </row>
    <row r="64" spans="2:86" ht="22.5" customHeight="1">
      <c r="B64" s="486">
        <v>308</v>
      </c>
      <c r="C64" s="606"/>
      <c r="D64" s="317"/>
      <c r="E64" s="317"/>
      <c r="F64" s="317"/>
      <c r="G64" s="317"/>
      <c r="H64" s="317"/>
      <c r="I64" s="317"/>
      <c r="J64" s="426"/>
      <c r="K64" s="426"/>
      <c r="L64" s="607"/>
      <c r="M64" s="607"/>
      <c r="N64" s="607"/>
      <c r="O64" s="607"/>
      <c r="P64" s="607"/>
      <c r="Q64" s="607"/>
      <c r="R64" s="607"/>
      <c r="S64" s="209"/>
      <c r="T64" s="607"/>
      <c r="U64" s="607"/>
      <c r="V64" s="607"/>
      <c r="W64" s="607"/>
      <c r="X64" s="608"/>
      <c r="Y64" s="319"/>
      <c r="Z64" s="317"/>
      <c r="AA64" s="317"/>
      <c r="AB64" s="317"/>
      <c r="AC64" s="317"/>
      <c r="AD64" s="317"/>
      <c r="AE64" s="317"/>
      <c r="AF64" s="317"/>
      <c r="AG64" s="317"/>
      <c r="AH64" s="317"/>
      <c r="AI64" s="317"/>
      <c r="AJ64" s="320"/>
      <c r="AL64" s="182" t="s">
        <v>230</v>
      </c>
      <c r="AM64" s="182"/>
      <c r="AN64" s="182"/>
      <c r="AO64" s="182"/>
      <c r="AP64" s="182"/>
      <c r="AQ64" s="182"/>
      <c r="AR64" s="183"/>
      <c r="AS64" s="183"/>
      <c r="AT64" s="183"/>
      <c r="AU64" s="183"/>
      <c r="AV64" s="183"/>
      <c r="AW64" s="183"/>
      <c r="AX64" s="179"/>
      <c r="AY64" s="184"/>
      <c r="AZ64" s="184"/>
      <c r="BA64" s="184"/>
      <c r="BB64" s="185"/>
      <c r="BC64" s="185"/>
      <c r="BD64" s="185"/>
      <c r="BE64" s="185"/>
      <c r="BF64" s="186"/>
      <c r="BG64" s="186"/>
      <c r="BH64" s="186"/>
      <c r="BI64" s="186"/>
      <c r="BJ64" s="163"/>
      <c r="BK64" s="163"/>
      <c r="BL64" s="163"/>
      <c r="BM64" s="163"/>
      <c r="BN64" s="163"/>
      <c r="BO64" s="163"/>
      <c r="BP64" s="163"/>
      <c r="BQ64" s="163"/>
      <c r="BR64" s="163"/>
      <c r="BS64" s="163"/>
      <c r="BT64" s="163"/>
      <c r="BU64" s="163"/>
      <c r="BW64" s="690"/>
      <c r="BX64" s="691"/>
      <c r="BY64" s="691"/>
      <c r="BZ64" s="691"/>
      <c r="CA64" s="691"/>
      <c r="CB64" s="691"/>
      <c r="CC64" s="691"/>
      <c r="CD64" s="691"/>
      <c r="CE64" s="691"/>
      <c r="CF64" s="691"/>
      <c r="CG64" s="691"/>
      <c r="CH64" s="692"/>
    </row>
    <row r="65" spans="2:86" ht="22.5" customHeight="1">
      <c r="B65" s="486">
        <v>309</v>
      </c>
      <c r="C65" s="606"/>
      <c r="D65" s="317"/>
      <c r="E65" s="317"/>
      <c r="F65" s="317"/>
      <c r="G65" s="317"/>
      <c r="H65" s="317"/>
      <c r="I65" s="317"/>
      <c r="J65" s="426"/>
      <c r="K65" s="426"/>
      <c r="L65" s="607"/>
      <c r="M65" s="607"/>
      <c r="N65" s="607"/>
      <c r="O65" s="607"/>
      <c r="P65" s="607"/>
      <c r="Q65" s="607"/>
      <c r="R65" s="607"/>
      <c r="S65" s="209"/>
      <c r="T65" s="607"/>
      <c r="U65" s="607"/>
      <c r="V65" s="607"/>
      <c r="W65" s="607"/>
      <c r="X65" s="608"/>
      <c r="Y65" s="319"/>
      <c r="Z65" s="317"/>
      <c r="AA65" s="317"/>
      <c r="AB65" s="317"/>
      <c r="AC65" s="317"/>
      <c r="AD65" s="317"/>
      <c r="AE65" s="317"/>
      <c r="AF65" s="317"/>
      <c r="AG65" s="317"/>
      <c r="AH65" s="317"/>
      <c r="AI65" s="317"/>
      <c r="AJ65" s="320"/>
      <c r="AL65" s="600" t="s">
        <v>27</v>
      </c>
      <c r="AM65" s="600"/>
      <c r="AN65" s="600" t="s">
        <v>58</v>
      </c>
      <c r="AO65" s="600"/>
      <c r="AP65" s="600" t="s">
        <v>14</v>
      </c>
      <c r="AQ65" s="600"/>
      <c r="AR65" s="600" t="s">
        <v>22</v>
      </c>
      <c r="AS65" s="600"/>
      <c r="AT65" s="600" t="s">
        <v>1</v>
      </c>
      <c r="AU65" s="600"/>
      <c r="AV65" s="600" t="s">
        <v>18</v>
      </c>
      <c r="AW65" s="600"/>
      <c r="AX65" s="600" t="s">
        <v>28</v>
      </c>
      <c r="AY65" s="600"/>
      <c r="AZ65" s="600" t="s">
        <v>24</v>
      </c>
      <c r="BA65" s="600"/>
      <c r="BB65" s="600" t="s">
        <v>16</v>
      </c>
      <c r="BC65" s="600"/>
      <c r="BD65" s="600" t="s">
        <v>67</v>
      </c>
      <c r="BE65" s="600"/>
      <c r="BF65" s="600" t="s">
        <v>20</v>
      </c>
      <c r="BG65" s="600"/>
      <c r="BH65" s="600" t="s">
        <v>68</v>
      </c>
      <c r="BI65" s="600"/>
      <c r="BK65" s="658" t="s">
        <v>108</v>
      </c>
      <c r="BL65" s="326"/>
      <c r="BM65" s="699">
        <f>SUM(AL66:BI66)</f>
        <v>0</v>
      </c>
      <c r="BN65" s="700"/>
      <c r="BO65" s="701"/>
      <c r="BP65" s="327" t="s">
        <v>107</v>
      </c>
      <c r="BQ65" s="328"/>
      <c r="BR65" s="326"/>
      <c r="BS65" s="665"/>
      <c r="BT65" s="666"/>
      <c r="BU65" s="667"/>
      <c r="BW65" s="690"/>
      <c r="BX65" s="691"/>
      <c r="BY65" s="691"/>
      <c r="BZ65" s="691"/>
      <c r="CA65" s="691"/>
      <c r="CB65" s="691"/>
      <c r="CC65" s="691"/>
      <c r="CD65" s="691"/>
      <c r="CE65" s="691"/>
      <c r="CF65" s="691"/>
      <c r="CG65" s="691"/>
      <c r="CH65" s="692"/>
    </row>
    <row r="66" spans="2:86" ht="22.5" customHeight="1">
      <c r="B66" s="575">
        <v>310</v>
      </c>
      <c r="C66" s="705"/>
      <c r="D66" s="534"/>
      <c r="E66" s="534"/>
      <c r="F66" s="534"/>
      <c r="G66" s="534"/>
      <c r="H66" s="534"/>
      <c r="I66" s="534"/>
      <c r="J66" s="706"/>
      <c r="K66" s="706"/>
      <c r="L66" s="656"/>
      <c r="M66" s="656"/>
      <c r="N66" s="656"/>
      <c r="O66" s="656"/>
      <c r="P66" s="656"/>
      <c r="Q66" s="656"/>
      <c r="R66" s="656"/>
      <c r="S66" s="213"/>
      <c r="T66" s="656"/>
      <c r="U66" s="656"/>
      <c r="V66" s="656"/>
      <c r="W66" s="656"/>
      <c r="X66" s="657"/>
      <c r="Y66" s="707"/>
      <c r="Z66" s="534"/>
      <c r="AA66" s="534"/>
      <c r="AB66" s="534"/>
      <c r="AC66" s="534"/>
      <c r="AD66" s="534"/>
      <c r="AE66" s="534"/>
      <c r="AF66" s="534"/>
      <c r="AG66" s="534"/>
      <c r="AH66" s="534"/>
      <c r="AI66" s="534"/>
      <c r="AJ66" s="535"/>
      <c r="AL66" s="330"/>
      <c r="AM66" s="330"/>
      <c r="AN66" s="330"/>
      <c r="AO66" s="330"/>
      <c r="AP66" s="330"/>
      <c r="AQ66" s="330"/>
      <c r="AR66" s="330"/>
      <c r="AS66" s="330"/>
      <c r="AT66" s="330"/>
      <c r="AU66" s="330"/>
      <c r="AV66" s="330"/>
      <c r="AW66" s="330"/>
      <c r="AX66" s="330"/>
      <c r="AY66" s="330"/>
      <c r="AZ66" s="330"/>
      <c r="BA66" s="330"/>
      <c r="BB66" s="330"/>
      <c r="BC66" s="330"/>
      <c r="BD66" s="330"/>
      <c r="BE66" s="330"/>
      <c r="BF66" s="330"/>
      <c r="BG66" s="330"/>
      <c r="BH66" s="330"/>
      <c r="BI66" s="330"/>
      <c r="BK66" s="575"/>
      <c r="BL66" s="576"/>
      <c r="BM66" s="702"/>
      <c r="BN66" s="703"/>
      <c r="BO66" s="704"/>
      <c r="BP66" s="696" t="str">
        <f>IF(COUNT(AL66:BI66)=0,"",ROUND(AVERAGE(AL66:BI66),1))</f>
        <v/>
      </c>
      <c r="BQ66" s="697"/>
      <c r="BR66" s="698"/>
      <c r="BS66" s="668"/>
      <c r="BT66" s="669"/>
      <c r="BU66" s="670"/>
      <c r="BW66" s="693"/>
      <c r="BX66" s="694"/>
      <c r="BY66" s="694"/>
      <c r="BZ66" s="694"/>
      <c r="CA66" s="694"/>
      <c r="CB66" s="694"/>
      <c r="CC66" s="694"/>
      <c r="CD66" s="694"/>
      <c r="CE66" s="694"/>
      <c r="CF66" s="694"/>
      <c r="CG66" s="694"/>
      <c r="CH66" s="695"/>
    </row>
    <row r="68" spans="2:86" ht="22.5" customHeight="1">
      <c r="B68" s="181" t="s">
        <v>31</v>
      </c>
      <c r="C68" s="179"/>
      <c r="D68" s="179"/>
      <c r="E68" s="179"/>
      <c r="F68" s="179"/>
      <c r="G68" s="179"/>
      <c r="H68" s="179"/>
      <c r="I68" s="179"/>
      <c r="J68" s="179"/>
      <c r="K68" s="179"/>
      <c r="L68" s="179"/>
      <c r="M68" s="179"/>
      <c r="N68" s="179"/>
      <c r="O68" s="179"/>
      <c r="P68" s="179"/>
      <c r="Q68" s="179"/>
      <c r="R68" s="179"/>
      <c r="S68" s="179"/>
      <c r="T68" s="179"/>
      <c r="U68" s="179"/>
      <c r="V68" s="179"/>
      <c r="W68" s="179"/>
      <c r="X68" s="179"/>
      <c r="Y68" s="179"/>
      <c r="Z68" s="179"/>
      <c r="AA68" s="179"/>
    </row>
    <row r="69" spans="2:86" ht="22.5" customHeight="1">
      <c r="B69" s="406" t="s">
        <v>0</v>
      </c>
      <c r="C69" s="406"/>
      <c r="D69" s="406"/>
      <c r="E69" s="406"/>
      <c r="F69" s="406"/>
      <c r="G69" s="406"/>
      <c r="H69" s="406"/>
      <c r="I69" s="406"/>
      <c r="J69" s="406"/>
      <c r="K69" s="406"/>
      <c r="L69" s="346" t="s">
        <v>30</v>
      </c>
      <c r="M69" s="343"/>
      <c r="N69" s="343"/>
      <c r="O69" s="343"/>
      <c r="P69" s="343"/>
      <c r="Q69" s="343"/>
      <c r="R69" s="343"/>
      <c r="S69" s="343"/>
      <c r="T69" s="343"/>
      <c r="U69" s="343"/>
      <c r="V69" s="343"/>
      <c r="W69" s="343"/>
      <c r="X69" s="343"/>
      <c r="Y69" s="343"/>
      <c r="Z69" s="343"/>
      <c r="AA69" s="345"/>
    </row>
    <row r="70" spans="2:86" ht="22.5" customHeight="1">
      <c r="B70" s="166" t="s">
        <v>228</v>
      </c>
      <c r="C70" s="429" t="s">
        <v>5</v>
      </c>
      <c r="D70" s="429"/>
      <c r="E70" s="429"/>
      <c r="F70" s="430" t="s">
        <v>8</v>
      </c>
      <c r="G70" s="430"/>
      <c r="H70" s="430"/>
      <c r="I70" s="430"/>
      <c r="J70" s="430"/>
      <c r="K70" s="430"/>
      <c r="L70" s="431" t="s">
        <v>12</v>
      </c>
      <c r="M70" s="432"/>
      <c r="N70" s="433" t="s">
        <v>11</v>
      </c>
      <c r="O70" s="434"/>
      <c r="P70" s="435"/>
      <c r="Q70" s="436"/>
      <c r="R70" s="436"/>
      <c r="S70" s="437"/>
      <c r="T70" s="431" t="s">
        <v>12</v>
      </c>
      <c r="U70" s="432"/>
      <c r="V70" s="433"/>
      <c r="W70" s="434"/>
      <c r="X70" s="435"/>
      <c r="Y70" s="436"/>
      <c r="Z70" s="436"/>
      <c r="AA70" s="438"/>
    </row>
    <row r="71" spans="2:86" ht="22.5" customHeight="1">
      <c r="B71" s="166" t="s">
        <v>228</v>
      </c>
      <c r="C71" s="429"/>
      <c r="D71" s="429"/>
      <c r="E71" s="429"/>
      <c r="F71" s="430" t="s">
        <v>7</v>
      </c>
      <c r="G71" s="430"/>
      <c r="H71" s="430"/>
      <c r="I71" s="430"/>
      <c r="J71" s="430"/>
      <c r="K71" s="430"/>
      <c r="L71" s="431" t="s">
        <v>12</v>
      </c>
      <c r="M71" s="432"/>
      <c r="N71" s="433" t="s">
        <v>11</v>
      </c>
      <c r="O71" s="434"/>
      <c r="P71" s="435"/>
      <c r="Q71" s="436"/>
      <c r="R71" s="436"/>
      <c r="S71" s="437"/>
      <c r="T71" s="431" t="s">
        <v>12</v>
      </c>
      <c r="U71" s="432"/>
      <c r="V71" s="433"/>
      <c r="W71" s="434"/>
      <c r="X71" s="435"/>
      <c r="Y71" s="436"/>
      <c r="Z71" s="436"/>
      <c r="AA71" s="438"/>
    </row>
    <row r="72" spans="2:86" ht="22.5" customHeight="1">
      <c r="B72" s="166" t="s">
        <v>228</v>
      </c>
      <c r="C72" s="429"/>
      <c r="D72" s="429"/>
      <c r="E72" s="429"/>
      <c r="F72" s="430" t="s">
        <v>9</v>
      </c>
      <c r="G72" s="430"/>
      <c r="H72" s="430"/>
      <c r="I72" s="430"/>
      <c r="J72" s="430"/>
      <c r="K72" s="430"/>
      <c r="L72" s="431" t="s">
        <v>12</v>
      </c>
      <c r="M72" s="432"/>
      <c r="N72" s="433" t="s">
        <v>15</v>
      </c>
      <c r="O72" s="434"/>
      <c r="P72" s="205"/>
      <c r="Q72" s="465" t="s">
        <v>17</v>
      </c>
      <c r="R72" s="465"/>
      <c r="S72" s="205"/>
      <c r="T72" s="431" t="s">
        <v>13</v>
      </c>
      <c r="U72" s="432"/>
      <c r="V72" s="433" t="s">
        <v>19</v>
      </c>
      <c r="W72" s="434"/>
      <c r="X72" s="206"/>
      <c r="Y72" s="465" t="s">
        <v>21</v>
      </c>
      <c r="Z72" s="465"/>
      <c r="AA72" s="207"/>
    </row>
    <row r="73" spans="2:86" ht="22.5" customHeight="1">
      <c r="B73" s="166" t="s">
        <v>228</v>
      </c>
      <c r="C73" s="429"/>
      <c r="D73" s="429"/>
      <c r="E73" s="429"/>
      <c r="F73" s="430" t="s">
        <v>6</v>
      </c>
      <c r="G73" s="430"/>
      <c r="H73" s="430"/>
      <c r="I73" s="430"/>
      <c r="J73" s="430"/>
      <c r="K73" s="430"/>
      <c r="L73" s="431" t="s">
        <v>12</v>
      </c>
      <c r="M73" s="432"/>
      <c r="N73" s="433" t="s">
        <v>23</v>
      </c>
      <c r="O73" s="434"/>
      <c r="P73" s="435"/>
      <c r="Q73" s="436"/>
      <c r="R73" s="436"/>
      <c r="S73" s="437"/>
      <c r="T73" s="431" t="s">
        <v>13</v>
      </c>
      <c r="U73" s="432"/>
      <c r="V73" s="433" t="s">
        <v>25</v>
      </c>
      <c r="W73" s="434"/>
      <c r="X73" s="435"/>
      <c r="Y73" s="436"/>
      <c r="Z73" s="436"/>
      <c r="AA73" s="438"/>
    </row>
    <row r="74" spans="2:86" ht="22.5" customHeight="1">
      <c r="B74" s="166" t="s">
        <v>228</v>
      </c>
      <c r="C74" s="429"/>
      <c r="D74" s="429"/>
      <c r="E74" s="429"/>
      <c r="F74" s="461"/>
      <c r="G74" s="461"/>
      <c r="H74" s="461"/>
      <c r="I74" s="461"/>
      <c r="J74" s="461"/>
      <c r="K74" s="461"/>
      <c r="L74" s="431" t="s">
        <v>12</v>
      </c>
      <c r="M74" s="432"/>
      <c r="N74" s="433"/>
      <c r="O74" s="434"/>
      <c r="P74" s="435"/>
      <c r="Q74" s="436"/>
      <c r="R74" s="436"/>
      <c r="S74" s="437"/>
      <c r="T74" s="431" t="s">
        <v>12</v>
      </c>
      <c r="U74" s="432"/>
      <c r="V74" s="433"/>
      <c r="W74" s="434"/>
      <c r="X74" s="435"/>
      <c r="Y74" s="436"/>
      <c r="Z74" s="436"/>
      <c r="AA74" s="438"/>
    </row>
    <row r="75" spans="2:86" ht="22.5" customHeight="1">
      <c r="B75" s="166" t="s">
        <v>228</v>
      </c>
      <c r="C75" s="466" t="s">
        <v>10</v>
      </c>
      <c r="D75" s="466"/>
      <c r="E75" s="466"/>
      <c r="F75" s="466"/>
      <c r="G75" s="466"/>
      <c r="H75" s="466"/>
      <c r="I75" s="466"/>
      <c r="J75" s="466"/>
      <c r="K75" s="466"/>
      <c r="L75" s="472" t="s">
        <v>26</v>
      </c>
      <c r="M75" s="472"/>
      <c r="N75" s="472"/>
      <c r="O75" s="472"/>
      <c r="P75" s="217" t="s">
        <v>724</v>
      </c>
      <c r="Q75" s="218" t="s">
        <v>724</v>
      </c>
      <c r="R75" s="218" t="s">
        <v>724</v>
      </c>
      <c r="S75" s="218">
        <v>4</v>
      </c>
      <c r="T75" s="218">
        <v>5</v>
      </c>
      <c r="U75" s="218">
        <v>6</v>
      </c>
      <c r="V75" s="218">
        <v>7</v>
      </c>
      <c r="W75" s="218">
        <v>8</v>
      </c>
      <c r="X75" s="218">
        <v>9</v>
      </c>
      <c r="Y75" s="218">
        <v>10</v>
      </c>
      <c r="Z75" s="218">
        <v>11</v>
      </c>
      <c r="AA75" s="219">
        <v>12</v>
      </c>
    </row>
    <row r="76" spans="2:86" ht="22.5" customHeight="1">
      <c r="B76" s="166" t="s">
        <v>228</v>
      </c>
      <c r="C76" s="466" t="s">
        <v>2</v>
      </c>
      <c r="D76" s="466"/>
      <c r="E76" s="466"/>
      <c r="F76" s="466"/>
      <c r="G76" s="466"/>
      <c r="H76" s="466"/>
      <c r="I76" s="466"/>
      <c r="J76" s="466"/>
      <c r="K76" s="466"/>
      <c r="L76" s="431" t="s">
        <v>13</v>
      </c>
      <c r="M76" s="432"/>
      <c r="N76" s="433" t="s">
        <v>27</v>
      </c>
      <c r="O76" s="434"/>
      <c r="P76" s="435"/>
      <c r="Q76" s="436"/>
      <c r="R76" s="436"/>
      <c r="S76" s="437"/>
      <c r="T76" s="431" t="s">
        <v>13</v>
      </c>
      <c r="U76" s="432"/>
      <c r="V76" s="433" t="s">
        <v>29</v>
      </c>
      <c r="W76" s="434"/>
      <c r="X76" s="435"/>
      <c r="Y76" s="436"/>
      <c r="Z76" s="436"/>
      <c r="AA76" s="438"/>
    </row>
    <row r="77" spans="2:86" ht="22.5" customHeight="1">
      <c r="B77" s="166" t="s">
        <v>228</v>
      </c>
      <c r="C77" s="466" t="s">
        <v>3</v>
      </c>
      <c r="D77" s="466"/>
      <c r="E77" s="466"/>
      <c r="F77" s="466"/>
      <c r="G77" s="466"/>
      <c r="H77" s="466"/>
      <c r="I77" s="466"/>
      <c r="J77" s="466"/>
      <c r="K77" s="466"/>
      <c r="L77" s="477" t="s">
        <v>252</v>
      </c>
      <c r="M77" s="477"/>
      <c r="N77" s="477"/>
      <c r="O77" s="477"/>
      <c r="P77" s="435"/>
      <c r="Q77" s="436"/>
      <c r="R77" s="436"/>
      <c r="S77" s="437"/>
      <c r="T77" s="455" t="s">
        <v>253</v>
      </c>
      <c r="U77" s="456"/>
      <c r="V77" s="456"/>
      <c r="W77" s="456"/>
      <c r="X77" s="456"/>
      <c r="Y77" s="456"/>
      <c r="Z77" s="456"/>
      <c r="AA77" s="457"/>
    </row>
    <row r="78" spans="2:86" ht="22.5" customHeight="1">
      <c r="B78" s="166" t="s">
        <v>228</v>
      </c>
      <c r="C78" s="466" t="s">
        <v>126</v>
      </c>
      <c r="D78" s="466"/>
      <c r="E78" s="466"/>
      <c r="F78" s="466"/>
      <c r="G78" s="466"/>
      <c r="H78" s="466"/>
      <c r="I78" s="466"/>
      <c r="J78" s="466"/>
      <c r="K78" s="466"/>
      <c r="L78" s="431" t="s">
        <v>36</v>
      </c>
      <c r="M78" s="432"/>
      <c r="N78" s="433" t="s">
        <v>245</v>
      </c>
      <c r="O78" s="434"/>
      <c r="P78" s="435"/>
      <c r="Q78" s="436"/>
      <c r="R78" s="436"/>
      <c r="S78" s="437"/>
      <c r="T78" s="431" t="s">
        <v>37</v>
      </c>
      <c r="U78" s="432"/>
      <c r="V78" s="433" t="s">
        <v>245</v>
      </c>
      <c r="W78" s="434"/>
      <c r="X78" s="435"/>
      <c r="Y78" s="436"/>
      <c r="Z78" s="436"/>
      <c r="AA78" s="438"/>
    </row>
    <row r="79" spans="2:86" ht="22.5" customHeight="1">
      <c r="B79" s="166" t="s">
        <v>228</v>
      </c>
      <c r="C79" s="466" t="s">
        <v>4</v>
      </c>
      <c r="D79" s="466"/>
      <c r="E79" s="466"/>
      <c r="F79" s="466"/>
      <c r="G79" s="466"/>
      <c r="H79" s="466"/>
      <c r="I79" s="466"/>
      <c r="J79" s="466"/>
      <c r="K79" s="466"/>
      <c r="L79" s="483"/>
      <c r="M79" s="484"/>
      <c r="N79" s="484"/>
      <c r="O79" s="484"/>
      <c r="P79" s="484"/>
      <c r="Q79" s="484"/>
      <c r="R79" s="484"/>
      <c r="S79" s="484"/>
      <c r="T79" s="484"/>
      <c r="U79" s="484"/>
      <c r="V79" s="484"/>
      <c r="W79" s="484"/>
      <c r="X79" s="484"/>
      <c r="Y79" s="484"/>
      <c r="Z79" s="484"/>
      <c r="AA79" s="485"/>
    </row>
    <row r="81" spans="2:63" ht="22.5" customHeight="1">
      <c r="B81" s="179" t="s">
        <v>40</v>
      </c>
      <c r="C81" s="179"/>
      <c r="D81" s="179"/>
      <c r="E81" s="179"/>
      <c r="F81" s="179"/>
      <c r="G81" s="179"/>
      <c r="H81" s="179"/>
      <c r="I81" s="179"/>
      <c r="J81" s="179"/>
      <c r="K81" s="179"/>
      <c r="L81" s="179"/>
      <c r="M81" s="179"/>
      <c r="N81" s="179"/>
      <c r="O81" s="183"/>
      <c r="P81" s="179"/>
      <c r="Q81" s="179"/>
      <c r="R81" s="179"/>
      <c r="S81" s="179"/>
      <c r="T81" s="179"/>
      <c r="U81" s="179"/>
      <c r="V81" s="179"/>
      <c r="W81" s="179"/>
      <c r="X81" s="179"/>
      <c r="Y81" s="179"/>
      <c r="Z81" s="179"/>
      <c r="AA81" s="179"/>
    </row>
    <row r="82" spans="2:63" ht="22.5" customHeight="1">
      <c r="B82" s="342" t="s">
        <v>48</v>
      </c>
      <c r="C82" s="343"/>
      <c r="D82" s="344"/>
      <c r="E82" s="544" t="s">
        <v>49</v>
      </c>
      <c r="F82" s="545"/>
      <c r="G82" s="546"/>
      <c r="H82" s="547" t="s">
        <v>113</v>
      </c>
      <c r="I82" s="548"/>
      <c r="J82" s="548" t="s">
        <v>114</v>
      </c>
      <c r="K82" s="549"/>
      <c r="L82" s="544" t="s">
        <v>116</v>
      </c>
      <c r="M82" s="545"/>
      <c r="N82" s="545"/>
      <c r="O82" s="545"/>
      <c r="P82" s="545"/>
      <c r="Q82" s="545"/>
      <c r="R82" s="545"/>
      <c r="S82" s="545"/>
      <c r="T82" s="545"/>
      <c r="U82" s="545"/>
      <c r="V82" s="545"/>
      <c r="W82" s="545"/>
      <c r="X82" s="545"/>
      <c r="Y82" s="545"/>
      <c r="Z82" s="545"/>
      <c r="AA82" s="546"/>
    </row>
    <row r="83" spans="2:63" ht="22.5" customHeight="1">
      <c r="B83" s="512"/>
      <c r="C83" s="513"/>
      <c r="D83" s="514"/>
      <c r="E83" s="518"/>
      <c r="F83" s="519"/>
      <c r="G83" s="520"/>
      <c r="H83" s="524" t="str" cm="1">
        <f t="array" ref="H83">IF(SUM(COUNTIF(BF3:BF32,{"月給","常時給"}))=0,"",
IF(SUMPRODUCT((BF3:BF32={"月給","常時給"})*(BR3:BR32="●"))/SUM(COUNTIF(BF3:BF32,{"月給","常時給"}))&gt;=35%,"〇","×"))</f>
        <v>×</v>
      </c>
      <c r="I83" s="525"/>
      <c r="J83" s="525" t="str" cm="1">
        <f t="array" ref="J83">IFERROR(
  IF(
    SUMPRODUCT((BF3:BF32={"月給","常時給"})*(BR3:BR32="●"))/
    SUM(COUNTIF(BF3:BF32,{"月給","常時給"}))&gt;=25%,
    "〇",
    "×"
  ),
"")</f>
        <v>×</v>
      </c>
      <c r="K83" s="528"/>
      <c r="L83" s="838"/>
      <c r="M83" s="744"/>
      <c r="N83" s="744"/>
      <c r="O83" s="744"/>
      <c r="P83" s="744"/>
      <c r="Q83" s="744"/>
      <c r="R83" s="744"/>
      <c r="S83" s="744"/>
      <c r="T83" s="744"/>
      <c r="U83" s="744"/>
      <c r="V83" s="744"/>
      <c r="W83" s="744"/>
      <c r="X83" s="744"/>
      <c r="Y83" s="744"/>
      <c r="Z83" s="744"/>
      <c r="AA83" s="745"/>
    </row>
    <row r="84" spans="2:63" ht="22.5" customHeight="1">
      <c r="B84" s="515"/>
      <c r="C84" s="516"/>
      <c r="D84" s="517"/>
      <c r="E84" s="521"/>
      <c r="F84" s="522"/>
      <c r="G84" s="523"/>
      <c r="H84" s="526"/>
      <c r="I84" s="527"/>
      <c r="J84" s="527"/>
      <c r="K84" s="529"/>
      <c r="L84" s="746"/>
      <c r="M84" s="747"/>
      <c r="N84" s="747"/>
      <c r="O84" s="747"/>
      <c r="P84" s="747"/>
      <c r="Q84" s="747"/>
      <c r="R84" s="747"/>
      <c r="S84" s="747"/>
      <c r="T84" s="747"/>
      <c r="U84" s="747"/>
      <c r="V84" s="747"/>
      <c r="W84" s="747"/>
      <c r="X84" s="747"/>
      <c r="Y84" s="747"/>
      <c r="Z84" s="747"/>
      <c r="AA84" s="748"/>
    </row>
    <row r="87" spans="2:63" ht="22.5" customHeight="1">
      <c r="B87" s="725" t="s">
        <v>792</v>
      </c>
      <c r="C87" s="725"/>
      <c r="D87" s="725"/>
      <c r="E87" s="725"/>
      <c r="F87" s="725" t="s">
        <v>793</v>
      </c>
      <c r="G87" s="725"/>
      <c r="H87" s="725"/>
      <c r="I87" s="725"/>
      <c r="J87" s="725" t="s">
        <v>794</v>
      </c>
      <c r="K87" s="725"/>
      <c r="L87" s="725"/>
      <c r="M87" s="725"/>
      <c r="N87" s="729" t="s">
        <v>806</v>
      </c>
      <c r="O87" s="730"/>
      <c r="P87" s="730"/>
      <c r="Q87" s="730"/>
      <c r="R87" s="730"/>
      <c r="S87" s="730"/>
      <c r="T87" s="730"/>
      <c r="U87" s="730"/>
      <c r="V87" s="730"/>
      <c r="W87" s="730"/>
      <c r="X87" s="730"/>
      <c r="Y87" s="730"/>
      <c r="Z87" s="730"/>
      <c r="AA87" s="730"/>
      <c r="AB87" s="730"/>
      <c r="AC87" s="730"/>
      <c r="AD87" s="730"/>
      <c r="AE87" s="730"/>
      <c r="AF87" s="730"/>
      <c r="AG87" s="730"/>
      <c r="AH87" s="730"/>
      <c r="AI87" s="730"/>
      <c r="AJ87" s="730"/>
      <c r="AK87" s="730"/>
      <c r="AL87" s="730"/>
      <c r="AM87" s="730"/>
      <c r="AN87" s="730"/>
      <c r="AO87" s="730"/>
      <c r="AP87" s="730"/>
      <c r="AQ87" s="730"/>
      <c r="AR87" s="730"/>
      <c r="AS87" s="730"/>
      <c r="AT87" s="731"/>
      <c r="AU87" s="725"/>
      <c r="AV87" s="725"/>
      <c r="AW87" s="725"/>
      <c r="AX87" s="725"/>
      <c r="AY87" s="725"/>
      <c r="AZ87" s="725"/>
      <c r="BA87" s="725"/>
      <c r="BB87" s="725"/>
      <c r="BC87" s="725"/>
      <c r="BD87" s="725"/>
      <c r="BE87" s="725"/>
      <c r="BF87" s="725"/>
      <c r="BG87" s="725"/>
      <c r="BH87" s="725"/>
      <c r="BI87" s="725"/>
      <c r="BJ87" s="725"/>
      <c r="BK87" s="725"/>
    </row>
    <row r="88" spans="2:63" ht="22.5" customHeight="1">
      <c r="B88" s="727" t="s">
        <v>795</v>
      </c>
      <c r="C88" s="727"/>
      <c r="D88" s="727"/>
      <c r="E88" s="727"/>
      <c r="F88" s="465" t="s">
        <v>796</v>
      </c>
      <c r="G88" s="465"/>
      <c r="H88" s="465"/>
      <c r="I88" s="465"/>
      <c r="J88" s="726" t="s">
        <v>837</v>
      </c>
      <c r="K88" s="726"/>
      <c r="L88" s="726"/>
      <c r="M88" s="726"/>
      <c r="N88" s="732" t="s">
        <v>834</v>
      </c>
      <c r="O88" s="733"/>
      <c r="P88" s="733"/>
      <c r="Q88" s="733"/>
      <c r="R88" s="733"/>
      <c r="S88" s="733"/>
      <c r="T88" s="733"/>
      <c r="U88" s="733"/>
      <c r="V88" s="733"/>
      <c r="W88" s="733"/>
      <c r="X88" s="733"/>
      <c r="Y88" s="733"/>
      <c r="Z88" s="733"/>
      <c r="AA88" s="733"/>
      <c r="AB88" s="733"/>
      <c r="AC88" s="733"/>
      <c r="AD88" s="733"/>
      <c r="AE88" s="733"/>
      <c r="AF88" s="733"/>
      <c r="AG88" s="733"/>
      <c r="AH88" s="733"/>
      <c r="AI88" s="733"/>
      <c r="AJ88" s="733"/>
      <c r="AK88" s="733"/>
      <c r="AL88" s="733"/>
      <c r="AM88" s="733"/>
      <c r="AN88" s="733"/>
      <c r="AO88" s="733"/>
      <c r="AP88" s="733"/>
      <c r="AQ88" s="733"/>
      <c r="AR88" s="733"/>
      <c r="AS88" s="733"/>
      <c r="AT88" s="734"/>
      <c r="AU88" s="726"/>
      <c r="AV88" s="726"/>
      <c r="AW88" s="726"/>
      <c r="AX88" s="726"/>
      <c r="AY88" s="726"/>
      <c r="AZ88" s="726"/>
      <c r="BA88" s="726"/>
      <c r="BB88" s="726"/>
      <c r="BC88" s="726"/>
      <c r="BD88" s="726"/>
      <c r="BE88" s="726"/>
      <c r="BF88" s="726"/>
      <c r="BG88" s="726"/>
      <c r="BH88" s="726"/>
      <c r="BI88" s="726"/>
      <c r="BJ88" s="726"/>
      <c r="BK88" s="726"/>
    </row>
    <row r="89" spans="2:63" ht="22.5" customHeight="1">
      <c r="B89" s="727" t="s">
        <v>804</v>
      </c>
      <c r="C89" s="727"/>
      <c r="D89" s="727"/>
      <c r="E89" s="727"/>
      <c r="F89" s="465" t="s">
        <v>817</v>
      </c>
      <c r="G89" s="465"/>
      <c r="H89" s="465"/>
      <c r="I89" s="465"/>
      <c r="J89" s="726" t="s">
        <v>833</v>
      </c>
      <c r="K89" s="726"/>
      <c r="L89" s="726"/>
      <c r="M89" s="726"/>
      <c r="N89" s="732" t="s">
        <v>842</v>
      </c>
      <c r="O89" s="733"/>
      <c r="P89" s="733"/>
      <c r="Q89" s="733"/>
      <c r="R89" s="733"/>
      <c r="S89" s="733"/>
      <c r="T89" s="733"/>
      <c r="U89" s="733"/>
      <c r="V89" s="733"/>
      <c r="W89" s="733"/>
      <c r="X89" s="733"/>
      <c r="Y89" s="733"/>
      <c r="Z89" s="733"/>
      <c r="AA89" s="733"/>
      <c r="AB89" s="733"/>
      <c r="AC89" s="733"/>
      <c r="AD89" s="733"/>
      <c r="AE89" s="733"/>
      <c r="AF89" s="733"/>
      <c r="AG89" s="733"/>
      <c r="AH89" s="733"/>
      <c r="AI89" s="733"/>
      <c r="AJ89" s="733"/>
      <c r="AK89" s="733"/>
      <c r="AL89" s="733"/>
      <c r="AM89" s="733"/>
      <c r="AN89" s="733"/>
      <c r="AO89" s="733"/>
      <c r="AP89" s="733"/>
      <c r="AQ89" s="733"/>
      <c r="AR89" s="733"/>
      <c r="AS89" s="733"/>
      <c r="AT89" s="734"/>
      <c r="AU89" s="726"/>
      <c r="AV89" s="726"/>
      <c r="AW89" s="726"/>
      <c r="AX89" s="726"/>
      <c r="AY89" s="726"/>
      <c r="AZ89" s="726"/>
      <c r="BA89" s="726"/>
      <c r="BB89" s="726"/>
      <c r="BC89" s="726"/>
      <c r="BD89" s="726"/>
      <c r="BE89" s="726"/>
      <c r="BF89" s="726"/>
      <c r="BG89" s="726"/>
      <c r="BH89" s="726"/>
      <c r="BI89" s="726"/>
      <c r="BJ89" s="726"/>
      <c r="BK89" s="726"/>
    </row>
    <row r="90" spans="2:63" ht="22.5" customHeight="1">
      <c r="B90" s="727" t="s">
        <v>807</v>
      </c>
      <c r="C90" s="727"/>
      <c r="D90" s="727"/>
      <c r="E90" s="727"/>
      <c r="F90" s="465" t="s">
        <v>843</v>
      </c>
      <c r="G90" s="465"/>
      <c r="H90" s="465"/>
      <c r="I90" s="465"/>
      <c r="J90" s="726" t="s">
        <v>844</v>
      </c>
      <c r="K90" s="726"/>
      <c r="L90" s="726"/>
      <c r="M90" s="726"/>
      <c r="N90" s="732" t="s">
        <v>845</v>
      </c>
      <c r="O90" s="733"/>
      <c r="P90" s="733"/>
      <c r="Q90" s="733"/>
      <c r="R90" s="733"/>
      <c r="S90" s="733"/>
      <c r="T90" s="733"/>
      <c r="U90" s="733"/>
      <c r="V90" s="733"/>
      <c r="W90" s="733"/>
      <c r="X90" s="733"/>
      <c r="Y90" s="733"/>
      <c r="Z90" s="733"/>
      <c r="AA90" s="733"/>
      <c r="AB90" s="733"/>
      <c r="AC90" s="733"/>
      <c r="AD90" s="733"/>
      <c r="AE90" s="733"/>
      <c r="AF90" s="733"/>
      <c r="AG90" s="733"/>
      <c r="AH90" s="733"/>
      <c r="AI90" s="733"/>
      <c r="AJ90" s="733"/>
      <c r="AK90" s="733"/>
      <c r="AL90" s="733"/>
      <c r="AM90" s="733"/>
      <c r="AN90" s="733"/>
      <c r="AO90" s="733"/>
      <c r="AP90" s="733"/>
      <c r="AQ90" s="733"/>
      <c r="AR90" s="733"/>
      <c r="AS90" s="733"/>
      <c r="AT90" s="734"/>
      <c r="AU90" s="726"/>
      <c r="AV90" s="726"/>
      <c r="AW90" s="726"/>
      <c r="AX90" s="726"/>
      <c r="AY90" s="726"/>
      <c r="AZ90" s="726"/>
      <c r="BA90" s="726"/>
      <c r="BB90" s="726"/>
      <c r="BC90" s="726"/>
      <c r="BD90" s="726"/>
      <c r="BE90" s="726"/>
      <c r="BF90" s="726"/>
      <c r="BG90" s="726"/>
      <c r="BH90" s="726"/>
      <c r="BI90" s="726"/>
      <c r="BJ90" s="726"/>
      <c r="BK90" s="726"/>
    </row>
    <row r="91" spans="2:63" ht="22.5" customHeight="1">
      <c r="B91" s="727" t="s">
        <v>808</v>
      </c>
      <c r="C91" s="727"/>
      <c r="D91" s="727"/>
      <c r="E91" s="727"/>
      <c r="F91" s="465" t="s">
        <v>803</v>
      </c>
      <c r="G91" s="465"/>
      <c r="H91" s="465"/>
      <c r="I91" s="465"/>
      <c r="J91" s="726" t="s">
        <v>844</v>
      </c>
      <c r="K91" s="726"/>
      <c r="L91" s="726"/>
      <c r="M91" s="726"/>
      <c r="N91" s="732" t="s">
        <v>851</v>
      </c>
      <c r="O91" s="733"/>
      <c r="P91" s="733"/>
      <c r="Q91" s="733"/>
      <c r="R91" s="733"/>
      <c r="S91" s="733"/>
      <c r="T91" s="733"/>
      <c r="U91" s="733"/>
      <c r="V91" s="733"/>
      <c r="W91" s="733"/>
      <c r="X91" s="733"/>
      <c r="Y91" s="733"/>
      <c r="Z91" s="733"/>
      <c r="AA91" s="733"/>
      <c r="AB91" s="733"/>
      <c r="AC91" s="733"/>
      <c r="AD91" s="733"/>
      <c r="AE91" s="733"/>
      <c r="AF91" s="733"/>
      <c r="AG91" s="733"/>
      <c r="AH91" s="733"/>
      <c r="AI91" s="733"/>
      <c r="AJ91" s="733"/>
      <c r="AK91" s="733"/>
      <c r="AL91" s="733"/>
      <c r="AM91" s="733"/>
      <c r="AN91" s="733"/>
      <c r="AO91" s="733"/>
      <c r="AP91" s="733"/>
      <c r="AQ91" s="733"/>
      <c r="AR91" s="733"/>
      <c r="AS91" s="733"/>
      <c r="AT91" s="734"/>
      <c r="AU91" s="726"/>
      <c r="AV91" s="726"/>
      <c r="AW91" s="726"/>
      <c r="AX91" s="726"/>
      <c r="AY91" s="726"/>
      <c r="AZ91" s="726"/>
      <c r="BA91" s="726"/>
      <c r="BB91" s="726"/>
      <c r="BC91" s="726"/>
      <c r="BD91" s="726"/>
      <c r="BE91" s="726"/>
      <c r="BF91" s="726"/>
      <c r="BG91" s="726"/>
      <c r="BH91" s="726"/>
      <c r="BI91" s="726"/>
      <c r="BJ91" s="726"/>
      <c r="BK91" s="726"/>
    </row>
    <row r="92" spans="2:63" ht="22.5" customHeight="1">
      <c r="B92" s="727" t="s">
        <v>799</v>
      </c>
      <c r="C92" s="727"/>
      <c r="D92" s="727"/>
      <c r="E92" s="727"/>
      <c r="F92" s="465" t="s">
        <v>846</v>
      </c>
      <c r="G92" s="465"/>
      <c r="H92" s="465"/>
      <c r="I92" s="465"/>
      <c r="J92" s="726" t="s">
        <v>838</v>
      </c>
      <c r="K92" s="726"/>
      <c r="L92" s="726"/>
      <c r="M92" s="726"/>
      <c r="N92" s="732" t="s">
        <v>836</v>
      </c>
      <c r="O92" s="733"/>
      <c r="P92" s="733"/>
      <c r="Q92" s="733"/>
      <c r="R92" s="733"/>
      <c r="S92" s="733"/>
      <c r="T92" s="733"/>
      <c r="U92" s="733"/>
      <c r="V92" s="733"/>
      <c r="W92" s="733"/>
      <c r="X92" s="733"/>
      <c r="Y92" s="733"/>
      <c r="Z92" s="733"/>
      <c r="AA92" s="733"/>
      <c r="AB92" s="733"/>
      <c r="AC92" s="733"/>
      <c r="AD92" s="733"/>
      <c r="AE92" s="733"/>
      <c r="AF92" s="733"/>
      <c r="AG92" s="733"/>
      <c r="AH92" s="733"/>
      <c r="AI92" s="733"/>
      <c r="AJ92" s="733"/>
      <c r="AK92" s="733"/>
      <c r="AL92" s="733"/>
      <c r="AM92" s="733"/>
      <c r="AN92" s="733"/>
      <c r="AO92" s="733"/>
      <c r="AP92" s="733"/>
      <c r="AQ92" s="733"/>
      <c r="AR92" s="733"/>
      <c r="AS92" s="733"/>
      <c r="AT92" s="734"/>
      <c r="AU92" s="726"/>
      <c r="AV92" s="726"/>
      <c r="AW92" s="726"/>
      <c r="AX92" s="726"/>
      <c r="AY92" s="726"/>
      <c r="AZ92" s="726"/>
      <c r="BA92" s="726"/>
      <c r="BB92" s="726"/>
      <c r="BC92" s="726"/>
      <c r="BD92" s="726"/>
      <c r="BE92" s="726"/>
      <c r="BF92" s="726"/>
      <c r="BG92" s="726"/>
      <c r="BH92" s="726"/>
      <c r="BI92" s="726"/>
      <c r="BJ92" s="726"/>
      <c r="BK92" s="726"/>
    </row>
    <row r="93" spans="2:63" ht="22.5" customHeight="1">
      <c r="B93" s="715" t="s">
        <v>791</v>
      </c>
      <c r="C93" s="716"/>
      <c r="D93" s="716"/>
      <c r="E93" s="717"/>
      <c r="F93" s="718" t="s">
        <v>798</v>
      </c>
      <c r="G93" s="433"/>
      <c r="H93" s="433"/>
      <c r="I93" s="434"/>
      <c r="J93" s="719" t="s">
        <v>847</v>
      </c>
      <c r="K93" s="720"/>
      <c r="L93" s="720"/>
      <c r="M93" s="721"/>
      <c r="N93" s="732" t="s">
        <v>848</v>
      </c>
      <c r="O93" s="733"/>
      <c r="P93" s="733"/>
      <c r="Q93" s="733"/>
      <c r="R93" s="733"/>
      <c r="S93" s="733"/>
      <c r="T93" s="733"/>
      <c r="U93" s="733"/>
      <c r="V93" s="733"/>
      <c r="W93" s="733"/>
      <c r="X93" s="733"/>
      <c r="Y93" s="733"/>
      <c r="Z93" s="733"/>
      <c r="AA93" s="733"/>
      <c r="AB93" s="733"/>
      <c r="AC93" s="733"/>
      <c r="AD93" s="733"/>
      <c r="AE93" s="733"/>
      <c r="AF93" s="733"/>
      <c r="AG93" s="733"/>
      <c r="AH93" s="733"/>
      <c r="AI93" s="733"/>
      <c r="AJ93" s="733"/>
      <c r="AK93" s="733"/>
      <c r="AL93" s="733"/>
      <c r="AM93" s="733"/>
      <c r="AN93" s="733"/>
      <c r="AO93" s="733"/>
      <c r="AP93" s="733"/>
      <c r="AQ93" s="733"/>
      <c r="AR93" s="733"/>
      <c r="AS93" s="733"/>
      <c r="AT93" s="734"/>
      <c r="AU93" s="726"/>
      <c r="AV93" s="726"/>
      <c r="AW93" s="726"/>
      <c r="AX93" s="726"/>
      <c r="AY93" s="726"/>
      <c r="AZ93" s="726"/>
      <c r="BA93" s="726"/>
      <c r="BB93" s="726"/>
      <c r="BC93" s="726"/>
      <c r="BD93" s="726"/>
      <c r="BE93" s="726"/>
      <c r="BF93" s="726"/>
      <c r="BG93" s="726"/>
      <c r="BH93" s="726"/>
      <c r="BI93" s="726"/>
      <c r="BJ93" s="726"/>
      <c r="BK93" s="726"/>
    </row>
    <row r="94" spans="2:63" ht="22.5" customHeight="1">
      <c r="B94" s="715" t="s">
        <v>801</v>
      </c>
      <c r="C94" s="716"/>
      <c r="D94" s="716"/>
      <c r="E94" s="717"/>
      <c r="F94" s="718" t="s">
        <v>849</v>
      </c>
      <c r="G94" s="433"/>
      <c r="H94" s="433"/>
      <c r="I94" s="434"/>
      <c r="J94" s="719" t="s">
        <v>840</v>
      </c>
      <c r="K94" s="720"/>
      <c r="L94" s="720"/>
      <c r="M94" s="721"/>
      <c r="N94" s="732" t="s">
        <v>850</v>
      </c>
      <c r="O94" s="733"/>
      <c r="P94" s="733"/>
      <c r="Q94" s="733"/>
      <c r="R94" s="733"/>
      <c r="S94" s="733"/>
      <c r="T94" s="733"/>
      <c r="U94" s="733"/>
      <c r="V94" s="733"/>
      <c r="W94" s="733"/>
      <c r="X94" s="733"/>
      <c r="Y94" s="733"/>
      <c r="Z94" s="733"/>
      <c r="AA94" s="733"/>
      <c r="AB94" s="733"/>
      <c r="AC94" s="733"/>
      <c r="AD94" s="733"/>
      <c r="AE94" s="733"/>
      <c r="AF94" s="733"/>
      <c r="AG94" s="733"/>
      <c r="AH94" s="733"/>
      <c r="AI94" s="733"/>
      <c r="AJ94" s="733"/>
      <c r="AK94" s="733"/>
      <c r="AL94" s="733"/>
      <c r="AM94" s="733"/>
      <c r="AN94" s="733"/>
      <c r="AO94" s="733"/>
      <c r="AP94" s="733"/>
      <c r="AQ94" s="733"/>
      <c r="AR94" s="733"/>
      <c r="AS94" s="733"/>
      <c r="AT94" s="734"/>
      <c r="AU94" s="726"/>
      <c r="AV94" s="726"/>
      <c r="AW94" s="726"/>
      <c r="AX94" s="726"/>
      <c r="AY94" s="726"/>
      <c r="AZ94" s="726"/>
      <c r="BA94" s="726"/>
      <c r="BB94" s="726"/>
      <c r="BC94" s="726"/>
      <c r="BD94" s="726"/>
      <c r="BE94" s="726"/>
      <c r="BF94" s="726"/>
      <c r="BG94" s="726"/>
      <c r="BH94" s="726"/>
      <c r="BI94" s="726"/>
      <c r="BJ94" s="726"/>
      <c r="BK94" s="726"/>
    </row>
    <row r="95" spans="2:63" ht="22.5" customHeight="1">
      <c r="B95" s="715" t="s">
        <v>802</v>
      </c>
      <c r="C95" s="716"/>
      <c r="D95" s="716"/>
      <c r="E95" s="717"/>
      <c r="F95" s="718" t="s">
        <v>805</v>
      </c>
      <c r="G95" s="433"/>
      <c r="H95" s="433"/>
      <c r="I95" s="434"/>
      <c r="J95" s="719" t="s">
        <v>840</v>
      </c>
      <c r="K95" s="720"/>
      <c r="L95" s="720"/>
      <c r="M95" s="721"/>
      <c r="N95" s="732" t="s">
        <v>850</v>
      </c>
      <c r="O95" s="733"/>
      <c r="P95" s="733"/>
      <c r="Q95" s="733"/>
      <c r="R95" s="733"/>
      <c r="S95" s="733"/>
      <c r="T95" s="733"/>
      <c r="U95" s="733"/>
      <c r="V95" s="733"/>
      <c r="W95" s="733"/>
      <c r="X95" s="733"/>
      <c r="Y95" s="733"/>
      <c r="Z95" s="733"/>
      <c r="AA95" s="733"/>
      <c r="AB95" s="733"/>
      <c r="AC95" s="733"/>
      <c r="AD95" s="733"/>
      <c r="AE95" s="733"/>
      <c r="AF95" s="733"/>
      <c r="AG95" s="733"/>
      <c r="AH95" s="733"/>
      <c r="AI95" s="733"/>
      <c r="AJ95" s="733"/>
      <c r="AK95" s="733"/>
      <c r="AL95" s="733"/>
      <c r="AM95" s="733"/>
      <c r="AN95" s="733"/>
      <c r="AO95" s="733"/>
      <c r="AP95" s="733"/>
      <c r="AQ95" s="733"/>
      <c r="AR95" s="733"/>
      <c r="AS95" s="733"/>
      <c r="AT95" s="734"/>
      <c r="AU95" s="726"/>
      <c r="AV95" s="726"/>
      <c r="AW95" s="726"/>
      <c r="AX95" s="726"/>
      <c r="AY95" s="726"/>
      <c r="AZ95" s="726"/>
      <c r="BA95" s="726"/>
      <c r="BB95" s="726"/>
      <c r="BC95" s="726"/>
      <c r="BD95" s="726"/>
      <c r="BE95" s="726"/>
      <c r="BF95" s="726"/>
      <c r="BG95" s="726"/>
      <c r="BH95" s="726"/>
      <c r="BI95" s="726"/>
      <c r="BJ95" s="726"/>
      <c r="BK95" s="726"/>
    </row>
  </sheetData>
  <mergeCells count="1175">
    <mergeCell ref="B92:E92"/>
    <mergeCell ref="F92:I92"/>
    <mergeCell ref="J92:M92"/>
    <mergeCell ref="N92:AT92"/>
    <mergeCell ref="AU92:BK92"/>
    <mergeCell ref="B93:E93"/>
    <mergeCell ref="F93:I93"/>
    <mergeCell ref="J93:M93"/>
    <mergeCell ref="N93:AT93"/>
    <mergeCell ref="AU93:BK93"/>
    <mergeCell ref="B94:E94"/>
    <mergeCell ref="F94:I94"/>
    <mergeCell ref="J94:M94"/>
    <mergeCell ref="N94:AT94"/>
    <mergeCell ref="AU94:BK94"/>
    <mergeCell ref="B95:E95"/>
    <mergeCell ref="F95:I95"/>
    <mergeCell ref="J95:M95"/>
    <mergeCell ref="N95:AT95"/>
    <mergeCell ref="AU95:BK95"/>
    <mergeCell ref="AU87:BK87"/>
    <mergeCell ref="B88:E88"/>
    <mergeCell ref="F88:I88"/>
    <mergeCell ref="J88:M88"/>
    <mergeCell ref="N88:AT88"/>
    <mergeCell ref="AU88:BK88"/>
    <mergeCell ref="B89:E89"/>
    <mergeCell ref="F89:I89"/>
    <mergeCell ref="J89:M89"/>
    <mergeCell ref="N89:AT89"/>
    <mergeCell ref="AU89:BK89"/>
    <mergeCell ref="B90:E90"/>
    <mergeCell ref="F90:I90"/>
    <mergeCell ref="J90:M90"/>
    <mergeCell ref="N90:AT90"/>
    <mergeCell ref="AU90:BK90"/>
    <mergeCell ref="B91:E91"/>
    <mergeCell ref="F91:I91"/>
    <mergeCell ref="J91:M91"/>
    <mergeCell ref="N91:AT91"/>
    <mergeCell ref="AU91:BK91"/>
    <mergeCell ref="Y26:AA26"/>
    <mergeCell ref="B27:E29"/>
    <mergeCell ref="F27:I27"/>
    <mergeCell ref="Y27:AA27"/>
    <mergeCell ref="F28:I28"/>
    <mergeCell ref="Y28:AA28"/>
    <mergeCell ref="F29:I29"/>
    <mergeCell ref="Y29:AA29"/>
    <mergeCell ref="B30:E31"/>
    <mergeCell ref="F30:I30"/>
    <mergeCell ref="Y30:AA30"/>
    <mergeCell ref="F31:I31"/>
    <mergeCell ref="Y31:AA31"/>
    <mergeCell ref="F32:I32"/>
    <mergeCell ref="Y32:AA32"/>
    <mergeCell ref="B87:E87"/>
    <mergeCell ref="F87:I87"/>
    <mergeCell ref="J87:M87"/>
    <mergeCell ref="N87:AT87"/>
    <mergeCell ref="J31:L31"/>
    <mergeCell ref="M31:O31"/>
    <mergeCell ref="P31:R31"/>
    <mergeCell ref="S31:U31"/>
    <mergeCell ref="V31:X31"/>
    <mergeCell ref="J32:L32"/>
    <mergeCell ref="M32:O32"/>
    <mergeCell ref="P32:R32"/>
    <mergeCell ref="S32:U32"/>
    <mergeCell ref="V32:X32"/>
    <mergeCell ref="J29:L29"/>
    <mergeCell ref="M29:O29"/>
    <mergeCell ref="P29:R29"/>
    <mergeCell ref="S29:U29"/>
    <mergeCell ref="V29:X29"/>
    <mergeCell ref="J30:L30"/>
    <mergeCell ref="M30:O30"/>
    <mergeCell ref="P30:R30"/>
    <mergeCell ref="S30:U30"/>
    <mergeCell ref="V30:X30"/>
    <mergeCell ref="J27:L27"/>
    <mergeCell ref="M27:O27"/>
    <mergeCell ref="P27:R27"/>
    <mergeCell ref="S27:U27"/>
    <mergeCell ref="V27:X27"/>
    <mergeCell ref="J28:L28"/>
    <mergeCell ref="M28:O28"/>
    <mergeCell ref="P28:R28"/>
    <mergeCell ref="S28:U28"/>
    <mergeCell ref="V28:X28"/>
    <mergeCell ref="B25:F25"/>
    <mergeCell ref="G25:I25"/>
    <mergeCell ref="J25:L25"/>
    <mergeCell ref="M25:O25"/>
    <mergeCell ref="P25:R25"/>
    <mergeCell ref="S25:U25"/>
    <mergeCell ref="V25:X25"/>
    <mergeCell ref="J26:L26"/>
    <mergeCell ref="M26:O26"/>
    <mergeCell ref="P26:R26"/>
    <mergeCell ref="S26:U26"/>
    <mergeCell ref="V26:X26"/>
    <mergeCell ref="B26:I26"/>
    <mergeCell ref="B23:F23"/>
    <mergeCell ref="G23:I23"/>
    <mergeCell ref="J23:L23"/>
    <mergeCell ref="M23:O23"/>
    <mergeCell ref="P23:R23"/>
    <mergeCell ref="S23:U23"/>
    <mergeCell ref="V23:X23"/>
    <mergeCell ref="B24:F24"/>
    <mergeCell ref="G24:I24"/>
    <mergeCell ref="J24:L24"/>
    <mergeCell ref="M24:O24"/>
    <mergeCell ref="P24:R24"/>
    <mergeCell ref="S24:U24"/>
    <mergeCell ref="V24:X24"/>
    <mergeCell ref="B21:F21"/>
    <mergeCell ref="G21:I21"/>
    <mergeCell ref="J21:L21"/>
    <mergeCell ref="M21:O21"/>
    <mergeCell ref="P21:R21"/>
    <mergeCell ref="S21:U21"/>
    <mergeCell ref="V21:X21"/>
    <mergeCell ref="B22:F22"/>
    <mergeCell ref="G22:I22"/>
    <mergeCell ref="J22:L22"/>
    <mergeCell ref="M22:O22"/>
    <mergeCell ref="P22:R22"/>
    <mergeCell ref="S22:U22"/>
    <mergeCell ref="V22:X22"/>
    <mergeCell ref="B19:F19"/>
    <mergeCell ref="G19:I19"/>
    <mergeCell ref="J19:L19"/>
    <mergeCell ref="M19:O19"/>
    <mergeCell ref="P19:R19"/>
    <mergeCell ref="S19:U19"/>
    <mergeCell ref="V19:X19"/>
    <mergeCell ref="B20:F20"/>
    <mergeCell ref="G20:I20"/>
    <mergeCell ref="J20:L20"/>
    <mergeCell ref="M20:O20"/>
    <mergeCell ref="P20:R20"/>
    <mergeCell ref="S20:U20"/>
    <mergeCell ref="V20:X20"/>
    <mergeCell ref="B17:F17"/>
    <mergeCell ref="G17:I17"/>
    <mergeCell ref="J17:L17"/>
    <mergeCell ref="M17:O17"/>
    <mergeCell ref="P17:R17"/>
    <mergeCell ref="S17:U17"/>
    <mergeCell ref="V17:X17"/>
    <mergeCell ref="B18:F18"/>
    <mergeCell ref="G18:I18"/>
    <mergeCell ref="J18:L18"/>
    <mergeCell ref="M18:O18"/>
    <mergeCell ref="P18:R18"/>
    <mergeCell ref="S18:U18"/>
    <mergeCell ref="V18:X18"/>
    <mergeCell ref="BS65:BU66"/>
    <mergeCell ref="B66:C66"/>
    <mergeCell ref="D66:I66"/>
    <mergeCell ref="J66:K66"/>
    <mergeCell ref="L66:R66"/>
    <mergeCell ref="T66:X66"/>
    <mergeCell ref="Y66:AC66"/>
    <mergeCell ref="AX65:AY65"/>
    <mergeCell ref="AZ65:BA65"/>
    <mergeCell ref="BB65:BC65"/>
    <mergeCell ref="BD65:BE65"/>
    <mergeCell ref="BF65:BG65"/>
    <mergeCell ref="BH65:BI65"/>
    <mergeCell ref="AL65:AM65"/>
    <mergeCell ref="AN65:AO65"/>
    <mergeCell ref="AP65:AQ65"/>
    <mergeCell ref="AR65:AS65"/>
    <mergeCell ref="AT65:AU65"/>
    <mergeCell ref="AV65:AW65"/>
    <mergeCell ref="B65:C65"/>
    <mergeCell ref="D65:I65"/>
    <mergeCell ref="J65:K65"/>
    <mergeCell ref="L65:R65"/>
    <mergeCell ref="T65:X65"/>
    <mergeCell ref="Y65:AC65"/>
    <mergeCell ref="AD65:AE65"/>
    <mergeCell ref="AF65:AJ65"/>
    <mergeCell ref="B64:C64"/>
    <mergeCell ref="D64:I64"/>
    <mergeCell ref="J64:K64"/>
    <mergeCell ref="L64:R64"/>
    <mergeCell ref="T64:X64"/>
    <mergeCell ref="Y64:AC64"/>
    <mergeCell ref="AR66:AS66"/>
    <mergeCell ref="BK65:BL66"/>
    <mergeCell ref="BM65:BO66"/>
    <mergeCell ref="BF66:BG66"/>
    <mergeCell ref="BH66:BI66"/>
    <mergeCell ref="AT66:AU66"/>
    <mergeCell ref="AV66:AW66"/>
    <mergeCell ref="AX66:AY66"/>
    <mergeCell ref="AZ66:BA66"/>
    <mergeCell ref="BB66:BC66"/>
    <mergeCell ref="BD66:BE66"/>
    <mergeCell ref="AL62:AM62"/>
    <mergeCell ref="AN62:AO62"/>
    <mergeCell ref="AP62:AQ62"/>
    <mergeCell ref="AR62:AS62"/>
    <mergeCell ref="AT62:AU62"/>
    <mergeCell ref="BM61:BO62"/>
    <mergeCell ref="BP61:BR61"/>
    <mergeCell ref="Y62:AC62"/>
    <mergeCell ref="AD62:AE62"/>
    <mergeCell ref="AZ61:BA61"/>
    <mergeCell ref="BB61:BC61"/>
    <mergeCell ref="BD61:BE61"/>
    <mergeCell ref="BF61:BG61"/>
    <mergeCell ref="BH61:BI61"/>
    <mergeCell ref="BK61:BL62"/>
    <mergeCell ref="BH62:BI62"/>
    <mergeCell ref="AD66:AE66"/>
    <mergeCell ref="AF66:AJ66"/>
    <mergeCell ref="AL66:AM66"/>
    <mergeCell ref="AN66:AO66"/>
    <mergeCell ref="AP66:AQ66"/>
    <mergeCell ref="AD64:AE64"/>
    <mergeCell ref="AF64:AJ64"/>
    <mergeCell ref="BP65:BR65"/>
    <mergeCell ref="BP66:BR66"/>
    <mergeCell ref="BW60:CH66"/>
    <mergeCell ref="B61:C61"/>
    <mergeCell ref="D61:I61"/>
    <mergeCell ref="J61:K61"/>
    <mergeCell ref="L61:R61"/>
    <mergeCell ref="T61:X61"/>
    <mergeCell ref="Y61:AC61"/>
    <mergeCell ref="AD61:AE61"/>
    <mergeCell ref="AF61:AJ61"/>
    <mergeCell ref="AL61:AM61"/>
    <mergeCell ref="BS61:BU62"/>
    <mergeCell ref="B62:C62"/>
    <mergeCell ref="D62:I62"/>
    <mergeCell ref="J62:K62"/>
    <mergeCell ref="L62:R62"/>
    <mergeCell ref="T62:X62"/>
    <mergeCell ref="BP62:BR62"/>
    <mergeCell ref="B63:C63"/>
    <mergeCell ref="D63:I63"/>
    <mergeCell ref="J63:K63"/>
    <mergeCell ref="L63:R63"/>
    <mergeCell ref="T63:X63"/>
    <mergeCell ref="Y63:AC63"/>
    <mergeCell ref="AD63:AE63"/>
    <mergeCell ref="AF63:AJ63"/>
    <mergeCell ref="AV62:AW62"/>
    <mergeCell ref="AX62:AY62"/>
    <mergeCell ref="AZ62:BA62"/>
    <mergeCell ref="BB62:BC62"/>
    <mergeCell ref="BD62:BE62"/>
    <mergeCell ref="BF62:BG62"/>
    <mergeCell ref="AF62:AJ62"/>
    <mergeCell ref="B59:C59"/>
    <mergeCell ref="D59:I59"/>
    <mergeCell ref="J59:K59"/>
    <mergeCell ref="L59:R59"/>
    <mergeCell ref="T59:X59"/>
    <mergeCell ref="Y59:AC59"/>
    <mergeCell ref="AD59:AE59"/>
    <mergeCell ref="AT58:AU58"/>
    <mergeCell ref="AV58:AW58"/>
    <mergeCell ref="AF59:AJ59"/>
    <mergeCell ref="AN61:AO61"/>
    <mergeCell ref="AP61:AQ61"/>
    <mergeCell ref="AR61:AS61"/>
    <mergeCell ref="AT61:AU61"/>
    <mergeCell ref="AV61:AW61"/>
    <mergeCell ref="AX61:AY61"/>
    <mergeCell ref="B60:C60"/>
    <mergeCell ref="D60:I60"/>
    <mergeCell ref="J60:K60"/>
    <mergeCell ref="L60:R60"/>
    <mergeCell ref="T60:X60"/>
    <mergeCell ref="Y60:AC60"/>
    <mergeCell ref="AD60:AE60"/>
    <mergeCell ref="AF60:AJ60"/>
    <mergeCell ref="B55:C55"/>
    <mergeCell ref="D55:I55"/>
    <mergeCell ref="J55:K55"/>
    <mergeCell ref="BS57:BU58"/>
    <mergeCell ref="B58:C58"/>
    <mergeCell ref="D58:I58"/>
    <mergeCell ref="J58:K58"/>
    <mergeCell ref="L58:R58"/>
    <mergeCell ref="T58:X58"/>
    <mergeCell ref="Y58:AC58"/>
    <mergeCell ref="AX57:AY57"/>
    <mergeCell ref="AZ57:BA57"/>
    <mergeCell ref="BB57:BC57"/>
    <mergeCell ref="BD57:BE57"/>
    <mergeCell ref="BF57:BG57"/>
    <mergeCell ref="BH57:BI57"/>
    <mergeCell ref="AL57:AM57"/>
    <mergeCell ref="AN57:AO57"/>
    <mergeCell ref="AP57:AQ57"/>
    <mergeCell ref="AR57:AS57"/>
    <mergeCell ref="AT57:AU57"/>
    <mergeCell ref="AV57:AW57"/>
    <mergeCell ref="BF58:BG58"/>
    <mergeCell ref="BH58:BI58"/>
    <mergeCell ref="BP58:BR58"/>
    <mergeCell ref="AX58:AY58"/>
    <mergeCell ref="AZ58:BA58"/>
    <mergeCell ref="BB58:BC58"/>
    <mergeCell ref="BD58:BE58"/>
    <mergeCell ref="AD58:AE58"/>
    <mergeCell ref="AF58:AJ58"/>
    <mergeCell ref="AL58:AM58"/>
    <mergeCell ref="AD56:AE56"/>
    <mergeCell ref="AF56:AJ56"/>
    <mergeCell ref="B57:C57"/>
    <mergeCell ref="D57:I57"/>
    <mergeCell ref="J57:K57"/>
    <mergeCell ref="L57:R57"/>
    <mergeCell ref="T57:X57"/>
    <mergeCell ref="Y57:AC57"/>
    <mergeCell ref="AD57:AE57"/>
    <mergeCell ref="AF57:AJ57"/>
    <mergeCell ref="B56:C56"/>
    <mergeCell ref="D56:I56"/>
    <mergeCell ref="J56:K56"/>
    <mergeCell ref="L56:R56"/>
    <mergeCell ref="T56:X56"/>
    <mergeCell ref="Y56:AC56"/>
    <mergeCell ref="BP57:BR57"/>
    <mergeCell ref="BM57:BO58"/>
    <mergeCell ref="BK57:BL58"/>
    <mergeCell ref="AN58:AO58"/>
    <mergeCell ref="AP58:AQ58"/>
    <mergeCell ref="AR58:AS58"/>
    <mergeCell ref="L55:R55"/>
    <mergeCell ref="T55:X55"/>
    <mergeCell ref="Y55:AC55"/>
    <mergeCell ref="AD55:AE55"/>
    <mergeCell ref="AF55:AJ55"/>
    <mergeCell ref="AV54:AW54"/>
    <mergeCell ref="AX54:AY54"/>
    <mergeCell ref="AZ54:BA54"/>
    <mergeCell ref="BB54:BC54"/>
    <mergeCell ref="BD54:BE54"/>
    <mergeCell ref="BF54:BG54"/>
    <mergeCell ref="AF54:AJ54"/>
    <mergeCell ref="AL54:AM54"/>
    <mergeCell ref="BW52:CH57"/>
    <mergeCell ref="B53:C53"/>
    <mergeCell ref="D53:I53"/>
    <mergeCell ref="J53:K53"/>
    <mergeCell ref="L53:R53"/>
    <mergeCell ref="T53:X53"/>
    <mergeCell ref="Y53:AC53"/>
    <mergeCell ref="AD53:AE53"/>
    <mergeCell ref="AF53:AJ53"/>
    <mergeCell ref="AL53:AM53"/>
    <mergeCell ref="BS53:BU54"/>
    <mergeCell ref="B54:C54"/>
    <mergeCell ref="D54:I54"/>
    <mergeCell ref="J54:K54"/>
    <mergeCell ref="L54:R54"/>
    <mergeCell ref="T54:X54"/>
    <mergeCell ref="Y54:AC54"/>
    <mergeCell ref="AD54:AE54"/>
    <mergeCell ref="AZ53:BA53"/>
    <mergeCell ref="B50:C50"/>
    <mergeCell ref="D50:I50"/>
    <mergeCell ref="AF51:AJ51"/>
    <mergeCell ref="B52:C52"/>
    <mergeCell ref="D52:I52"/>
    <mergeCell ref="J52:K52"/>
    <mergeCell ref="L52:R52"/>
    <mergeCell ref="T52:X52"/>
    <mergeCell ref="Y52:AC52"/>
    <mergeCell ref="AD52:AE52"/>
    <mergeCell ref="AF52:AJ52"/>
    <mergeCell ref="Y50:AC50"/>
    <mergeCell ref="AN50:AO50"/>
    <mergeCell ref="AP50:AQ50"/>
    <mergeCell ref="AR50:AS50"/>
    <mergeCell ref="AN54:AO54"/>
    <mergeCell ref="AP54:AQ54"/>
    <mergeCell ref="AR54:AS54"/>
    <mergeCell ref="B51:C51"/>
    <mergeCell ref="D51:I51"/>
    <mergeCell ref="J51:K51"/>
    <mergeCell ref="L51:R51"/>
    <mergeCell ref="T51:X51"/>
    <mergeCell ref="Y51:AC51"/>
    <mergeCell ref="AD51:AE51"/>
    <mergeCell ref="AN53:AO53"/>
    <mergeCell ref="AP53:AQ53"/>
    <mergeCell ref="AR53:AS53"/>
    <mergeCell ref="AD50:AE50"/>
    <mergeCell ref="AF50:AJ50"/>
    <mergeCell ref="AL50:AM50"/>
    <mergeCell ref="AL49:AM49"/>
    <mergeCell ref="AN49:AO49"/>
    <mergeCell ref="AP49:AQ49"/>
    <mergeCell ref="AR49:AS49"/>
    <mergeCell ref="AT49:AU49"/>
    <mergeCell ref="J50:K50"/>
    <mergeCell ref="L50:R50"/>
    <mergeCell ref="T50:X50"/>
    <mergeCell ref="AD48:AE48"/>
    <mergeCell ref="AF48:AJ48"/>
    <mergeCell ref="BB53:BC53"/>
    <mergeCell ref="BD53:BE53"/>
    <mergeCell ref="BW48:CH48"/>
    <mergeCell ref="BF53:BG53"/>
    <mergeCell ref="BH53:BI53"/>
    <mergeCell ref="BK53:BL54"/>
    <mergeCell ref="AT54:AU54"/>
    <mergeCell ref="AT50:AU50"/>
    <mergeCell ref="AZ50:BA50"/>
    <mergeCell ref="BB50:BC50"/>
    <mergeCell ref="BM53:BO54"/>
    <mergeCell ref="BP53:BR53"/>
    <mergeCell ref="BH54:BI54"/>
    <mergeCell ref="AT53:AU53"/>
    <mergeCell ref="AV53:AW53"/>
    <mergeCell ref="AX53:AY53"/>
    <mergeCell ref="BP54:BR54"/>
    <mergeCell ref="B49:C49"/>
    <mergeCell ref="D49:I49"/>
    <mergeCell ref="J49:K49"/>
    <mergeCell ref="L49:R49"/>
    <mergeCell ref="T49:X49"/>
    <mergeCell ref="Y49:AC49"/>
    <mergeCell ref="AD49:AE49"/>
    <mergeCell ref="B48:C48"/>
    <mergeCell ref="D48:I48"/>
    <mergeCell ref="J48:K48"/>
    <mergeCell ref="L48:R48"/>
    <mergeCell ref="T48:X48"/>
    <mergeCell ref="Y48:AC48"/>
    <mergeCell ref="BW49:CH49"/>
    <mergeCell ref="AV49:AW49"/>
    <mergeCell ref="AX49:AY49"/>
    <mergeCell ref="AZ49:BA49"/>
    <mergeCell ref="BB49:BC49"/>
    <mergeCell ref="BD49:BE49"/>
    <mergeCell ref="BF49:BG49"/>
    <mergeCell ref="AF49:AJ49"/>
    <mergeCell ref="BH49:BI49"/>
    <mergeCell ref="BK49:BL50"/>
    <mergeCell ref="BM49:BO50"/>
    <mergeCell ref="BP49:BR49"/>
    <mergeCell ref="BS49:BU50"/>
    <mergeCell ref="BF50:BG50"/>
    <mergeCell ref="BH50:BI50"/>
    <mergeCell ref="BP50:BR50"/>
    <mergeCell ref="AV50:AW50"/>
    <mergeCell ref="AX50:AY50"/>
    <mergeCell ref="BD50:BE50"/>
    <mergeCell ref="BW46:CH46"/>
    <mergeCell ref="B47:C47"/>
    <mergeCell ref="D47:I47"/>
    <mergeCell ref="J47:K47"/>
    <mergeCell ref="L47:R47"/>
    <mergeCell ref="T47:X47"/>
    <mergeCell ref="Y47:AC47"/>
    <mergeCell ref="AD47:AE47"/>
    <mergeCell ref="AF47:AJ47"/>
    <mergeCell ref="BW47:CH47"/>
    <mergeCell ref="AZ46:BA46"/>
    <mergeCell ref="BB46:BC46"/>
    <mergeCell ref="BD46:BE46"/>
    <mergeCell ref="BF46:BG46"/>
    <mergeCell ref="BH46:BI46"/>
    <mergeCell ref="BP46:BR46"/>
    <mergeCell ref="AN46:AO46"/>
    <mergeCell ref="AP46:AQ46"/>
    <mergeCell ref="AR46:AS46"/>
    <mergeCell ref="AT46:AU46"/>
    <mergeCell ref="AV46:AW46"/>
    <mergeCell ref="AX46:AY46"/>
    <mergeCell ref="BW45:CH45"/>
    <mergeCell ref="B46:C46"/>
    <mergeCell ref="D46:I46"/>
    <mergeCell ref="J46:K46"/>
    <mergeCell ref="L46:R46"/>
    <mergeCell ref="T46:X46"/>
    <mergeCell ref="Y46:AC46"/>
    <mergeCell ref="AD46:AE46"/>
    <mergeCell ref="AF46:AJ46"/>
    <mergeCell ref="AL46:AM46"/>
    <mergeCell ref="BF45:BG45"/>
    <mergeCell ref="BH45:BI45"/>
    <mergeCell ref="BK45:BL46"/>
    <mergeCell ref="BM45:BO46"/>
    <mergeCell ref="BP45:BR45"/>
    <mergeCell ref="BS45:BU46"/>
    <mergeCell ref="AT45:AU45"/>
    <mergeCell ref="AV45:AW45"/>
    <mergeCell ref="AX45:AY45"/>
    <mergeCell ref="AZ45:BA45"/>
    <mergeCell ref="BB45:BC45"/>
    <mergeCell ref="BD45:BE45"/>
    <mergeCell ref="AD45:AE45"/>
    <mergeCell ref="AF45:AJ45"/>
    <mergeCell ref="AN45:AO45"/>
    <mergeCell ref="AP45:AQ45"/>
    <mergeCell ref="AR45:AS45"/>
    <mergeCell ref="B45:C45"/>
    <mergeCell ref="D45:I45"/>
    <mergeCell ref="J45:K45"/>
    <mergeCell ref="L45:R45"/>
    <mergeCell ref="T45:X45"/>
    <mergeCell ref="Y45:AC45"/>
    <mergeCell ref="B44:C44"/>
    <mergeCell ref="D44:I44"/>
    <mergeCell ref="J44:K44"/>
    <mergeCell ref="L44:R44"/>
    <mergeCell ref="T44:X44"/>
    <mergeCell ref="Y44:AC44"/>
    <mergeCell ref="AD44:AE44"/>
    <mergeCell ref="AF44:AJ44"/>
    <mergeCell ref="AL45:AM45"/>
    <mergeCell ref="BB42:BC42"/>
    <mergeCell ref="BD42:BE42"/>
    <mergeCell ref="BF42:BG42"/>
    <mergeCell ref="AF42:AJ42"/>
    <mergeCell ref="AL42:AM42"/>
    <mergeCell ref="AN42:AO42"/>
    <mergeCell ref="AP42:AQ42"/>
    <mergeCell ref="AR42:AS42"/>
    <mergeCell ref="AT42:AU42"/>
    <mergeCell ref="B43:C43"/>
    <mergeCell ref="D43:I43"/>
    <mergeCell ref="J43:K43"/>
    <mergeCell ref="L43:R43"/>
    <mergeCell ref="T43:X43"/>
    <mergeCell ref="Y43:AC43"/>
    <mergeCell ref="AD43:AE43"/>
    <mergeCell ref="AV42:AW42"/>
    <mergeCell ref="AX42:AY42"/>
    <mergeCell ref="AF43:AJ43"/>
    <mergeCell ref="BQ41:BU41"/>
    <mergeCell ref="B42:C42"/>
    <mergeCell ref="D42:I42"/>
    <mergeCell ref="J42:K42"/>
    <mergeCell ref="L42:R42"/>
    <mergeCell ref="T42:X42"/>
    <mergeCell ref="Y42:AC42"/>
    <mergeCell ref="AD42:AE42"/>
    <mergeCell ref="AV41:AW41"/>
    <mergeCell ref="AX41:AY41"/>
    <mergeCell ref="AZ41:BA41"/>
    <mergeCell ref="BB41:BC41"/>
    <mergeCell ref="BD41:BE41"/>
    <mergeCell ref="BF41:BG41"/>
    <mergeCell ref="AF41:AJ41"/>
    <mergeCell ref="AL41:AM41"/>
    <mergeCell ref="AN41:AO41"/>
    <mergeCell ref="AP41:AQ41"/>
    <mergeCell ref="AR41:AS41"/>
    <mergeCell ref="AT41:AU41"/>
    <mergeCell ref="BH42:BI42"/>
    <mergeCell ref="BK42:BP42"/>
    <mergeCell ref="BQ42:BU42"/>
    <mergeCell ref="AZ42:BA42"/>
    <mergeCell ref="B41:C41"/>
    <mergeCell ref="D41:I41"/>
    <mergeCell ref="J41:K41"/>
    <mergeCell ref="L41:R41"/>
    <mergeCell ref="T41:X41"/>
    <mergeCell ref="Y41:AC41"/>
    <mergeCell ref="AD41:AE41"/>
    <mergeCell ref="BH41:BI41"/>
    <mergeCell ref="BK41:BP41"/>
    <mergeCell ref="BQ39:BU39"/>
    <mergeCell ref="B40:C40"/>
    <mergeCell ref="D40:I40"/>
    <mergeCell ref="J40:K40"/>
    <mergeCell ref="L40:R40"/>
    <mergeCell ref="T40:X40"/>
    <mergeCell ref="Y40:AC40"/>
    <mergeCell ref="AD40:AE40"/>
    <mergeCell ref="AF40:AJ40"/>
    <mergeCell ref="BK40:BP40"/>
    <mergeCell ref="BQ40:BU40"/>
    <mergeCell ref="BH38:BI38"/>
    <mergeCell ref="BK38:BP38"/>
    <mergeCell ref="BQ38:BU38"/>
    <mergeCell ref="B39:C39"/>
    <mergeCell ref="D39:I39"/>
    <mergeCell ref="J39:K39"/>
    <mergeCell ref="L39:R39"/>
    <mergeCell ref="T39:X39"/>
    <mergeCell ref="Y39:AC39"/>
    <mergeCell ref="AD39:AE39"/>
    <mergeCell ref="AV38:AW38"/>
    <mergeCell ref="AX38:AY38"/>
    <mergeCell ref="AZ38:BA38"/>
    <mergeCell ref="BB38:BC38"/>
    <mergeCell ref="BD38:BE38"/>
    <mergeCell ref="BF38:BG38"/>
    <mergeCell ref="AF38:AJ38"/>
    <mergeCell ref="AL38:AM38"/>
    <mergeCell ref="AN38:AO38"/>
    <mergeCell ref="AP38:AQ38"/>
    <mergeCell ref="G33:I33"/>
    <mergeCell ref="J33:L33"/>
    <mergeCell ref="AF36:AJ36"/>
    <mergeCell ref="BK36:BP36"/>
    <mergeCell ref="BQ36:BU36"/>
    <mergeCell ref="AR38:AS38"/>
    <mergeCell ref="AT38:AU38"/>
    <mergeCell ref="AF39:AJ39"/>
    <mergeCell ref="BK39:BP39"/>
    <mergeCell ref="B38:C38"/>
    <mergeCell ref="D38:I38"/>
    <mergeCell ref="J38:K38"/>
    <mergeCell ref="L38:R38"/>
    <mergeCell ref="T38:X38"/>
    <mergeCell ref="Y38:AC38"/>
    <mergeCell ref="AD38:AE38"/>
    <mergeCell ref="AV37:AW37"/>
    <mergeCell ref="AX37:AY37"/>
    <mergeCell ref="AF37:AJ37"/>
    <mergeCell ref="AL37:AM37"/>
    <mergeCell ref="AN37:AO37"/>
    <mergeCell ref="AP37:AQ37"/>
    <mergeCell ref="AR37:AS37"/>
    <mergeCell ref="AT37:AU37"/>
    <mergeCell ref="B37:C37"/>
    <mergeCell ref="D37:I37"/>
    <mergeCell ref="J37:K37"/>
    <mergeCell ref="L37:R37"/>
    <mergeCell ref="T37:X37"/>
    <mergeCell ref="Y37:AC37"/>
    <mergeCell ref="AD37:AE37"/>
    <mergeCell ref="BQ37:BU37"/>
    <mergeCell ref="AZ37:BA37"/>
    <mergeCell ref="BB37:BC37"/>
    <mergeCell ref="BD37:BE37"/>
    <mergeCell ref="BF37:BG37"/>
    <mergeCell ref="BR32:BS32"/>
    <mergeCell ref="BT32:BU32"/>
    <mergeCell ref="AC33:AD33"/>
    <mergeCell ref="AE33:AH33"/>
    <mergeCell ref="AI33:AL33"/>
    <mergeCell ref="AM33:AP33"/>
    <mergeCell ref="AQ33:AT33"/>
    <mergeCell ref="AU33:AX33"/>
    <mergeCell ref="AE32:AH32"/>
    <mergeCell ref="AI32:AL32"/>
    <mergeCell ref="AM32:AP32"/>
    <mergeCell ref="AQ32:AT32"/>
    <mergeCell ref="AU32:AX32"/>
    <mergeCell ref="AY32:BB32"/>
    <mergeCell ref="BR31:BS31"/>
    <mergeCell ref="BT31:BU31"/>
    <mergeCell ref="B83:D84"/>
    <mergeCell ref="E83:G84"/>
    <mergeCell ref="H83:I84"/>
    <mergeCell ref="J83:K84"/>
    <mergeCell ref="L83:AA84"/>
    <mergeCell ref="AC32:AD32"/>
    <mergeCell ref="AE31:AH31"/>
    <mergeCell ref="AI31:AL31"/>
    <mergeCell ref="AM31:AP31"/>
    <mergeCell ref="AQ31:AT31"/>
    <mergeCell ref="AU31:AX31"/>
    <mergeCell ref="AY31:BB31"/>
    <mergeCell ref="B82:D82"/>
    <mergeCell ref="E82:G82"/>
    <mergeCell ref="H82:I82"/>
    <mergeCell ref="J82:K82"/>
    <mergeCell ref="L82:AA82"/>
    <mergeCell ref="AC31:AD31"/>
    <mergeCell ref="AY33:BB33"/>
    <mergeCell ref="BL33:BN34"/>
    <mergeCell ref="BO33:BR34"/>
    <mergeCell ref="BS33:BU34"/>
    <mergeCell ref="B35:U35"/>
    <mergeCell ref="V35:X35"/>
    <mergeCell ref="B36:I36"/>
    <mergeCell ref="J36:K36"/>
    <mergeCell ref="L36:R36"/>
    <mergeCell ref="S36:X36"/>
    <mergeCell ref="Y36:AC36"/>
    <mergeCell ref="AD36:AE36"/>
    <mergeCell ref="C79:K79"/>
    <mergeCell ref="L79:AA79"/>
    <mergeCell ref="AC28:AD28"/>
    <mergeCell ref="AE28:AF28"/>
    <mergeCell ref="AG28:AH28"/>
    <mergeCell ref="AI28:AJ28"/>
    <mergeCell ref="AK28:AL28"/>
    <mergeCell ref="AS27:AT27"/>
    <mergeCell ref="AU27:AV27"/>
    <mergeCell ref="AW27:AX27"/>
    <mergeCell ref="AY27:AZ27"/>
    <mergeCell ref="BA27:BB27"/>
    <mergeCell ref="BF27:BG27"/>
    <mergeCell ref="AG27:AH27"/>
    <mergeCell ref="AI27:AJ27"/>
    <mergeCell ref="AK27:AL27"/>
    <mergeCell ref="AI26:AJ26"/>
    <mergeCell ref="AY30:AZ30"/>
    <mergeCell ref="BA30:BB30"/>
    <mergeCell ref="AM27:AN27"/>
    <mergeCell ref="AO27:AP27"/>
    <mergeCell ref="AQ27:AR27"/>
    <mergeCell ref="AY28:AZ28"/>
    <mergeCell ref="BA28:BB28"/>
    <mergeCell ref="BF28:BG28"/>
    <mergeCell ref="AM28:AN28"/>
    <mergeCell ref="AO28:AP28"/>
    <mergeCell ref="AQ28:AR28"/>
    <mergeCell ref="AS28:AT28"/>
    <mergeCell ref="AU28:AV28"/>
    <mergeCell ref="AW28:AX28"/>
    <mergeCell ref="BF30:BG30"/>
    <mergeCell ref="BR26:BS26"/>
    <mergeCell ref="AK26:AL26"/>
    <mergeCell ref="C75:K75"/>
    <mergeCell ref="L75:O75"/>
    <mergeCell ref="AM26:AN26"/>
    <mergeCell ref="AO26:AP26"/>
    <mergeCell ref="AQ26:AR26"/>
    <mergeCell ref="AS26:AT26"/>
    <mergeCell ref="AU26:AV26"/>
    <mergeCell ref="BH27:BK27"/>
    <mergeCell ref="BR27:BS27"/>
    <mergeCell ref="BH28:BK28"/>
    <mergeCell ref="BR28:BS28"/>
    <mergeCell ref="BH30:BK30"/>
    <mergeCell ref="BR30:BS30"/>
    <mergeCell ref="AM30:AN30"/>
    <mergeCell ref="AO30:AP30"/>
    <mergeCell ref="AQ30:AR30"/>
    <mergeCell ref="Y35:AG35"/>
    <mergeCell ref="AH35:AJ35"/>
    <mergeCell ref="BF32:BG32"/>
    <mergeCell ref="BH32:BK32"/>
    <mergeCell ref="AC30:AD30"/>
    <mergeCell ref="AE30:AF30"/>
    <mergeCell ref="AG30:AH30"/>
    <mergeCell ref="AI30:AJ30"/>
    <mergeCell ref="AK30:AL30"/>
    <mergeCell ref="AO29:AP29"/>
    <mergeCell ref="AQ29:AR29"/>
    <mergeCell ref="AS29:AT29"/>
    <mergeCell ref="AU29:AV29"/>
    <mergeCell ref="AW29:AX29"/>
    <mergeCell ref="AU30:AV30"/>
    <mergeCell ref="AW30:AX30"/>
    <mergeCell ref="BA29:BB29"/>
    <mergeCell ref="C78:K78"/>
    <mergeCell ref="L78:M78"/>
    <mergeCell ref="N78:O78"/>
    <mergeCell ref="P78:S78"/>
    <mergeCell ref="T78:U78"/>
    <mergeCell ref="V78:W78"/>
    <mergeCell ref="X78:AA78"/>
    <mergeCell ref="AC27:AD27"/>
    <mergeCell ref="AE27:AF27"/>
    <mergeCell ref="AW26:AX26"/>
    <mergeCell ref="AY26:AZ26"/>
    <mergeCell ref="BA26:BB26"/>
    <mergeCell ref="BF26:BG26"/>
    <mergeCell ref="BH26:BK26"/>
    <mergeCell ref="AY29:AZ29"/>
    <mergeCell ref="AC29:AD29"/>
    <mergeCell ref="AE29:AF29"/>
    <mergeCell ref="AG29:AH29"/>
    <mergeCell ref="AI29:AJ29"/>
    <mergeCell ref="AK29:AL29"/>
    <mergeCell ref="AM29:AN29"/>
    <mergeCell ref="M33:O33"/>
    <mergeCell ref="P33:R33"/>
    <mergeCell ref="S33:U33"/>
    <mergeCell ref="V33:X33"/>
    <mergeCell ref="BF31:BG31"/>
    <mergeCell ref="BH31:BK31"/>
    <mergeCell ref="BH37:BI37"/>
    <mergeCell ref="BK37:BP37"/>
    <mergeCell ref="BH29:BK29"/>
    <mergeCell ref="BR29:BS29"/>
    <mergeCell ref="BT29:BU29"/>
    <mergeCell ref="C76:K76"/>
    <mergeCell ref="L76:M76"/>
    <mergeCell ref="N76:O76"/>
    <mergeCell ref="P76:S76"/>
    <mergeCell ref="T76:U76"/>
    <mergeCell ref="V76:W76"/>
    <mergeCell ref="X76:AA76"/>
    <mergeCell ref="AC25:AD26"/>
    <mergeCell ref="AE25:AH25"/>
    <mergeCell ref="BH25:BK25"/>
    <mergeCell ref="BR25:BS25"/>
    <mergeCell ref="BT25:BU25"/>
    <mergeCell ref="C77:K77"/>
    <mergeCell ref="L77:O77"/>
    <mergeCell ref="P77:S77"/>
    <mergeCell ref="T77:AA77"/>
    <mergeCell ref="AE26:AF26"/>
    <mergeCell ref="AG26:AH26"/>
    <mergeCell ref="AI25:AL25"/>
    <mergeCell ref="AM25:AP25"/>
    <mergeCell ref="AQ25:AT25"/>
    <mergeCell ref="AU25:AX25"/>
    <mergeCell ref="AY25:BB25"/>
    <mergeCell ref="BF25:BG25"/>
    <mergeCell ref="BT26:BU26"/>
    <mergeCell ref="BT27:BU27"/>
    <mergeCell ref="BT28:BU28"/>
    <mergeCell ref="BT30:BU30"/>
    <mergeCell ref="AS30:AT30"/>
    <mergeCell ref="AW21:AY21"/>
    <mergeCell ref="AZ21:BB21"/>
    <mergeCell ref="BF21:BG21"/>
    <mergeCell ref="BR22:BS22"/>
    <mergeCell ref="BT22:BU22"/>
    <mergeCell ref="F74:K74"/>
    <mergeCell ref="L74:M74"/>
    <mergeCell ref="N74:O74"/>
    <mergeCell ref="P74:S74"/>
    <mergeCell ref="T74:U74"/>
    <mergeCell ref="V74:W74"/>
    <mergeCell ref="AK22:AM22"/>
    <mergeCell ref="AN22:AP22"/>
    <mergeCell ref="AQ22:AS22"/>
    <mergeCell ref="AT22:AV22"/>
    <mergeCell ref="AW22:AY22"/>
    <mergeCell ref="AZ22:BB22"/>
    <mergeCell ref="X74:AA74"/>
    <mergeCell ref="BF23:BG23"/>
    <mergeCell ref="BH23:BK23"/>
    <mergeCell ref="BR23:BS23"/>
    <mergeCell ref="BT23:BU23"/>
    <mergeCell ref="F73:K73"/>
    <mergeCell ref="L73:M73"/>
    <mergeCell ref="N73:O73"/>
    <mergeCell ref="P73:S73"/>
    <mergeCell ref="T73:U73"/>
    <mergeCell ref="BF24:BG24"/>
    <mergeCell ref="BH24:BK24"/>
    <mergeCell ref="BR24:BS24"/>
    <mergeCell ref="BT24:BU24"/>
    <mergeCell ref="BF29:BG29"/>
    <mergeCell ref="AN19:AP19"/>
    <mergeCell ref="AK20:AM20"/>
    <mergeCell ref="AN20:AP20"/>
    <mergeCell ref="BH21:BK21"/>
    <mergeCell ref="BF22:BG22"/>
    <mergeCell ref="BH22:BK22"/>
    <mergeCell ref="V73:W73"/>
    <mergeCell ref="X73:AA73"/>
    <mergeCell ref="AG22:AJ22"/>
    <mergeCell ref="AQ21:AS21"/>
    <mergeCell ref="BH18:BK18"/>
    <mergeCell ref="BR20:BS20"/>
    <mergeCell ref="BT20:BU20"/>
    <mergeCell ref="F72:K72"/>
    <mergeCell ref="L72:M72"/>
    <mergeCell ref="N72:O72"/>
    <mergeCell ref="Q72:R72"/>
    <mergeCell ref="T72:U72"/>
    <mergeCell ref="V72:W72"/>
    <mergeCell ref="Y72:Z72"/>
    <mergeCell ref="AG21:AJ21"/>
    <mergeCell ref="AQ20:AS20"/>
    <mergeCell ref="AT20:AV20"/>
    <mergeCell ref="AW20:AY20"/>
    <mergeCell ref="AZ20:BB20"/>
    <mergeCell ref="BF20:BG20"/>
    <mergeCell ref="BH20:BK20"/>
    <mergeCell ref="AK21:AM21"/>
    <mergeCell ref="AN21:AP21"/>
    <mergeCell ref="BR21:BS21"/>
    <mergeCell ref="BT21:BU21"/>
    <mergeCell ref="AT21:AV21"/>
    <mergeCell ref="AW16:AY16"/>
    <mergeCell ref="AZ16:BB16"/>
    <mergeCell ref="BF16:BG16"/>
    <mergeCell ref="BR18:BS18"/>
    <mergeCell ref="BT18:BU18"/>
    <mergeCell ref="C70:E74"/>
    <mergeCell ref="F70:K70"/>
    <mergeCell ref="L70:M70"/>
    <mergeCell ref="N70:O70"/>
    <mergeCell ref="P70:S70"/>
    <mergeCell ref="T70:U70"/>
    <mergeCell ref="BR19:BS19"/>
    <mergeCell ref="BT19:BU19"/>
    <mergeCell ref="F71:K71"/>
    <mergeCell ref="L71:M71"/>
    <mergeCell ref="N71:O71"/>
    <mergeCell ref="P71:S71"/>
    <mergeCell ref="T71:U71"/>
    <mergeCell ref="V71:W71"/>
    <mergeCell ref="X71:AA71"/>
    <mergeCell ref="AG20:AJ20"/>
    <mergeCell ref="AQ19:AS19"/>
    <mergeCell ref="AT19:AV19"/>
    <mergeCell ref="AW19:AY19"/>
    <mergeCell ref="AZ19:BB19"/>
    <mergeCell ref="BF19:BG19"/>
    <mergeCell ref="BH19:BK19"/>
    <mergeCell ref="V70:W70"/>
    <mergeCell ref="X70:AA70"/>
    <mergeCell ref="AC19:AF22"/>
    <mergeCell ref="AG19:AJ19"/>
    <mergeCell ref="AK19:AM19"/>
    <mergeCell ref="S14:U14"/>
    <mergeCell ref="AC14:AJ14"/>
    <mergeCell ref="AK14:AL14"/>
    <mergeCell ref="BR16:BS16"/>
    <mergeCell ref="BT16:BU16"/>
    <mergeCell ref="AC17:AF18"/>
    <mergeCell ref="AG17:AJ17"/>
    <mergeCell ref="AK17:AM17"/>
    <mergeCell ref="AN17:AP17"/>
    <mergeCell ref="AQ17:AS17"/>
    <mergeCell ref="BT17:BU17"/>
    <mergeCell ref="B69:K69"/>
    <mergeCell ref="L69:AA69"/>
    <mergeCell ref="AG18:AJ18"/>
    <mergeCell ref="AK18:AM18"/>
    <mergeCell ref="AN18:AP18"/>
    <mergeCell ref="AQ18:AS18"/>
    <mergeCell ref="AT18:AV18"/>
    <mergeCell ref="AW18:AY18"/>
    <mergeCell ref="AZ18:BB18"/>
    <mergeCell ref="AT17:AV17"/>
    <mergeCell ref="AW17:AY17"/>
    <mergeCell ref="AZ17:BB17"/>
    <mergeCell ref="BF17:BG17"/>
    <mergeCell ref="BH17:BK17"/>
    <mergeCell ref="BR17:BS17"/>
    <mergeCell ref="BF18:BG18"/>
    <mergeCell ref="AC16:AJ16"/>
    <mergeCell ref="AK16:AM16"/>
    <mergeCell ref="AN16:AP16"/>
    <mergeCell ref="AQ16:AS16"/>
    <mergeCell ref="AT16:AV16"/>
    <mergeCell ref="S11:U11"/>
    <mergeCell ref="AC13:AJ13"/>
    <mergeCell ref="AK13:AL13"/>
    <mergeCell ref="BH16:BK16"/>
    <mergeCell ref="BH14:BK14"/>
    <mergeCell ref="BR14:BS14"/>
    <mergeCell ref="BT14:BU14"/>
    <mergeCell ref="B15:F15"/>
    <mergeCell ref="G15:I15"/>
    <mergeCell ref="J15:L15"/>
    <mergeCell ref="M15:O15"/>
    <mergeCell ref="P15:R15"/>
    <mergeCell ref="S15:U15"/>
    <mergeCell ref="V15:W15"/>
    <mergeCell ref="X15:AA15"/>
    <mergeCell ref="BF15:BG15"/>
    <mergeCell ref="BH15:BK15"/>
    <mergeCell ref="BR15:BS15"/>
    <mergeCell ref="BT15:BU15"/>
    <mergeCell ref="B13:F13"/>
    <mergeCell ref="G13:I13"/>
    <mergeCell ref="J13:L13"/>
    <mergeCell ref="M13:O13"/>
    <mergeCell ref="P13:R13"/>
    <mergeCell ref="S13:U13"/>
    <mergeCell ref="BR13:BS13"/>
    <mergeCell ref="BT13:BU13"/>
    <mergeCell ref="B14:F14"/>
    <mergeCell ref="G14:I14"/>
    <mergeCell ref="J14:L14"/>
    <mergeCell ref="M14:O14"/>
    <mergeCell ref="P14:R14"/>
    <mergeCell ref="BH8:BK8"/>
    <mergeCell ref="BR8:BS8"/>
    <mergeCell ref="BT8:BU8"/>
    <mergeCell ref="AN14:BB14"/>
    <mergeCell ref="BF14:BG14"/>
    <mergeCell ref="BT11:BU11"/>
    <mergeCell ref="B12:F12"/>
    <mergeCell ref="G12:I12"/>
    <mergeCell ref="J12:L12"/>
    <mergeCell ref="M12:O12"/>
    <mergeCell ref="P12:R12"/>
    <mergeCell ref="S12:U12"/>
    <mergeCell ref="AC12:AJ12"/>
    <mergeCell ref="AK12:AL12"/>
    <mergeCell ref="AN12:BB12"/>
    <mergeCell ref="AC11:AJ11"/>
    <mergeCell ref="AK11:AL11"/>
    <mergeCell ref="AN11:BB11"/>
    <mergeCell ref="BF11:BG11"/>
    <mergeCell ref="BH11:BK11"/>
    <mergeCell ref="BR11:BS11"/>
    <mergeCell ref="BF12:BG12"/>
    <mergeCell ref="BH12:BK12"/>
    <mergeCell ref="BR12:BS12"/>
    <mergeCell ref="BT12:BU12"/>
    <mergeCell ref="B11:F11"/>
    <mergeCell ref="G11:I11"/>
    <mergeCell ref="J11:L11"/>
    <mergeCell ref="M11:O11"/>
    <mergeCell ref="P11:R11"/>
    <mergeCell ref="V14:X14"/>
    <mergeCell ref="Y14:AA14"/>
    <mergeCell ref="B10:F10"/>
    <mergeCell ref="G10:I10"/>
    <mergeCell ref="J10:L10"/>
    <mergeCell ref="M10:O10"/>
    <mergeCell ref="P10:R10"/>
    <mergeCell ref="S10:U10"/>
    <mergeCell ref="BF9:BG9"/>
    <mergeCell ref="BH9:BK9"/>
    <mergeCell ref="BR9:BS9"/>
    <mergeCell ref="BT9:BU9"/>
    <mergeCell ref="AC10:AJ10"/>
    <mergeCell ref="AK10:AM10"/>
    <mergeCell ref="AN10:BB10"/>
    <mergeCell ref="BF10:BG10"/>
    <mergeCell ref="BH10:BK10"/>
    <mergeCell ref="BR10:BS10"/>
    <mergeCell ref="BT10:BU10"/>
    <mergeCell ref="B9:F9"/>
    <mergeCell ref="G9:I9"/>
    <mergeCell ref="J9:L9"/>
    <mergeCell ref="M9:O9"/>
    <mergeCell ref="P9:R9"/>
    <mergeCell ref="V9:X9"/>
    <mergeCell ref="Y9:AA9"/>
    <mergeCell ref="V10:X10"/>
    <mergeCell ref="Y10:AA10"/>
    <mergeCell ref="S9:U9"/>
    <mergeCell ref="BH6:BK6"/>
    <mergeCell ref="BR6:BS6"/>
    <mergeCell ref="BT6:BU6"/>
    <mergeCell ref="B7:F7"/>
    <mergeCell ref="G7:I7"/>
    <mergeCell ref="J7:L7"/>
    <mergeCell ref="M7:O7"/>
    <mergeCell ref="P7:R7"/>
    <mergeCell ref="S7:U7"/>
    <mergeCell ref="B6:F6"/>
    <mergeCell ref="G6:I6"/>
    <mergeCell ref="J6:L6"/>
    <mergeCell ref="M6:O6"/>
    <mergeCell ref="P6:R6"/>
    <mergeCell ref="S6:U6"/>
    <mergeCell ref="BA7:BB7"/>
    <mergeCell ref="BF7:BG7"/>
    <mergeCell ref="BH7:BK7"/>
    <mergeCell ref="BR7:BS7"/>
    <mergeCell ref="BT7:BU7"/>
    <mergeCell ref="Y6:AA6"/>
    <mergeCell ref="V7:X7"/>
    <mergeCell ref="Y7:AA7"/>
    <mergeCell ref="A1:C1"/>
    <mergeCell ref="G1:H1"/>
    <mergeCell ref="AA1:AB1"/>
    <mergeCell ref="BA1:BB1"/>
    <mergeCell ref="BC1:BE1"/>
    <mergeCell ref="BF1:BJ1"/>
    <mergeCell ref="BF3:BG3"/>
    <mergeCell ref="BH3:BK3"/>
    <mergeCell ref="BR3:BS3"/>
    <mergeCell ref="BT3:BU3"/>
    <mergeCell ref="BH5:BK5"/>
    <mergeCell ref="BR5:BS5"/>
    <mergeCell ref="BT5:BU5"/>
    <mergeCell ref="AK5:AL5"/>
    <mergeCell ref="AM5:AN5"/>
    <mergeCell ref="AQ5:AR5"/>
    <mergeCell ref="AS5:AT5"/>
    <mergeCell ref="AU5:AV5"/>
    <mergeCell ref="AW5:AX5"/>
    <mergeCell ref="B5:F5"/>
    <mergeCell ref="G5:I5"/>
    <mergeCell ref="J5:L5"/>
    <mergeCell ref="M5:O5"/>
    <mergeCell ref="P5:R5"/>
    <mergeCell ref="S5:U5"/>
    <mergeCell ref="AY4:AZ4"/>
    <mergeCell ref="B4:F4"/>
    <mergeCell ref="G4:I4"/>
    <mergeCell ref="B3:F3"/>
    <mergeCell ref="G3:I3"/>
    <mergeCell ref="J3:L3"/>
    <mergeCell ref="M3:O3"/>
    <mergeCell ref="P3:R3"/>
    <mergeCell ref="S3:U3"/>
    <mergeCell ref="BF6:BG6"/>
    <mergeCell ref="AM7:AN7"/>
    <mergeCell ref="AQ7:AR7"/>
    <mergeCell ref="AS7:AT7"/>
    <mergeCell ref="AU7:AV7"/>
    <mergeCell ref="AC7:AD7"/>
    <mergeCell ref="AE7:AF7"/>
    <mergeCell ref="AG7:AH7"/>
    <mergeCell ref="AI7:AJ7"/>
    <mergeCell ref="AK7:AL7"/>
    <mergeCell ref="B8:F8"/>
    <mergeCell ref="G8:I8"/>
    <mergeCell ref="J8:L8"/>
    <mergeCell ref="M8:O8"/>
    <mergeCell ref="P8:R8"/>
    <mergeCell ref="V8:X8"/>
    <mergeCell ref="Y8:AA8"/>
    <mergeCell ref="S8:U8"/>
    <mergeCell ref="CA1:CH1"/>
    <mergeCell ref="BE2:BK2"/>
    <mergeCell ref="BR2:BS2"/>
    <mergeCell ref="BT2:BU2"/>
    <mergeCell ref="BA4:BB4"/>
    <mergeCell ref="BF4:BG4"/>
    <mergeCell ref="AC4:AD4"/>
    <mergeCell ref="AE4:AF4"/>
    <mergeCell ref="AG4:AH4"/>
    <mergeCell ref="AI4:AJ4"/>
    <mergeCell ref="AC5:AD5"/>
    <mergeCell ref="AE5:AF5"/>
    <mergeCell ref="AG5:AH5"/>
    <mergeCell ref="AI5:AJ5"/>
    <mergeCell ref="AY5:AZ5"/>
    <mergeCell ref="BA5:BB5"/>
    <mergeCell ref="AM8:AN8"/>
    <mergeCell ref="AQ8:AR8"/>
    <mergeCell ref="AS8:AT8"/>
    <mergeCell ref="AU8:AV8"/>
    <mergeCell ref="AW8:AX8"/>
    <mergeCell ref="AY8:AZ8"/>
    <mergeCell ref="AC8:AD8"/>
    <mergeCell ref="AE8:AF8"/>
    <mergeCell ref="AG8:AH8"/>
    <mergeCell ref="AI8:AJ8"/>
    <mergeCell ref="AK8:AL8"/>
    <mergeCell ref="BF5:BG5"/>
    <mergeCell ref="AW7:AX7"/>
    <mergeCell ref="AY7:AZ7"/>
    <mergeCell ref="BA8:BB8"/>
    <mergeCell ref="BF8:BG8"/>
    <mergeCell ref="CJ2:CL2"/>
    <mergeCell ref="CM3:CM9"/>
    <mergeCell ref="CM10:CM23"/>
    <mergeCell ref="J4:L4"/>
    <mergeCell ref="M4:O4"/>
    <mergeCell ref="P4:R4"/>
    <mergeCell ref="BH4:BK4"/>
    <mergeCell ref="BR4:BS4"/>
    <mergeCell ref="BT4:BU4"/>
    <mergeCell ref="AK4:AL4"/>
    <mergeCell ref="AM4:AN4"/>
    <mergeCell ref="AQ4:AR4"/>
    <mergeCell ref="AS4:AT4"/>
    <mergeCell ref="AU4:AV4"/>
    <mergeCell ref="AW4:AX4"/>
    <mergeCell ref="V11:X11"/>
    <mergeCell ref="Y11:AA11"/>
    <mergeCell ref="AN13:BB13"/>
    <mergeCell ref="BF13:BG13"/>
    <mergeCell ref="BH13:BK13"/>
    <mergeCell ref="V12:X12"/>
    <mergeCell ref="Y12:AA12"/>
    <mergeCell ref="V13:X13"/>
    <mergeCell ref="Y13:AA13"/>
    <mergeCell ref="V3:X3"/>
    <mergeCell ref="Y3:AA3"/>
    <mergeCell ref="V4:X4"/>
    <mergeCell ref="Y4:AA4"/>
    <mergeCell ref="S4:U4"/>
    <mergeCell ref="V5:X5"/>
    <mergeCell ref="Y5:AA5"/>
    <mergeCell ref="V6:X6"/>
  </mergeCells>
  <phoneticPr fontId="2"/>
  <conditionalFormatting sqref="D37:AJ66">
    <cfRule type="containsBlanks" dxfId="134" priority="24">
      <formula>LEN(TRIM(D37))=0</formula>
    </cfRule>
  </conditionalFormatting>
  <conditionalFormatting sqref="G15:U15">
    <cfRule type="cellIs" dxfId="133" priority="25" operator="lessThan">
      <formula>700000</formula>
    </cfRule>
  </conditionalFormatting>
  <conditionalFormatting sqref="G20:X20 G22:X22">
    <cfRule type="cellIs" dxfId="132" priority="20" operator="between">
      <formula>0.95</formula>
      <formula>0.9</formula>
    </cfRule>
    <cfRule type="cellIs" dxfId="131" priority="21" operator="lessThan">
      <formula>0.9</formula>
    </cfRule>
  </conditionalFormatting>
  <conditionalFormatting sqref="G24:X24">
    <cfRule type="cellIs" dxfId="130" priority="17" operator="lessThan">
      <formula>0.4</formula>
    </cfRule>
    <cfRule type="cellIs" dxfId="129" priority="18" operator="lessThan">
      <formula>0.5</formula>
    </cfRule>
  </conditionalFormatting>
  <conditionalFormatting sqref="G6:AA6">
    <cfRule type="cellIs" dxfId="128" priority="1" operator="between">
      <formula>0.95</formula>
      <formula>0.9</formula>
    </cfRule>
    <cfRule type="cellIs" dxfId="127" priority="6" operator="lessThan">
      <formula>0.9</formula>
    </cfRule>
  </conditionalFormatting>
  <conditionalFormatting sqref="G8:AA8">
    <cfRule type="cellIs" dxfId="126" priority="4" operator="lessThan">
      <formula>0.4</formula>
    </cfRule>
    <cfRule type="cellIs" dxfId="125" priority="5" operator="lessThan">
      <formula>0.5</formula>
    </cfRule>
  </conditionalFormatting>
  <conditionalFormatting sqref="G10:AA10">
    <cfRule type="cellIs" dxfId="124" priority="3" operator="lessThan">
      <formula>0.9</formula>
    </cfRule>
  </conditionalFormatting>
  <conditionalFormatting sqref="G12:AA12">
    <cfRule type="expression" dxfId="123" priority="2">
      <formula>AND(G12&lt;&gt;"",G12&gt;0.3)</formula>
    </cfRule>
  </conditionalFormatting>
  <conditionalFormatting sqref="G14:AA14">
    <cfRule type="containsBlanks" dxfId="122" priority="7">
      <formula>LEN(TRIM(G14))=0</formula>
    </cfRule>
  </conditionalFormatting>
  <conditionalFormatting sqref="J27:AA31">
    <cfRule type="containsBlanks" dxfId="121" priority="8">
      <formula>LEN(TRIM(J27))=0</formula>
    </cfRule>
  </conditionalFormatting>
  <conditionalFormatting sqref="M21:X21">
    <cfRule type="cellIs" dxfId="120" priority="9" operator="between">
      <formula>0.95</formula>
      <formula>0.9</formula>
    </cfRule>
    <cfRule type="cellIs" dxfId="119" priority="10" operator="lessThan">
      <formula>0.9</formula>
    </cfRule>
  </conditionalFormatting>
  <conditionalFormatting sqref="P75:AA75">
    <cfRule type="cellIs" dxfId="118" priority="34" operator="equal">
      <formula>"完"</formula>
    </cfRule>
  </conditionalFormatting>
  <conditionalFormatting sqref="AC11:BB14">
    <cfRule type="containsBlanks" dxfId="117" priority="22">
      <formula>LEN(TRIM(AC11))=0</formula>
    </cfRule>
  </conditionalFormatting>
  <conditionalFormatting sqref="AH35:AJ35">
    <cfRule type="cellIs" dxfId="116" priority="32" operator="equal">
      <formula>"Ⅱ算定済"</formula>
    </cfRule>
    <cfRule type="cellIs" dxfId="115" priority="33" operator="equal">
      <formula>"Ⅰ算定済"</formula>
    </cfRule>
  </conditionalFormatting>
  <conditionalFormatting sqref="BF3:BU32 P75:AA75 AH35:AJ35 AC5:AN5 AQ5:BB5 AC8:AN8 AQ8:BB8 AK17:BB21 AE27:BB29 AE32:BB32 BK37:BP42 AL38:BI38 AL42:BI42 BW45:CH49 AL46:BI46 AL50:BI50 AL54:BI54 AL58:BI58 AL62:BI62 AL66:BI66 P70:S71 P72 S72 X72 AA72 P73:S73 X73:AA73 X76:AA76 P76:S78 X78:AA78 L79:AA79 B83:G84 L83:AA84">
    <cfRule type="containsBlanks" dxfId="114" priority="36">
      <formula>LEN(TRIM(B3))=0</formula>
    </cfRule>
  </conditionalFormatting>
  <conditionalFormatting sqref="BL3:BQ32">
    <cfRule type="cellIs" dxfId="113" priority="35" operator="equal">
      <formula>"完"</formula>
    </cfRule>
  </conditionalFormatting>
  <dataValidations count="23">
    <dataValidation type="list" allowBlank="1" showInputMessage="1" showErrorMessage="1" sqref="Y37:AC66" xr:uid="{18A38FAC-7F23-4A67-BED6-4235F0DBE78F}">
      <formula1>"重度支援Ⅰ,重度支援Ⅱ"</formula1>
    </dataValidation>
    <dataValidation type="list" allowBlank="1" showInputMessage="1" showErrorMessage="1" sqref="BK37:BP42" xr:uid="{4454ECAF-1640-4C1E-AA19-5043493A7508}">
      <formula1>"転倒・転落,誤嚥・窒息,誤薬,行方不明,他害,利用者同士トラブル,自傷,入浴事故,医療急変,その他"</formula1>
    </dataValidation>
    <dataValidation type="list" allowBlank="1" showInputMessage="1" showErrorMessage="1" sqref="AH35:AJ35" xr:uid="{CFE50125-207D-4F42-B044-F08D96FD5958}">
      <formula1>"Ⅰ算定済,Ⅱ算定済"</formula1>
    </dataValidation>
    <dataValidation type="list" allowBlank="1" showInputMessage="1" showErrorMessage="1" sqref="S37:S66" xr:uid="{41D495DB-F08A-4D83-AA5F-EB7DCE3B6FCA}">
      <formula1>"◎,○,△,➡"</formula1>
    </dataValidation>
    <dataValidation type="list" allowBlank="1" showInputMessage="1" showErrorMessage="1" sqref="J37:K66" xr:uid="{097A41F1-B2B7-4CD6-A1D0-D1751C6974B8}">
      <formula1>"6,5,4,3,2,1,なし"</formula1>
    </dataValidation>
    <dataValidation type="list" allowBlank="1" showInputMessage="1" showErrorMessage="1" sqref="AA75" xr:uid="{AF5BA1FC-B525-4A4A-806A-CB2053449B26}">
      <formula1>"12,完"</formula1>
    </dataValidation>
    <dataValidation type="list" allowBlank="1" showInputMessage="1" showErrorMessage="1" sqref="Z75" xr:uid="{16BABD78-E7D8-4454-BA79-FE7DC1244345}">
      <formula1>"11,完"</formula1>
    </dataValidation>
    <dataValidation type="list" allowBlank="1" showInputMessage="1" showErrorMessage="1" sqref="Y75" xr:uid="{873DB940-E39C-4B77-A0A7-C8E618D3E9F5}">
      <formula1>"10,完"</formula1>
    </dataValidation>
    <dataValidation type="list" allowBlank="1" showInputMessage="1" showErrorMessage="1" sqref="X75" xr:uid="{CEFD9533-B069-43A8-A27C-8E9657618BF7}">
      <formula1>"9,完"</formula1>
    </dataValidation>
    <dataValidation type="list" allowBlank="1" showInputMessage="1" showErrorMessage="1" sqref="W75" xr:uid="{3FBB9554-8140-42CF-B78D-021999318FD9}">
      <formula1>"8,完"</formula1>
    </dataValidation>
    <dataValidation type="list" allowBlank="1" showInputMessage="1" showErrorMessage="1" sqref="V75" xr:uid="{4F15E3E8-964D-4604-B01C-AE24E674CFA1}">
      <formula1>"7,完"</formula1>
    </dataValidation>
    <dataValidation type="list" allowBlank="1" showInputMessage="1" showErrorMessage="1" sqref="U75" xr:uid="{AB02E059-D33C-4D0B-AEF3-BB1DFAF33704}">
      <formula1>"6,完"</formula1>
    </dataValidation>
    <dataValidation type="list" allowBlank="1" showInputMessage="1" showErrorMessage="1" sqref="T75" xr:uid="{B491E4B1-10B6-4DAE-B22F-4619E85DC37A}">
      <formula1>"5,完"</formula1>
    </dataValidation>
    <dataValidation type="list" allowBlank="1" showInputMessage="1" showErrorMessage="1" sqref="S75" xr:uid="{FF1175EB-C4C1-43B7-BDD3-1A39B929CD4C}">
      <formula1>"4,完"</formula1>
    </dataValidation>
    <dataValidation type="list" allowBlank="1" showInputMessage="1" showErrorMessage="1" sqref="R75" xr:uid="{470EA570-FC6A-469B-9354-BEE96C300919}">
      <formula1>"3,完"</formula1>
    </dataValidation>
    <dataValidation type="list" allowBlank="1" showInputMessage="1" showErrorMessage="1" sqref="Q75" xr:uid="{583F9F25-C295-4BB8-AF00-A08B7DB78792}">
      <formula1>"2,完"</formula1>
    </dataValidation>
    <dataValidation type="list" allowBlank="1" showInputMessage="1" showErrorMessage="1" sqref="P75" xr:uid="{EB840DAB-5A85-48E0-A827-51B6C4D3A027}">
      <formula1>"1,完"</formula1>
    </dataValidation>
    <dataValidation type="list" allowBlank="1" showInputMessage="1" showErrorMessage="1" sqref="X78:AA78 BT3:BT32 P70:S71 P72 S72 P73:S74 X73:AA74 AA72 X72 X70:AA71 X76:AA76 P76:S78 BR3:BR32" xr:uid="{DC7C9FD8-B191-4243-B9BB-0FE587D01AC6}">
      <formula1>"●"</formula1>
    </dataValidation>
    <dataValidation type="list" allowBlank="1" showInputMessage="1" showErrorMessage="1" sqref="BF3:BG32" xr:uid="{083ECE76-B84F-4975-8B6B-52A57A29CE0B}">
      <formula1>"時給,常時給,月給"</formula1>
    </dataValidation>
    <dataValidation type="list" allowBlank="1" showInputMessage="1" showErrorMessage="1" sqref="AM11:AM14" xr:uid="{E774A382-D51C-4524-8B56-885970E61970}">
      <formula1>"週,月"</formula1>
    </dataValidation>
    <dataValidation type="list" allowBlank="1" showInputMessage="1" showErrorMessage="1" sqref="AD37:AE66" xr:uid="{D4C23F42-E29A-4B9A-AB80-51A231E9B9DE}">
      <formula1>"済"</formula1>
    </dataValidation>
    <dataValidation type="list" allowBlank="1" showInputMessage="1" showErrorMessage="1" sqref="B83:D84" xr:uid="{0188E2EF-2A3C-40E4-8790-B972665A5434}">
      <formula1>"Ⅰ,Ⅱ,Ⅲ"</formula1>
    </dataValidation>
    <dataValidation type="list" allowBlank="1" showInputMessage="1" showErrorMessage="1" sqref="BL3:BQ32" xr:uid="{396448A1-A254-4045-BEB0-CEEEFF16F0D6}">
      <formula1>"完"</formula1>
    </dataValidation>
  </dataValidations>
  <hyperlinks>
    <hyperlink ref="BX6" r:id="rId1" xr:uid="{01DE6014-EA02-4F9B-AB68-B92D71D34453}"/>
    <hyperlink ref="B19:F19" r:id="rId2" display="利用日数" xr:uid="{C945B3EB-E0BB-4095-81C0-AFE31E626324}"/>
    <hyperlink ref="B21:F21" r:id="rId3" display="利用日数" xr:uid="{5D192A03-63D3-4C1D-8EFF-1CAE636486AD}"/>
    <hyperlink ref="B9:F9" r:id="rId4" display="..\04.サビ管_ラシエル\03. ご入居者利用状況一覧\上西郷⑤.xlsx" xr:uid="{B45451C0-C1C8-4BF0-9576-CA1C9D913CD1}"/>
    <hyperlink ref="B30:E31" r:id="rId5" display="派遣時間数" xr:uid="{9510D83F-7369-48A4-85FC-0344A7439D1E}"/>
    <hyperlink ref="AC17:AF18" r:id="rId6" display="法令基準" xr:uid="{05DFBD92-587F-4A67-BBEB-A7F2FCAA4FFF}"/>
  </hyperlinks>
  <printOptions horizontalCentered="1" verticalCentered="1"/>
  <pageMargins left="0.11811023622047245" right="0.11811023622047245" top="0.15748031496062992" bottom="0.15748031496062992" header="0" footer="0"/>
  <pageSetup paperSize="9" scale="25" orientation="landscape" r:id="rId7"/>
  <drawing r:id="rId8"/>
  <legacyDrawing r:id="rId9"/>
  <mc:AlternateContent xmlns:mc="http://schemas.openxmlformats.org/markup-compatibility/2006">
    <mc:Choice Requires="x14">
      <controls>
        <mc:AlternateContent xmlns:mc="http://schemas.openxmlformats.org/markup-compatibility/2006">
          <mc:Choice Requires="x14">
            <control shapeId="36889" r:id="rId10" name="TaskCheck_BW3">
              <controlPr defaultSize="0" autoFill="0" autoLine="0" autoPict="0">
                <anchor moveWithCells="1">
                  <from>
                    <xdr:col>74</xdr:col>
                    <xdr:colOff>19050</xdr:colOff>
                    <xdr:row>2</xdr:row>
                    <xdr:rowOff>12700</xdr:rowOff>
                  </from>
                  <to>
                    <xdr:col>75</xdr:col>
                    <xdr:colOff>50800</xdr:colOff>
                    <xdr:row>2</xdr:row>
                    <xdr:rowOff>273050</xdr:rowOff>
                  </to>
                </anchor>
              </controlPr>
            </control>
          </mc:Choice>
        </mc:AlternateContent>
        <mc:AlternateContent xmlns:mc="http://schemas.openxmlformats.org/markup-compatibility/2006">
          <mc:Choice Requires="x14">
            <control shapeId="36890" r:id="rId11" name="TaskCheck_BW4">
              <controlPr defaultSize="0" autoFill="0" autoLine="0" autoPict="0">
                <anchor moveWithCells="1">
                  <from>
                    <xdr:col>74</xdr:col>
                    <xdr:colOff>19050</xdr:colOff>
                    <xdr:row>3</xdr:row>
                    <xdr:rowOff>12700</xdr:rowOff>
                  </from>
                  <to>
                    <xdr:col>75</xdr:col>
                    <xdr:colOff>50800</xdr:colOff>
                    <xdr:row>3</xdr:row>
                    <xdr:rowOff>273050</xdr:rowOff>
                  </to>
                </anchor>
              </controlPr>
            </control>
          </mc:Choice>
        </mc:AlternateContent>
        <mc:AlternateContent xmlns:mc="http://schemas.openxmlformats.org/markup-compatibility/2006">
          <mc:Choice Requires="x14">
            <control shapeId="36891" r:id="rId12" name="TaskCheck_BW5">
              <controlPr defaultSize="0" autoFill="0" autoLine="0" autoPict="0">
                <anchor moveWithCells="1">
                  <from>
                    <xdr:col>74</xdr:col>
                    <xdr:colOff>19050</xdr:colOff>
                    <xdr:row>4</xdr:row>
                    <xdr:rowOff>12700</xdr:rowOff>
                  </from>
                  <to>
                    <xdr:col>75</xdr:col>
                    <xdr:colOff>50800</xdr:colOff>
                    <xdr:row>4</xdr:row>
                    <xdr:rowOff>273050</xdr:rowOff>
                  </to>
                </anchor>
              </controlPr>
            </control>
          </mc:Choice>
        </mc:AlternateContent>
        <mc:AlternateContent xmlns:mc="http://schemas.openxmlformats.org/markup-compatibility/2006">
          <mc:Choice Requires="x14">
            <control shapeId="36892" r:id="rId13" name="TaskCheck_BW6">
              <controlPr defaultSize="0" autoFill="0" autoLine="0" autoPict="0">
                <anchor moveWithCells="1">
                  <from>
                    <xdr:col>74</xdr:col>
                    <xdr:colOff>19050</xdr:colOff>
                    <xdr:row>5</xdr:row>
                    <xdr:rowOff>12700</xdr:rowOff>
                  </from>
                  <to>
                    <xdr:col>75</xdr:col>
                    <xdr:colOff>50800</xdr:colOff>
                    <xdr:row>5</xdr:row>
                    <xdr:rowOff>273050</xdr:rowOff>
                  </to>
                </anchor>
              </controlPr>
            </control>
          </mc:Choice>
        </mc:AlternateContent>
        <mc:AlternateContent xmlns:mc="http://schemas.openxmlformats.org/markup-compatibility/2006">
          <mc:Choice Requires="x14">
            <control shapeId="36893" r:id="rId14" name="TaskCheck_BW7">
              <controlPr defaultSize="0" autoFill="0" autoLine="0" autoPict="0">
                <anchor moveWithCells="1">
                  <from>
                    <xdr:col>74</xdr:col>
                    <xdr:colOff>19050</xdr:colOff>
                    <xdr:row>6</xdr:row>
                    <xdr:rowOff>12700</xdr:rowOff>
                  </from>
                  <to>
                    <xdr:col>75</xdr:col>
                    <xdr:colOff>50800</xdr:colOff>
                    <xdr:row>6</xdr:row>
                    <xdr:rowOff>273050</xdr:rowOff>
                  </to>
                </anchor>
              </controlPr>
            </control>
          </mc:Choice>
        </mc:AlternateContent>
        <mc:AlternateContent xmlns:mc="http://schemas.openxmlformats.org/markup-compatibility/2006">
          <mc:Choice Requires="x14">
            <control shapeId="36894" r:id="rId15" name="TaskCheck_BW8">
              <controlPr defaultSize="0" autoFill="0" autoLine="0" autoPict="0">
                <anchor moveWithCells="1">
                  <from>
                    <xdr:col>74</xdr:col>
                    <xdr:colOff>19050</xdr:colOff>
                    <xdr:row>7</xdr:row>
                    <xdr:rowOff>12700</xdr:rowOff>
                  </from>
                  <to>
                    <xdr:col>75</xdr:col>
                    <xdr:colOff>50800</xdr:colOff>
                    <xdr:row>7</xdr:row>
                    <xdr:rowOff>273050</xdr:rowOff>
                  </to>
                </anchor>
              </controlPr>
            </control>
          </mc:Choice>
        </mc:AlternateContent>
        <mc:AlternateContent xmlns:mc="http://schemas.openxmlformats.org/markup-compatibility/2006">
          <mc:Choice Requires="x14">
            <control shapeId="36895" r:id="rId16" name="TaskCheck_BW9">
              <controlPr defaultSize="0" autoFill="0" autoLine="0" autoPict="0">
                <anchor moveWithCells="1">
                  <from>
                    <xdr:col>74</xdr:col>
                    <xdr:colOff>19050</xdr:colOff>
                    <xdr:row>8</xdr:row>
                    <xdr:rowOff>12700</xdr:rowOff>
                  </from>
                  <to>
                    <xdr:col>75</xdr:col>
                    <xdr:colOff>50800</xdr:colOff>
                    <xdr:row>8</xdr:row>
                    <xdr:rowOff>273050</xdr:rowOff>
                  </to>
                </anchor>
              </controlPr>
            </control>
          </mc:Choice>
        </mc:AlternateContent>
        <mc:AlternateContent xmlns:mc="http://schemas.openxmlformats.org/markup-compatibility/2006">
          <mc:Choice Requires="x14">
            <control shapeId="36896" r:id="rId17" name="TaskCheck_BW10">
              <controlPr defaultSize="0" autoFill="0" autoLine="0" autoPict="0">
                <anchor moveWithCells="1">
                  <from>
                    <xdr:col>74</xdr:col>
                    <xdr:colOff>19050</xdr:colOff>
                    <xdr:row>9</xdr:row>
                    <xdr:rowOff>12700</xdr:rowOff>
                  </from>
                  <to>
                    <xdr:col>75</xdr:col>
                    <xdr:colOff>50800</xdr:colOff>
                    <xdr:row>9</xdr:row>
                    <xdr:rowOff>273050</xdr:rowOff>
                  </to>
                </anchor>
              </controlPr>
            </control>
          </mc:Choice>
        </mc:AlternateContent>
        <mc:AlternateContent xmlns:mc="http://schemas.openxmlformats.org/markup-compatibility/2006">
          <mc:Choice Requires="x14">
            <control shapeId="36897" r:id="rId18" name="TaskCheck_BW11">
              <controlPr defaultSize="0" autoFill="0" autoLine="0" autoPict="0">
                <anchor moveWithCells="1">
                  <from>
                    <xdr:col>74</xdr:col>
                    <xdr:colOff>19050</xdr:colOff>
                    <xdr:row>10</xdr:row>
                    <xdr:rowOff>12700</xdr:rowOff>
                  </from>
                  <to>
                    <xdr:col>75</xdr:col>
                    <xdr:colOff>50800</xdr:colOff>
                    <xdr:row>10</xdr:row>
                    <xdr:rowOff>273050</xdr:rowOff>
                  </to>
                </anchor>
              </controlPr>
            </control>
          </mc:Choice>
        </mc:AlternateContent>
        <mc:AlternateContent xmlns:mc="http://schemas.openxmlformats.org/markup-compatibility/2006">
          <mc:Choice Requires="x14">
            <control shapeId="36898" r:id="rId19" name="TaskCheck_BW12">
              <controlPr defaultSize="0" autoFill="0" autoLine="0" autoPict="0">
                <anchor moveWithCells="1">
                  <from>
                    <xdr:col>74</xdr:col>
                    <xdr:colOff>19050</xdr:colOff>
                    <xdr:row>11</xdr:row>
                    <xdr:rowOff>12700</xdr:rowOff>
                  </from>
                  <to>
                    <xdr:col>75</xdr:col>
                    <xdr:colOff>50800</xdr:colOff>
                    <xdr:row>11</xdr:row>
                    <xdr:rowOff>273050</xdr:rowOff>
                  </to>
                </anchor>
              </controlPr>
            </control>
          </mc:Choice>
        </mc:AlternateContent>
        <mc:AlternateContent xmlns:mc="http://schemas.openxmlformats.org/markup-compatibility/2006">
          <mc:Choice Requires="x14">
            <control shapeId="36899" r:id="rId20" name="TaskCheck_BW13">
              <controlPr defaultSize="0" autoFill="0" autoLine="0" autoPict="0">
                <anchor moveWithCells="1">
                  <from>
                    <xdr:col>74</xdr:col>
                    <xdr:colOff>19050</xdr:colOff>
                    <xdr:row>12</xdr:row>
                    <xdr:rowOff>12700</xdr:rowOff>
                  </from>
                  <to>
                    <xdr:col>75</xdr:col>
                    <xdr:colOff>50800</xdr:colOff>
                    <xdr:row>12</xdr:row>
                    <xdr:rowOff>273050</xdr:rowOff>
                  </to>
                </anchor>
              </controlPr>
            </control>
          </mc:Choice>
        </mc:AlternateContent>
        <mc:AlternateContent xmlns:mc="http://schemas.openxmlformats.org/markup-compatibility/2006">
          <mc:Choice Requires="x14">
            <control shapeId="36900" r:id="rId21" name="TaskCheck_BW14">
              <controlPr defaultSize="0" autoFill="0" autoLine="0" autoPict="0">
                <anchor moveWithCells="1">
                  <from>
                    <xdr:col>74</xdr:col>
                    <xdr:colOff>19050</xdr:colOff>
                    <xdr:row>13</xdr:row>
                    <xdr:rowOff>12700</xdr:rowOff>
                  </from>
                  <to>
                    <xdr:col>75</xdr:col>
                    <xdr:colOff>50800</xdr:colOff>
                    <xdr:row>13</xdr:row>
                    <xdr:rowOff>273050</xdr:rowOff>
                  </to>
                </anchor>
              </controlPr>
            </control>
          </mc:Choice>
        </mc:AlternateContent>
        <mc:AlternateContent xmlns:mc="http://schemas.openxmlformats.org/markup-compatibility/2006">
          <mc:Choice Requires="x14">
            <control shapeId="36901" r:id="rId22" name="TaskCheck_BW15">
              <controlPr defaultSize="0" autoFill="0" autoLine="0" autoPict="0">
                <anchor moveWithCells="1">
                  <from>
                    <xdr:col>74</xdr:col>
                    <xdr:colOff>19050</xdr:colOff>
                    <xdr:row>14</xdr:row>
                    <xdr:rowOff>12700</xdr:rowOff>
                  </from>
                  <to>
                    <xdr:col>75</xdr:col>
                    <xdr:colOff>50800</xdr:colOff>
                    <xdr:row>14</xdr:row>
                    <xdr:rowOff>273050</xdr:rowOff>
                  </to>
                </anchor>
              </controlPr>
            </control>
          </mc:Choice>
        </mc:AlternateContent>
        <mc:AlternateContent xmlns:mc="http://schemas.openxmlformats.org/markup-compatibility/2006">
          <mc:Choice Requires="x14">
            <control shapeId="36902" r:id="rId23" name="TaskCheck_BW16">
              <controlPr defaultSize="0" autoFill="0" autoLine="0" autoPict="0">
                <anchor moveWithCells="1">
                  <from>
                    <xdr:col>74</xdr:col>
                    <xdr:colOff>19050</xdr:colOff>
                    <xdr:row>15</xdr:row>
                    <xdr:rowOff>12700</xdr:rowOff>
                  </from>
                  <to>
                    <xdr:col>75</xdr:col>
                    <xdr:colOff>50800</xdr:colOff>
                    <xdr:row>15</xdr:row>
                    <xdr:rowOff>273050</xdr:rowOff>
                  </to>
                </anchor>
              </controlPr>
            </control>
          </mc:Choice>
        </mc:AlternateContent>
        <mc:AlternateContent xmlns:mc="http://schemas.openxmlformats.org/markup-compatibility/2006">
          <mc:Choice Requires="x14">
            <control shapeId="36903" r:id="rId24" name="TaskCheck_BW19">
              <controlPr defaultSize="0" autoFill="0" autoLine="0" autoPict="0">
                <anchor moveWithCells="1">
                  <from>
                    <xdr:col>74</xdr:col>
                    <xdr:colOff>19050</xdr:colOff>
                    <xdr:row>18</xdr:row>
                    <xdr:rowOff>12700</xdr:rowOff>
                  </from>
                  <to>
                    <xdr:col>75</xdr:col>
                    <xdr:colOff>50800</xdr:colOff>
                    <xdr:row>18</xdr:row>
                    <xdr:rowOff>273050</xdr:rowOff>
                  </to>
                </anchor>
              </controlPr>
            </control>
          </mc:Choice>
        </mc:AlternateContent>
        <mc:AlternateContent xmlns:mc="http://schemas.openxmlformats.org/markup-compatibility/2006">
          <mc:Choice Requires="x14">
            <control shapeId="36904" r:id="rId25" name="TaskCheck_BW20">
              <controlPr defaultSize="0" autoFill="0" autoLine="0" autoPict="0">
                <anchor moveWithCells="1">
                  <from>
                    <xdr:col>74</xdr:col>
                    <xdr:colOff>19050</xdr:colOff>
                    <xdr:row>19</xdr:row>
                    <xdr:rowOff>12700</xdr:rowOff>
                  </from>
                  <to>
                    <xdr:col>75</xdr:col>
                    <xdr:colOff>50800</xdr:colOff>
                    <xdr:row>19</xdr:row>
                    <xdr:rowOff>273050</xdr:rowOff>
                  </to>
                </anchor>
              </controlPr>
            </control>
          </mc:Choice>
        </mc:AlternateContent>
        <mc:AlternateContent xmlns:mc="http://schemas.openxmlformats.org/markup-compatibility/2006">
          <mc:Choice Requires="x14">
            <control shapeId="36905" r:id="rId26" name="TaskCheck_BW21">
              <controlPr defaultSize="0" autoFill="0" autoLine="0" autoPict="0">
                <anchor moveWithCells="1">
                  <from>
                    <xdr:col>74</xdr:col>
                    <xdr:colOff>19050</xdr:colOff>
                    <xdr:row>20</xdr:row>
                    <xdr:rowOff>12700</xdr:rowOff>
                  </from>
                  <to>
                    <xdr:col>75</xdr:col>
                    <xdr:colOff>50800</xdr:colOff>
                    <xdr:row>20</xdr:row>
                    <xdr:rowOff>273050</xdr:rowOff>
                  </to>
                </anchor>
              </controlPr>
            </control>
          </mc:Choice>
        </mc:AlternateContent>
        <mc:AlternateContent xmlns:mc="http://schemas.openxmlformats.org/markup-compatibility/2006">
          <mc:Choice Requires="x14">
            <control shapeId="36906" r:id="rId27" name="TaskCheck_BW22">
              <controlPr defaultSize="0" autoFill="0" autoLine="0" autoPict="0">
                <anchor moveWithCells="1">
                  <from>
                    <xdr:col>74</xdr:col>
                    <xdr:colOff>19050</xdr:colOff>
                    <xdr:row>21</xdr:row>
                    <xdr:rowOff>12700</xdr:rowOff>
                  </from>
                  <to>
                    <xdr:col>75</xdr:col>
                    <xdr:colOff>50800</xdr:colOff>
                    <xdr:row>21</xdr:row>
                    <xdr:rowOff>273050</xdr:rowOff>
                  </to>
                </anchor>
              </controlPr>
            </control>
          </mc:Choice>
        </mc:AlternateContent>
        <mc:AlternateContent xmlns:mc="http://schemas.openxmlformats.org/markup-compatibility/2006">
          <mc:Choice Requires="x14">
            <control shapeId="36907" r:id="rId28" name="TaskCheck_BW23">
              <controlPr defaultSize="0" autoFill="0" autoLine="0" autoPict="0">
                <anchor moveWithCells="1">
                  <from>
                    <xdr:col>74</xdr:col>
                    <xdr:colOff>19050</xdr:colOff>
                    <xdr:row>22</xdr:row>
                    <xdr:rowOff>12700</xdr:rowOff>
                  </from>
                  <to>
                    <xdr:col>75</xdr:col>
                    <xdr:colOff>50800</xdr:colOff>
                    <xdr:row>22</xdr:row>
                    <xdr:rowOff>273050</xdr:rowOff>
                  </to>
                </anchor>
              </controlPr>
            </control>
          </mc:Choice>
        </mc:AlternateContent>
        <mc:AlternateContent xmlns:mc="http://schemas.openxmlformats.org/markup-compatibility/2006">
          <mc:Choice Requires="x14">
            <control shapeId="36908" r:id="rId29" name="TaskCheck_BW24">
              <controlPr defaultSize="0" autoFill="0" autoLine="0" autoPict="0">
                <anchor moveWithCells="1">
                  <from>
                    <xdr:col>74</xdr:col>
                    <xdr:colOff>19050</xdr:colOff>
                    <xdr:row>23</xdr:row>
                    <xdr:rowOff>12700</xdr:rowOff>
                  </from>
                  <to>
                    <xdr:col>75</xdr:col>
                    <xdr:colOff>50800</xdr:colOff>
                    <xdr:row>23</xdr:row>
                    <xdr:rowOff>273050</xdr:rowOff>
                  </to>
                </anchor>
              </controlPr>
            </control>
          </mc:Choice>
        </mc:AlternateContent>
        <mc:AlternateContent xmlns:mc="http://schemas.openxmlformats.org/markup-compatibility/2006">
          <mc:Choice Requires="x14">
            <control shapeId="36909" r:id="rId30" name="TaskCheck_BW25">
              <controlPr defaultSize="0" autoFill="0" autoLine="0" autoPict="0">
                <anchor moveWithCells="1">
                  <from>
                    <xdr:col>74</xdr:col>
                    <xdr:colOff>19050</xdr:colOff>
                    <xdr:row>24</xdr:row>
                    <xdr:rowOff>12700</xdr:rowOff>
                  </from>
                  <to>
                    <xdr:col>75</xdr:col>
                    <xdr:colOff>50800</xdr:colOff>
                    <xdr:row>24</xdr:row>
                    <xdr:rowOff>273050</xdr:rowOff>
                  </to>
                </anchor>
              </controlPr>
            </control>
          </mc:Choice>
        </mc:AlternateContent>
        <mc:AlternateContent xmlns:mc="http://schemas.openxmlformats.org/markup-compatibility/2006">
          <mc:Choice Requires="x14">
            <control shapeId="36910" r:id="rId31" name="TaskCheck_BW26">
              <controlPr defaultSize="0" autoFill="0" autoLine="0" autoPict="0">
                <anchor moveWithCells="1">
                  <from>
                    <xdr:col>74</xdr:col>
                    <xdr:colOff>19050</xdr:colOff>
                    <xdr:row>25</xdr:row>
                    <xdr:rowOff>12700</xdr:rowOff>
                  </from>
                  <to>
                    <xdr:col>75</xdr:col>
                    <xdr:colOff>50800</xdr:colOff>
                    <xdr:row>25</xdr:row>
                    <xdr:rowOff>273050</xdr:rowOff>
                  </to>
                </anchor>
              </controlPr>
            </control>
          </mc:Choice>
        </mc:AlternateContent>
        <mc:AlternateContent xmlns:mc="http://schemas.openxmlformats.org/markup-compatibility/2006">
          <mc:Choice Requires="x14">
            <control shapeId="36911" r:id="rId32" name="TaskCheck_BW27">
              <controlPr defaultSize="0" autoFill="0" autoLine="0" autoPict="0">
                <anchor moveWithCells="1">
                  <from>
                    <xdr:col>74</xdr:col>
                    <xdr:colOff>19050</xdr:colOff>
                    <xdr:row>26</xdr:row>
                    <xdr:rowOff>12700</xdr:rowOff>
                  </from>
                  <to>
                    <xdr:col>75</xdr:col>
                    <xdr:colOff>50800</xdr:colOff>
                    <xdr:row>26</xdr:row>
                    <xdr:rowOff>273050</xdr:rowOff>
                  </to>
                </anchor>
              </controlPr>
            </control>
          </mc:Choice>
        </mc:AlternateContent>
        <mc:AlternateContent xmlns:mc="http://schemas.openxmlformats.org/markup-compatibility/2006">
          <mc:Choice Requires="x14">
            <control shapeId="36912" r:id="rId33" name="TaskCheck_BW28">
              <controlPr defaultSize="0" autoFill="0" autoLine="0" autoPict="0">
                <anchor moveWithCells="1">
                  <from>
                    <xdr:col>74</xdr:col>
                    <xdr:colOff>19050</xdr:colOff>
                    <xdr:row>27</xdr:row>
                    <xdr:rowOff>12700</xdr:rowOff>
                  </from>
                  <to>
                    <xdr:col>75</xdr:col>
                    <xdr:colOff>50800</xdr:colOff>
                    <xdr:row>27</xdr:row>
                    <xdr:rowOff>273050</xdr:rowOff>
                  </to>
                </anchor>
              </controlPr>
            </control>
          </mc:Choice>
        </mc:AlternateContent>
        <mc:AlternateContent xmlns:mc="http://schemas.openxmlformats.org/markup-compatibility/2006">
          <mc:Choice Requires="x14">
            <control shapeId="36913" r:id="rId34" name="TaskCheck_BW29">
              <controlPr defaultSize="0" autoFill="0" autoLine="0" autoPict="0">
                <anchor moveWithCells="1">
                  <from>
                    <xdr:col>74</xdr:col>
                    <xdr:colOff>19050</xdr:colOff>
                    <xdr:row>28</xdr:row>
                    <xdr:rowOff>12700</xdr:rowOff>
                  </from>
                  <to>
                    <xdr:col>75</xdr:col>
                    <xdr:colOff>50800</xdr:colOff>
                    <xdr:row>28</xdr:row>
                    <xdr:rowOff>273050</xdr:rowOff>
                  </to>
                </anchor>
              </controlPr>
            </control>
          </mc:Choice>
        </mc:AlternateContent>
        <mc:AlternateContent xmlns:mc="http://schemas.openxmlformats.org/markup-compatibility/2006">
          <mc:Choice Requires="x14">
            <control shapeId="36914" r:id="rId35" name="TaskCheck_BW30">
              <controlPr defaultSize="0" autoFill="0" autoLine="0" autoPict="0">
                <anchor moveWithCells="1">
                  <from>
                    <xdr:col>74</xdr:col>
                    <xdr:colOff>19050</xdr:colOff>
                    <xdr:row>29</xdr:row>
                    <xdr:rowOff>12700</xdr:rowOff>
                  </from>
                  <to>
                    <xdr:col>75</xdr:col>
                    <xdr:colOff>50800</xdr:colOff>
                    <xdr:row>29</xdr:row>
                    <xdr:rowOff>273050</xdr:rowOff>
                  </to>
                </anchor>
              </controlPr>
            </control>
          </mc:Choice>
        </mc:AlternateContent>
        <mc:AlternateContent xmlns:mc="http://schemas.openxmlformats.org/markup-compatibility/2006">
          <mc:Choice Requires="x14">
            <control shapeId="36915" r:id="rId36" name="TaskCheck_BW31">
              <controlPr defaultSize="0" autoFill="0" autoLine="0" autoPict="0">
                <anchor moveWithCells="1">
                  <from>
                    <xdr:col>74</xdr:col>
                    <xdr:colOff>19050</xdr:colOff>
                    <xdr:row>30</xdr:row>
                    <xdr:rowOff>12700</xdr:rowOff>
                  </from>
                  <to>
                    <xdr:col>75</xdr:col>
                    <xdr:colOff>50800</xdr:colOff>
                    <xdr:row>30</xdr:row>
                    <xdr:rowOff>273050</xdr:rowOff>
                  </to>
                </anchor>
              </controlPr>
            </control>
          </mc:Choice>
        </mc:AlternateContent>
        <mc:AlternateContent xmlns:mc="http://schemas.openxmlformats.org/markup-compatibility/2006">
          <mc:Choice Requires="x14">
            <control shapeId="36916" r:id="rId37" name="TaskCheck_BW32">
              <controlPr defaultSize="0" autoFill="0" autoLine="0" autoPict="0">
                <anchor moveWithCells="1">
                  <from>
                    <xdr:col>74</xdr:col>
                    <xdr:colOff>19050</xdr:colOff>
                    <xdr:row>31</xdr:row>
                    <xdr:rowOff>12700</xdr:rowOff>
                  </from>
                  <to>
                    <xdr:col>75</xdr:col>
                    <xdr:colOff>50800</xdr:colOff>
                    <xdr:row>31</xdr:row>
                    <xdr:rowOff>273050</xdr:rowOff>
                  </to>
                </anchor>
              </controlPr>
            </control>
          </mc:Choice>
        </mc:AlternateContent>
        <mc:AlternateContent xmlns:mc="http://schemas.openxmlformats.org/markup-compatibility/2006">
          <mc:Choice Requires="x14">
            <control shapeId="36917" r:id="rId38" name="TaskCheck_BW33">
              <controlPr defaultSize="0" autoFill="0" autoLine="0" autoPict="0">
                <anchor moveWithCells="1">
                  <from>
                    <xdr:col>74</xdr:col>
                    <xdr:colOff>19050</xdr:colOff>
                    <xdr:row>32</xdr:row>
                    <xdr:rowOff>12700</xdr:rowOff>
                  </from>
                  <to>
                    <xdr:col>75</xdr:col>
                    <xdr:colOff>50800</xdr:colOff>
                    <xdr:row>32</xdr:row>
                    <xdr:rowOff>273050</xdr:rowOff>
                  </to>
                </anchor>
              </controlPr>
            </control>
          </mc:Choice>
        </mc:AlternateContent>
        <mc:AlternateContent xmlns:mc="http://schemas.openxmlformats.org/markup-compatibility/2006">
          <mc:Choice Requires="x14">
            <control shapeId="36918" r:id="rId39" name="TaskCheck_BW36">
              <controlPr defaultSize="0" autoFill="0" autoLine="0" autoPict="0">
                <anchor moveWithCells="1">
                  <from>
                    <xdr:col>74</xdr:col>
                    <xdr:colOff>19050</xdr:colOff>
                    <xdr:row>35</xdr:row>
                    <xdr:rowOff>12700</xdr:rowOff>
                  </from>
                  <to>
                    <xdr:col>75</xdr:col>
                    <xdr:colOff>50800</xdr:colOff>
                    <xdr:row>35</xdr:row>
                    <xdr:rowOff>273050</xdr:rowOff>
                  </to>
                </anchor>
              </controlPr>
            </control>
          </mc:Choice>
        </mc:AlternateContent>
        <mc:AlternateContent xmlns:mc="http://schemas.openxmlformats.org/markup-compatibility/2006">
          <mc:Choice Requires="x14">
            <control shapeId="36919" r:id="rId40" name="TaskCheck_BQ37">
              <controlPr defaultSize="0" autoFill="0" autoLine="0" autoPict="0">
                <anchor moveWithCells="1">
                  <from>
                    <xdr:col>68</xdr:col>
                    <xdr:colOff>19050</xdr:colOff>
                    <xdr:row>36</xdr:row>
                    <xdr:rowOff>12700</xdr:rowOff>
                  </from>
                  <to>
                    <xdr:col>69</xdr:col>
                    <xdr:colOff>50800</xdr:colOff>
                    <xdr:row>36</xdr:row>
                    <xdr:rowOff>273050</xdr:rowOff>
                  </to>
                </anchor>
              </controlPr>
            </control>
          </mc:Choice>
        </mc:AlternateContent>
        <mc:AlternateContent xmlns:mc="http://schemas.openxmlformats.org/markup-compatibility/2006">
          <mc:Choice Requires="x14">
            <control shapeId="36920" r:id="rId41" name="TaskCheck_BW37">
              <controlPr defaultSize="0" autoFill="0" autoLine="0" autoPict="0">
                <anchor moveWithCells="1">
                  <from>
                    <xdr:col>74</xdr:col>
                    <xdr:colOff>19050</xdr:colOff>
                    <xdr:row>36</xdr:row>
                    <xdr:rowOff>12700</xdr:rowOff>
                  </from>
                  <to>
                    <xdr:col>75</xdr:col>
                    <xdr:colOff>50800</xdr:colOff>
                    <xdr:row>36</xdr:row>
                    <xdr:rowOff>273050</xdr:rowOff>
                  </to>
                </anchor>
              </controlPr>
            </control>
          </mc:Choice>
        </mc:AlternateContent>
        <mc:AlternateContent xmlns:mc="http://schemas.openxmlformats.org/markup-compatibility/2006">
          <mc:Choice Requires="x14">
            <control shapeId="36921" r:id="rId42" name="TaskCheck_BQ38">
              <controlPr defaultSize="0" autoFill="0" autoLine="0" autoPict="0">
                <anchor moveWithCells="1">
                  <from>
                    <xdr:col>68</xdr:col>
                    <xdr:colOff>19050</xdr:colOff>
                    <xdr:row>37</xdr:row>
                    <xdr:rowOff>12700</xdr:rowOff>
                  </from>
                  <to>
                    <xdr:col>69</xdr:col>
                    <xdr:colOff>50800</xdr:colOff>
                    <xdr:row>37</xdr:row>
                    <xdr:rowOff>273050</xdr:rowOff>
                  </to>
                </anchor>
              </controlPr>
            </control>
          </mc:Choice>
        </mc:AlternateContent>
        <mc:AlternateContent xmlns:mc="http://schemas.openxmlformats.org/markup-compatibility/2006">
          <mc:Choice Requires="x14">
            <control shapeId="36922" r:id="rId43" name="TaskCheck_BW38">
              <controlPr defaultSize="0" autoFill="0" autoLine="0" autoPict="0">
                <anchor moveWithCells="1">
                  <from>
                    <xdr:col>74</xdr:col>
                    <xdr:colOff>19050</xdr:colOff>
                    <xdr:row>37</xdr:row>
                    <xdr:rowOff>12700</xdr:rowOff>
                  </from>
                  <to>
                    <xdr:col>75</xdr:col>
                    <xdr:colOff>50800</xdr:colOff>
                    <xdr:row>37</xdr:row>
                    <xdr:rowOff>273050</xdr:rowOff>
                  </to>
                </anchor>
              </controlPr>
            </control>
          </mc:Choice>
        </mc:AlternateContent>
        <mc:AlternateContent xmlns:mc="http://schemas.openxmlformats.org/markup-compatibility/2006">
          <mc:Choice Requires="x14">
            <control shapeId="36923" r:id="rId44" name="TaskCheck_BQ39">
              <controlPr defaultSize="0" autoFill="0" autoLine="0" autoPict="0">
                <anchor moveWithCells="1">
                  <from>
                    <xdr:col>68</xdr:col>
                    <xdr:colOff>19050</xdr:colOff>
                    <xdr:row>38</xdr:row>
                    <xdr:rowOff>12700</xdr:rowOff>
                  </from>
                  <to>
                    <xdr:col>69</xdr:col>
                    <xdr:colOff>50800</xdr:colOff>
                    <xdr:row>38</xdr:row>
                    <xdr:rowOff>273050</xdr:rowOff>
                  </to>
                </anchor>
              </controlPr>
            </control>
          </mc:Choice>
        </mc:AlternateContent>
        <mc:AlternateContent xmlns:mc="http://schemas.openxmlformats.org/markup-compatibility/2006">
          <mc:Choice Requires="x14">
            <control shapeId="36924" r:id="rId45" name="TaskCheck_BW39">
              <controlPr defaultSize="0" autoFill="0" autoLine="0" autoPict="0">
                <anchor moveWithCells="1">
                  <from>
                    <xdr:col>74</xdr:col>
                    <xdr:colOff>19050</xdr:colOff>
                    <xdr:row>38</xdr:row>
                    <xdr:rowOff>12700</xdr:rowOff>
                  </from>
                  <to>
                    <xdr:col>75</xdr:col>
                    <xdr:colOff>50800</xdr:colOff>
                    <xdr:row>38</xdr:row>
                    <xdr:rowOff>273050</xdr:rowOff>
                  </to>
                </anchor>
              </controlPr>
            </control>
          </mc:Choice>
        </mc:AlternateContent>
        <mc:AlternateContent xmlns:mc="http://schemas.openxmlformats.org/markup-compatibility/2006">
          <mc:Choice Requires="x14">
            <control shapeId="36925" r:id="rId46" name="TaskCheck_BQ40">
              <controlPr defaultSize="0" autoFill="0" autoLine="0" autoPict="0">
                <anchor moveWithCells="1">
                  <from>
                    <xdr:col>68</xdr:col>
                    <xdr:colOff>19050</xdr:colOff>
                    <xdr:row>39</xdr:row>
                    <xdr:rowOff>12700</xdr:rowOff>
                  </from>
                  <to>
                    <xdr:col>69</xdr:col>
                    <xdr:colOff>50800</xdr:colOff>
                    <xdr:row>39</xdr:row>
                    <xdr:rowOff>273050</xdr:rowOff>
                  </to>
                </anchor>
              </controlPr>
            </control>
          </mc:Choice>
        </mc:AlternateContent>
        <mc:AlternateContent xmlns:mc="http://schemas.openxmlformats.org/markup-compatibility/2006">
          <mc:Choice Requires="x14">
            <control shapeId="36926" r:id="rId47" name="TaskCheck_BW40">
              <controlPr defaultSize="0" autoFill="0" autoLine="0" autoPict="0">
                <anchor moveWithCells="1">
                  <from>
                    <xdr:col>74</xdr:col>
                    <xdr:colOff>19050</xdr:colOff>
                    <xdr:row>39</xdr:row>
                    <xdr:rowOff>12700</xdr:rowOff>
                  </from>
                  <to>
                    <xdr:col>75</xdr:col>
                    <xdr:colOff>50800</xdr:colOff>
                    <xdr:row>39</xdr:row>
                    <xdr:rowOff>273050</xdr:rowOff>
                  </to>
                </anchor>
              </controlPr>
            </control>
          </mc:Choice>
        </mc:AlternateContent>
        <mc:AlternateContent xmlns:mc="http://schemas.openxmlformats.org/markup-compatibility/2006">
          <mc:Choice Requires="x14">
            <control shapeId="36927" r:id="rId48" name="TaskCheck_BQ41">
              <controlPr defaultSize="0" autoFill="0" autoLine="0" autoPict="0">
                <anchor moveWithCells="1">
                  <from>
                    <xdr:col>68</xdr:col>
                    <xdr:colOff>19050</xdr:colOff>
                    <xdr:row>40</xdr:row>
                    <xdr:rowOff>12700</xdr:rowOff>
                  </from>
                  <to>
                    <xdr:col>69</xdr:col>
                    <xdr:colOff>50800</xdr:colOff>
                    <xdr:row>40</xdr:row>
                    <xdr:rowOff>273050</xdr:rowOff>
                  </to>
                </anchor>
              </controlPr>
            </control>
          </mc:Choice>
        </mc:AlternateContent>
        <mc:AlternateContent xmlns:mc="http://schemas.openxmlformats.org/markup-compatibility/2006">
          <mc:Choice Requires="x14">
            <control shapeId="36928" r:id="rId49" name="TaskCheck_BW41">
              <controlPr defaultSize="0" autoFill="0" autoLine="0" autoPict="0">
                <anchor moveWithCells="1">
                  <from>
                    <xdr:col>74</xdr:col>
                    <xdr:colOff>19050</xdr:colOff>
                    <xdr:row>40</xdr:row>
                    <xdr:rowOff>12700</xdr:rowOff>
                  </from>
                  <to>
                    <xdr:col>75</xdr:col>
                    <xdr:colOff>50800</xdr:colOff>
                    <xdr:row>40</xdr:row>
                    <xdr:rowOff>273050</xdr:rowOff>
                  </to>
                </anchor>
              </controlPr>
            </control>
          </mc:Choice>
        </mc:AlternateContent>
        <mc:AlternateContent xmlns:mc="http://schemas.openxmlformats.org/markup-compatibility/2006">
          <mc:Choice Requires="x14">
            <control shapeId="36929" r:id="rId50" name="TaskCheck_BQ42">
              <controlPr defaultSize="0" autoFill="0" autoLine="0" autoPict="0">
                <anchor moveWithCells="1">
                  <from>
                    <xdr:col>68</xdr:col>
                    <xdr:colOff>19050</xdr:colOff>
                    <xdr:row>41</xdr:row>
                    <xdr:rowOff>12700</xdr:rowOff>
                  </from>
                  <to>
                    <xdr:col>69</xdr:col>
                    <xdr:colOff>50800</xdr:colOff>
                    <xdr:row>41</xdr:row>
                    <xdr:rowOff>273050</xdr:rowOff>
                  </to>
                </anchor>
              </controlPr>
            </control>
          </mc:Choice>
        </mc:AlternateContent>
        <mc:AlternateContent xmlns:mc="http://schemas.openxmlformats.org/markup-compatibility/2006">
          <mc:Choice Requires="x14">
            <control shapeId="36930" r:id="rId51" name="TaskCheck_BW42">
              <controlPr defaultSize="0" autoFill="0" autoLine="0" autoPict="0">
                <anchor moveWithCells="1">
                  <from>
                    <xdr:col>74</xdr:col>
                    <xdr:colOff>19050</xdr:colOff>
                    <xdr:row>41</xdr:row>
                    <xdr:rowOff>12700</xdr:rowOff>
                  </from>
                  <to>
                    <xdr:col>75</xdr:col>
                    <xdr:colOff>50800</xdr:colOff>
                    <xdr:row>41</xdr:row>
                    <xdr:rowOff>273050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057D4-8726-4D8E-A102-B036C6C772DE}">
  <sheetPr codeName="Sheet19">
    <tabColor theme="6" tint="0.79998168889431442"/>
    <pageSetUpPr fitToPage="1"/>
  </sheetPr>
  <dimension ref="A1:CQ118"/>
  <sheetViews>
    <sheetView showGridLines="0" topLeftCell="A7" zoomScale="60" zoomScaleNormal="60" workbookViewId="0">
      <selection activeCell="AT22" sqref="AT22:AV22"/>
    </sheetView>
  </sheetViews>
  <sheetFormatPr defaultColWidth="3.83203125" defaultRowHeight="22.5" customHeight="1"/>
  <cols>
    <col min="1" max="1" width="3.83203125" style="161"/>
    <col min="2" max="2" width="8.58203125" style="161" bestFit="1" customWidth="1"/>
    <col min="3" max="4" width="5.6640625" style="161" bestFit="1" customWidth="1"/>
    <col min="5" max="6" width="3.83203125" style="161"/>
    <col min="7" max="7" width="5.6640625" style="161" bestFit="1" customWidth="1"/>
    <col min="8" max="19" width="3.83203125" style="161"/>
    <col min="20" max="20" width="3.83203125" style="161" customWidth="1"/>
    <col min="21" max="33" width="3.83203125" style="161"/>
    <col min="34" max="34" width="3.83203125" style="161" customWidth="1"/>
    <col min="35" max="89" width="3.83203125" style="161"/>
    <col min="90" max="90" width="11.08203125" style="161" bestFit="1" customWidth="1"/>
    <col min="91" max="91" width="9.83203125" style="161" bestFit="1" customWidth="1"/>
    <col min="92" max="92" width="4.9140625" style="161" bestFit="1" customWidth="1"/>
    <col min="93" max="93" width="10.6640625" style="161" bestFit="1" customWidth="1"/>
    <col min="94" max="95" width="4.9140625" style="161" bestFit="1" customWidth="1"/>
    <col min="96" max="16384" width="3.83203125" style="161"/>
  </cols>
  <sheetData>
    <row r="1" spans="1:95" s="160" customFormat="1" ht="22.5" customHeight="1" thickTop="1" thickBot="1">
      <c r="A1" s="306" t="s">
        <v>66</v>
      </c>
      <c r="B1" s="306"/>
      <c r="C1" s="306"/>
      <c r="D1" s="158" t="s">
        <v>380</v>
      </c>
      <c r="E1" s="158"/>
      <c r="F1" s="158"/>
      <c r="G1" s="307">
        <v>20</v>
      </c>
      <c r="H1" s="307"/>
      <c r="I1" s="158" t="s">
        <v>687</v>
      </c>
      <c r="J1" s="158"/>
      <c r="K1" s="158"/>
      <c r="L1" s="158"/>
      <c r="M1" s="158"/>
      <c r="N1" s="158"/>
      <c r="O1" s="158"/>
      <c r="P1" s="158"/>
      <c r="Q1" s="158"/>
      <c r="R1" s="159"/>
      <c r="S1" s="159"/>
      <c r="T1" s="159"/>
      <c r="U1" s="159"/>
      <c r="V1" s="221" t="s">
        <v>104</v>
      </c>
      <c r="W1" s="158"/>
      <c r="X1" s="158"/>
      <c r="Y1" s="158"/>
      <c r="Z1" s="158"/>
      <c r="AA1" s="308">
        <v>1</v>
      </c>
      <c r="AB1" s="308"/>
      <c r="AC1" s="199" t="s">
        <v>105</v>
      </c>
      <c r="AD1" s="158"/>
      <c r="AE1" s="200" t="s">
        <v>587</v>
      </c>
      <c r="AF1" s="158"/>
      <c r="AG1" s="158"/>
      <c r="AH1" s="159"/>
      <c r="AI1" s="199" t="s">
        <v>106</v>
      </c>
      <c r="AJ1" s="159"/>
      <c r="AK1" s="200" t="s">
        <v>693</v>
      </c>
      <c r="AL1" s="159"/>
      <c r="AM1" s="159"/>
      <c r="AN1" s="159"/>
      <c r="AO1" s="199" t="s">
        <v>106</v>
      </c>
      <c r="AP1" s="159"/>
      <c r="AQ1" s="200"/>
      <c r="AR1" s="159"/>
      <c r="AS1" s="159"/>
      <c r="AT1" s="159"/>
      <c r="AU1" s="199" t="s">
        <v>237</v>
      </c>
      <c r="AV1" s="159"/>
      <c r="AW1" s="200"/>
      <c r="AX1" s="159"/>
      <c r="AY1" s="159"/>
      <c r="AZ1" s="159"/>
      <c r="BA1" s="309" t="s">
        <v>261</v>
      </c>
      <c r="BB1" s="310"/>
      <c r="BC1" s="311">
        <v>46198</v>
      </c>
      <c r="BD1" s="312"/>
      <c r="BE1" s="313"/>
      <c r="BF1" s="314" t="str">
        <f ca="1">IF(BC1="","",(TODAY()-BC1)&amp;"日未更新")</f>
        <v>4日未更新</v>
      </c>
      <c r="BG1" s="315"/>
      <c r="BH1" s="315"/>
      <c r="BI1" s="315"/>
      <c r="BJ1" s="316"/>
      <c r="BK1" s="159"/>
      <c r="BL1" s="159"/>
      <c r="BM1" s="159"/>
      <c r="BN1" s="159"/>
      <c r="BO1" s="158"/>
      <c r="BP1" s="159"/>
      <c r="BQ1" s="159"/>
      <c r="BR1" s="159"/>
      <c r="BS1" s="159"/>
      <c r="BT1" s="159"/>
      <c r="BU1" s="159"/>
      <c r="BV1" s="159"/>
      <c r="BW1" s="159"/>
      <c r="BX1" s="159"/>
      <c r="BY1" s="159"/>
      <c r="BZ1" s="158"/>
      <c r="CA1" s="323" t="s">
        <v>238</v>
      </c>
      <c r="CB1" s="323"/>
      <c r="CC1" s="323"/>
      <c r="CD1" s="323"/>
      <c r="CE1" s="323"/>
      <c r="CF1" s="323"/>
      <c r="CG1" s="323"/>
      <c r="CH1" s="323"/>
      <c r="CL1" s="263" t="s">
        <v>910</v>
      </c>
      <c r="CM1" s="263" t="s">
        <v>911</v>
      </c>
      <c r="CN1" s="263" t="s">
        <v>908</v>
      </c>
      <c r="CO1" s="263" t="s">
        <v>912</v>
      </c>
      <c r="CP1" s="263" t="s">
        <v>905</v>
      </c>
      <c r="CQ1" s="263" t="s">
        <v>913</v>
      </c>
    </row>
    <row r="2" spans="1:95" ht="22.5" customHeight="1" thickTop="1">
      <c r="B2" s="175" t="s">
        <v>229</v>
      </c>
      <c r="C2" s="176"/>
      <c r="D2" s="176"/>
      <c r="E2" s="176"/>
      <c r="F2" s="176"/>
      <c r="G2" s="176"/>
      <c r="H2" s="176">
        <v>31</v>
      </c>
      <c r="I2" s="176"/>
      <c r="J2" s="176"/>
      <c r="K2" s="176">
        <v>30</v>
      </c>
      <c r="L2" s="176"/>
      <c r="M2" s="176"/>
      <c r="N2" s="176">
        <v>31</v>
      </c>
      <c r="O2" s="176"/>
      <c r="P2" s="176"/>
      <c r="Q2" s="176"/>
      <c r="R2" s="176"/>
      <c r="S2" s="176"/>
      <c r="T2" s="176"/>
      <c r="U2" s="176"/>
      <c r="V2" s="176"/>
      <c r="W2" s="176"/>
      <c r="X2" s="176"/>
      <c r="Y2" s="176"/>
      <c r="Z2" s="176"/>
      <c r="AA2" s="176"/>
      <c r="AC2" s="177" t="s">
        <v>110</v>
      </c>
      <c r="AD2" s="178"/>
      <c r="AE2" s="178"/>
      <c r="AF2" s="178"/>
      <c r="AG2" s="178"/>
      <c r="AH2" s="178"/>
      <c r="AI2" s="178"/>
      <c r="AJ2" s="178"/>
      <c r="AK2" s="178"/>
      <c r="AL2" s="178"/>
      <c r="AM2" s="178"/>
      <c r="AN2" s="178"/>
      <c r="AO2" s="178"/>
      <c r="AP2" s="178"/>
      <c r="AQ2" s="178"/>
      <c r="AR2" s="178"/>
      <c r="AS2" s="178"/>
      <c r="AT2" s="178"/>
      <c r="AU2" s="178"/>
      <c r="AV2" s="178"/>
      <c r="AW2" s="178"/>
      <c r="AX2" s="178"/>
      <c r="AY2" s="178"/>
      <c r="AZ2" s="178"/>
      <c r="BA2" s="178"/>
      <c r="BB2" s="178"/>
      <c r="BE2" s="324" t="s">
        <v>127</v>
      </c>
      <c r="BF2" s="325"/>
      <c r="BG2" s="325"/>
      <c r="BH2" s="325"/>
      <c r="BI2" s="325"/>
      <c r="BJ2" s="325"/>
      <c r="BK2" s="326"/>
      <c r="BL2" s="189" t="s">
        <v>52</v>
      </c>
      <c r="BM2" s="190" t="s">
        <v>53</v>
      </c>
      <c r="BN2" s="197" t="s">
        <v>54</v>
      </c>
      <c r="BO2" s="198" t="s">
        <v>55</v>
      </c>
      <c r="BP2" s="190" t="s">
        <v>56</v>
      </c>
      <c r="BQ2" s="191" t="s">
        <v>57</v>
      </c>
      <c r="BR2" s="327" t="s">
        <v>112</v>
      </c>
      <c r="BS2" s="328"/>
      <c r="BT2" s="328" t="s">
        <v>115</v>
      </c>
      <c r="BU2" s="329"/>
      <c r="BW2" s="181" t="s">
        <v>948</v>
      </c>
      <c r="BX2" s="179"/>
      <c r="BY2" s="179"/>
      <c r="BZ2" s="179"/>
      <c r="CA2" s="179"/>
      <c r="CB2" s="179"/>
      <c r="CC2" s="179"/>
      <c r="CD2" s="179"/>
      <c r="CE2" s="179"/>
      <c r="CF2" s="179"/>
      <c r="CG2" s="179"/>
      <c r="CH2" s="179"/>
      <c r="CL2" s="264" t="s">
        <v>914</v>
      </c>
      <c r="CM2" s="265">
        <v>46113</v>
      </c>
      <c r="CN2" s="264">
        <v>6</v>
      </c>
      <c r="CO2" s="264">
        <v>0</v>
      </c>
      <c r="CP2" s="264">
        <v>0</v>
      </c>
      <c r="CQ2" s="264">
        <v>0</v>
      </c>
    </row>
    <row r="3" spans="1:95" ht="22.5" customHeight="1">
      <c r="B3" s="300" t="s">
        <v>263</v>
      </c>
      <c r="C3" s="301"/>
      <c r="D3" s="301"/>
      <c r="E3" s="301"/>
      <c r="F3" s="302"/>
      <c r="G3" s="303" t="s">
        <v>254</v>
      </c>
      <c r="H3" s="304"/>
      <c r="I3" s="305"/>
      <c r="J3" s="303" t="s">
        <v>27</v>
      </c>
      <c r="K3" s="304"/>
      <c r="L3" s="305"/>
      <c r="M3" s="303" t="s">
        <v>226</v>
      </c>
      <c r="N3" s="304"/>
      <c r="O3" s="305"/>
      <c r="P3" s="303" t="s">
        <v>15</v>
      </c>
      <c r="Q3" s="304"/>
      <c r="R3" s="305"/>
      <c r="S3" s="303" t="s">
        <v>22</v>
      </c>
      <c r="T3" s="304"/>
      <c r="U3" s="305"/>
      <c r="V3" s="303" t="s">
        <v>1</v>
      </c>
      <c r="W3" s="304"/>
      <c r="X3" s="305"/>
      <c r="Y3" s="303" t="s">
        <v>18</v>
      </c>
      <c r="Z3" s="304"/>
      <c r="AA3" s="305"/>
      <c r="AC3" s="179" t="s">
        <v>61</v>
      </c>
      <c r="AD3" s="179"/>
      <c r="AE3" s="179"/>
      <c r="AF3" s="179"/>
      <c r="AG3" s="179"/>
      <c r="AH3" s="179"/>
      <c r="AI3" s="179"/>
      <c r="AJ3" s="179"/>
      <c r="AK3" s="179"/>
      <c r="AL3" s="179"/>
      <c r="AM3" s="179"/>
      <c r="AN3" s="179"/>
      <c r="AO3" s="178"/>
      <c r="AP3" s="178"/>
      <c r="AQ3" s="179" t="s">
        <v>62</v>
      </c>
      <c r="AR3" s="179"/>
      <c r="AS3" s="179"/>
      <c r="AT3" s="179"/>
      <c r="AU3" s="179"/>
      <c r="AV3" s="179"/>
      <c r="AW3" s="179"/>
      <c r="AX3" s="179"/>
      <c r="AY3" s="179"/>
      <c r="AZ3" s="179"/>
      <c r="BA3" s="179"/>
      <c r="BB3" s="179"/>
      <c r="BE3" s="187">
        <v>1</v>
      </c>
      <c r="BF3" s="317" t="s">
        <v>594</v>
      </c>
      <c r="BG3" s="317"/>
      <c r="BH3" s="317" t="s">
        <v>656</v>
      </c>
      <c r="BI3" s="317"/>
      <c r="BJ3" s="317"/>
      <c r="BK3" s="318"/>
      <c r="BL3" s="215" t="s">
        <v>724</v>
      </c>
      <c r="BM3" s="209" t="s">
        <v>724</v>
      </c>
      <c r="BN3" s="209" t="s">
        <v>724</v>
      </c>
      <c r="BO3" s="209"/>
      <c r="BP3" s="209"/>
      <c r="BQ3" s="210"/>
      <c r="BR3" s="319"/>
      <c r="BS3" s="317"/>
      <c r="BT3" s="317"/>
      <c r="BU3" s="320"/>
      <c r="BW3" s="285" t="b">
        <v>0</v>
      </c>
      <c r="BX3" s="178" t="s">
        <v>97</v>
      </c>
      <c r="BY3" s="178"/>
      <c r="BZ3" s="178"/>
      <c r="CA3" s="178"/>
      <c r="CB3" s="178"/>
      <c r="CC3" s="178"/>
      <c r="CD3" s="178"/>
      <c r="CE3" s="178"/>
      <c r="CF3" s="178"/>
      <c r="CG3" s="178"/>
      <c r="CH3" s="178"/>
      <c r="CL3" s="264" t="s">
        <v>914</v>
      </c>
      <c r="CM3" s="265">
        <v>46113</v>
      </c>
      <c r="CN3" s="264">
        <v>5</v>
      </c>
      <c r="CO3" s="264">
        <v>150</v>
      </c>
      <c r="CP3" s="264">
        <v>16</v>
      </c>
      <c r="CQ3" s="264">
        <v>166</v>
      </c>
    </row>
    <row r="4" spans="1:95" ht="22.5" customHeight="1">
      <c r="B4" s="335" t="s">
        <v>32</v>
      </c>
      <c r="C4" s="336"/>
      <c r="D4" s="336"/>
      <c r="E4" s="336"/>
      <c r="F4" s="337"/>
      <c r="G4" s="321">
        <f ca="1">IFERROR(INDEX(INDIRECT("'"&amp;G$3&amp;"'!J:J"),MATCH($D$1,INDIRECT("'"&amp;G$3&amp;"'!A:A"),0)),"")</f>
        <v>20</v>
      </c>
      <c r="H4" s="321"/>
      <c r="I4" s="321"/>
      <c r="J4" s="321">
        <v>20</v>
      </c>
      <c r="K4" s="321"/>
      <c r="L4" s="321"/>
      <c r="M4" s="321">
        <v>20</v>
      </c>
      <c r="N4" s="321"/>
      <c r="O4" s="321"/>
      <c r="P4" s="321" t="str">
        <f ca="1">IFERROR(INDEX(INDIRECT("'"&amp;P$3&amp;"'!J:J"),MATCH($D$1,INDIRECT("'"&amp;P$3&amp;"'!A:A"),0)),"")</f>
        <v/>
      </c>
      <c r="Q4" s="321"/>
      <c r="R4" s="321"/>
      <c r="S4" s="321" t="str">
        <f ca="1">IFERROR(INDEX(INDIRECT("'"&amp;S$3&amp;"'!J:J"),MATCH($D$1,INDIRECT("'"&amp;S$3&amp;"'!A:A"),0)),"")</f>
        <v/>
      </c>
      <c r="T4" s="321"/>
      <c r="U4" s="321"/>
      <c r="V4" s="321" t="str">
        <f t="shared" ref="V4" ca="1" si="0">IFERROR(INDEX(INDIRECT("'"&amp;V$3&amp;"'!J:J"),MATCH($D$1,INDIRECT("'"&amp;V$3&amp;"'!A:A"),0)),"")</f>
        <v/>
      </c>
      <c r="W4" s="321"/>
      <c r="X4" s="321"/>
      <c r="Y4" s="321" t="str">
        <f t="shared" ref="Y4" ca="1" si="1">IFERROR(INDEX(INDIRECT("'"&amp;Y$3&amp;"'!J:J"),MATCH($D$1,INDIRECT("'"&amp;Y$3&amp;"'!A:A"),0)),"")</f>
        <v/>
      </c>
      <c r="Z4" s="321"/>
      <c r="AA4" s="321"/>
      <c r="AC4" s="322" t="s">
        <v>254</v>
      </c>
      <c r="AD4" s="322"/>
      <c r="AE4" s="322" t="s">
        <v>27</v>
      </c>
      <c r="AF4" s="322"/>
      <c r="AG4" s="322" t="s">
        <v>226</v>
      </c>
      <c r="AH4" s="322"/>
      <c r="AI4" s="322" t="s">
        <v>15</v>
      </c>
      <c r="AJ4" s="322"/>
      <c r="AK4" s="322" t="s">
        <v>23</v>
      </c>
      <c r="AL4" s="322"/>
      <c r="AM4" s="322" t="s">
        <v>256</v>
      </c>
      <c r="AN4" s="322"/>
      <c r="AQ4" s="322" t="s">
        <v>254</v>
      </c>
      <c r="AR4" s="322"/>
      <c r="AS4" s="322" t="s">
        <v>27</v>
      </c>
      <c r="AT4" s="322"/>
      <c r="AU4" s="322" t="s">
        <v>226</v>
      </c>
      <c r="AV4" s="322"/>
      <c r="AW4" s="322" t="s">
        <v>15</v>
      </c>
      <c r="AX4" s="322"/>
      <c r="AY4" s="322" t="s">
        <v>23</v>
      </c>
      <c r="AZ4" s="322"/>
      <c r="BA4" s="322" t="s">
        <v>256</v>
      </c>
      <c r="BB4" s="322"/>
      <c r="BE4" s="187">
        <v>2</v>
      </c>
      <c r="BF4" s="317" t="s">
        <v>596</v>
      </c>
      <c r="BG4" s="317"/>
      <c r="BH4" s="317" t="s">
        <v>657</v>
      </c>
      <c r="BI4" s="317"/>
      <c r="BJ4" s="317"/>
      <c r="BK4" s="318"/>
      <c r="BL4" s="215" t="s">
        <v>724</v>
      </c>
      <c r="BM4" s="209"/>
      <c r="BN4" s="209"/>
      <c r="BO4" s="209"/>
      <c r="BP4" s="209"/>
      <c r="BQ4" s="210"/>
      <c r="BR4" s="319"/>
      <c r="BS4" s="317"/>
      <c r="BT4" s="317"/>
      <c r="BU4" s="320"/>
      <c r="BW4" s="285" t="b">
        <v>0</v>
      </c>
      <c r="BX4" s="192" t="s">
        <v>69</v>
      </c>
      <c r="BY4" s="178"/>
      <c r="BZ4" s="178"/>
      <c r="CA4" s="178"/>
      <c r="CB4" s="178"/>
      <c r="CC4" s="178"/>
      <c r="CD4" s="178"/>
      <c r="CE4" s="178"/>
      <c r="CF4" s="178"/>
      <c r="CG4" s="178"/>
      <c r="CH4" s="178"/>
      <c r="CL4" s="264" t="s">
        <v>914</v>
      </c>
      <c r="CM4" s="265">
        <v>46113</v>
      </c>
      <c r="CN4" s="264">
        <v>4</v>
      </c>
      <c r="CO4" s="264">
        <v>300</v>
      </c>
      <c r="CP4" s="264">
        <v>7</v>
      </c>
      <c r="CQ4" s="264">
        <v>307</v>
      </c>
    </row>
    <row r="5" spans="1:95" ht="22.5" customHeight="1">
      <c r="B5" s="331" t="s">
        <v>225</v>
      </c>
      <c r="C5" s="332"/>
      <c r="D5" s="332"/>
      <c r="E5" s="332"/>
      <c r="F5" s="333"/>
      <c r="G5" s="334">
        <f ca="1">IFERROR(INDEX(INDIRECT("'"&amp;G$3&amp;"'!Ｉ:Ｉ"),MATCH($D$1,INDIRECT("'"&amp;G$3&amp;"'!A:A"),0)),"")</f>
        <v>619</v>
      </c>
      <c r="H5" s="334"/>
      <c r="I5" s="334"/>
      <c r="J5" s="334">
        <v>600</v>
      </c>
      <c r="K5" s="334"/>
      <c r="L5" s="334"/>
      <c r="M5" s="334">
        <v>577</v>
      </c>
      <c r="N5" s="334"/>
      <c r="O5" s="334"/>
      <c r="P5" s="334" t="str">
        <f ca="1">IFERROR(INDEX(INDIRECT("'"&amp;P$3&amp;"'!Ｉ:Ｉ"),MATCH($D$1,INDIRECT("'"&amp;P$3&amp;"'!A:A"),0)),"")</f>
        <v/>
      </c>
      <c r="Q5" s="334"/>
      <c r="R5" s="334"/>
      <c r="S5" s="334" t="str">
        <f ca="1">IFERROR(INDEX(INDIRECT("'"&amp;S$3&amp;"'!Ｉ:Ｉ"),MATCH($D$1,INDIRECT("'"&amp;S$3&amp;"'!A:A"),0)),"")</f>
        <v/>
      </c>
      <c r="T5" s="334"/>
      <c r="U5" s="334"/>
      <c r="V5" s="334" t="str">
        <f t="shared" ref="V5" ca="1" si="2">IFERROR(INDEX(INDIRECT("'"&amp;V$3&amp;"'!Ｉ:Ｉ"),MATCH($D$1,INDIRECT("'"&amp;V$3&amp;"'!A:A"),0)),"")</f>
        <v/>
      </c>
      <c r="W5" s="334"/>
      <c r="X5" s="334"/>
      <c r="Y5" s="334" t="str">
        <f t="shared" ref="Y5" ca="1" si="3">IFERROR(INDEX(INDIRECT("'"&amp;Y$3&amp;"'!Ｉ:Ｉ"),MATCH($D$1,INDIRECT("'"&amp;Y$3&amp;"'!A:A"),0)),"")</f>
        <v/>
      </c>
      <c r="Z5" s="334"/>
      <c r="AA5" s="334"/>
      <c r="AC5" s="330">
        <v>2</v>
      </c>
      <c r="AD5" s="330"/>
      <c r="AE5" s="330">
        <v>2</v>
      </c>
      <c r="AF5" s="330"/>
      <c r="AG5" s="330">
        <v>2</v>
      </c>
      <c r="AH5" s="330"/>
      <c r="AI5" s="330">
        <v>2</v>
      </c>
      <c r="AJ5" s="330"/>
      <c r="AK5" s="330"/>
      <c r="AL5" s="330"/>
      <c r="AM5" s="330"/>
      <c r="AN5" s="330"/>
      <c r="AQ5" s="330">
        <v>1</v>
      </c>
      <c r="AR5" s="330"/>
      <c r="AS5" s="330">
        <v>2</v>
      </c>
      <c r="AT5" s="330"/>
      <c r="AU5" s="330">
        <v>2</v>
      </c>
      <c r="AV5" s="330"/>
      <c r="AW5" s="330">
        <v>3</v>
      </c>
      <c r="AX5" s="330"/>
      <c r="AY5" s="330"/>
      <c r="AZ5" s="330"/>
      <c r="BA5" s="330"/>
      <c r="BB5" s="330"/>
      <c r="BE5" s="187">
        <v>3</v>
      </c>
      <c r="BF5" s="317" t="s">
        <v>594</v>
      </c>
      <c r="BG5" s="317"/>
      <c r="BH5" s="317" t="s">
        <v>658</v>
      </c>
      <c r="BI5" s="317"/>
      <c r="BJ5" s="317"/>
      <c r="BK5" s="318"/>
      <c r="BL5" s="215" t="s">
        <v>724</v>
      </c>
      <c r="BM5" s="209" t="s">
        <v>724</v>
      </c>
      <c r="BN5" s="209" t="s">
        <v>724</v>
      </c>
      <c r="BO5" s="209"/>
      <c r="BP5" s="209"/>
      <c r="BQ5" s="210"/>
      <c r="BR5" s="319"/>
      <c r="BS5" s="317"/>
      <c r="BT5" s="317"/>
      <c r="BU5" s="320"/>
      <c r="BW5" s="285" t="b">
        <v>0</v>
      </c>
      <c r="BX5" s="192" t="s">
        <v>70</v>
      </c>
      <c r="BY5" s="178"/>
      <c r="BZ5" s="178"/>
      <c r="CA5" s="178"/>
      <c r="CB5" s="178"/>
      <c r="CC5" s="193"/>
      <c r="CD5" s="193"/>
      <c r="CE5" s="193"/>
      <c r="CF5" s="178"/>
      <c r="CG5" s="178"/>
      <c r="CH5" s="178"/>
      <c r="CL5" s="264" t="s">
        <v>914</v>
      </c>
      <c r="CM5" s="265">
        <v>46113</v>
      </c>
      <c r="CN5" s="264">
        <v>3</v>
      </c>
      <c r="CO5" s="264">
        <v>150</v>
      </c>
      <c r="CP5" s="264">
        <v>0</v>
      </c>
      <c r="CQ5" s="264">
        <v>150</v>
      </c>
    </row>
    <row r="6" spans="1:95" ht="22.5" customHeight="1">
      <c r="B6" s="338" t="s">
        <v>33</v>
      </c>
      <c r="C6" s="339"/>
      <c r="D6" s="339"/>
      <c r="E6" s="339"/>
      <c r="F6" s="340"/>
      <c r="G6" s="341">
        <f ca="1">IFERROR(G5/(G1*DAY(EOMONTH(DATE(2024,LEFT(G3,LEN(G3)-1),1),0))),"")</f>
        <v>0.99838709677419357</v>
      </c>
      <c r="H6" s="341"/>
      <c r="I6" s="341"/>
      <c r="J6" s="341">
        <f>J5/600</f>
        <v>1</v>
      </c>
      <c r="K6" s="341"/>
      <c r="L6" s="341"/>
      <c r="M6" s="341">
        <f>M5/620</f>
        <v>0.9306451612903226</v>
      </c>
      <c r="N6" s="341"/>
      <c r="O6" s="341"/>
      <c r="P6" s="341" t="str">
        <f ca="1">IFERROR(P5/(P1*DAY(EOMONTH(DATE(2024,LEFT(P3,LEN(P3)-1),1),0))),"")</f>
        <v/>
      </c>
      <c r="Q6" s="341"/>
      <c r="R6" s="341"/>
      <c r="S6" s="341" t="str">
        <f ca="1">IFERROR(S5/(S1*DAY(EOMONTH(DATE(2024,LEFT(S3,LEN(S3)-1),1),0))),"")</f>
        <v/>
      </c>
      <c r="T6" s="341"/>
      <c r="U6" s="341"/>
      <c r="V6" s="341" t="str">
        <f t="shared" ref="V6" ca="1" si="4">IFERROR(V5/(V1*DAY(EOMONTH(DATE(2024,LEFT(V3,LEN(V3)-1),1),0))),"")</f>
        <v/>
      </c>
      <c r="W6" s="341"/>
      <c r="X6" s="341"/>
      <c r="Y6" s="341" t="str">
        <f t="shared" ref="Y6" ca="1" si="5">IFERROR(Y5/(Y1*DAY(EOMONTH(DATE(2024,LEFT(Y3,LEN(Y3)-1),1),0))),"")</f>
        <v/>
      </c>
      <c r="Z6" s="341"/>
      <c r="AA6" s="341"/>
      <c r="AC6" s="179" t="s">
        <v>60</v>
      </c>
      <c r="AD6" s="179"/>
      <c r="AE6" s="179"/>
      <c r="AF6" s="179"/>
      <c r="AG6" s="179"/>
      <c r="AH6" s="179"/>
      <c r="AI6" s="179"/>
      <c r="AJ6" s="179"/>
      <c r="AK6" s="179"/>
      <c r="AL6" s="179"/>
      <c r="AM6" s="179"/>
      <c r="AN6" s="179"/>
      <c r="AO6" s="178"/>
      <c r="AP6" s="178"/>
      <c r="AQ6" s="179" t="s">
        <v>109</v>
      </c>
      <c r="AR6" s="179"/>
      <c r="AS6" s="179"/>
      <c r="AT6" s="179"/>
      <c r="AU6" s="179"/>
      <c r="AV6" s="179"/>
      <c r="AW6" s="179"/>
      <c r="AX6" s="179"/>
      <c r="AY6" s="179"/>
      <c r="AZ6" s="179"/>
      <c r="BA6" s="179"/>
      <c r="BB6" s="179"/>
      <c r="BE6" s="187">
        <v>4</v>
      </c>
      <c r="BF6" s="317" t="s">
        <v>594</v>
      </c>
      <c r="BG6" s="317"/>
      <c r="BH6" s="317" t="s">
        <v>659</v>
      </c>
      <c r="BI6" s="317"/>
      <c r="BJ6" s="317"/>
      <c r="BK6" s="318"/>
      <c r="BL6" s="215" t="s">
        <v>724</v>
      </c>
      <c r="BM6" s="209"/>
      <c r="BN6" s="209"/>
      <c r="BO6" s="209"/>
      <c r="BP6" s="209"/>
      <c r="BQ6" s="210"/>
      <c r="BR6" s="319"/>
      <c r="BS6" s="317"/>
      <c r="BT6" s="317"/>
      <c r="BU6" s="320"/>
      <c r="BW6" s="285" t="b">
        <v>0</v>
      </c>
      <c r="BX6" s="192" t="s">
        <v>71</v>
      </c>
      <c r="BY6" s="178"/>
      <c r="BZ6" s="178"/>
      <c r="CA6" s="178"/>
      <c r="CB6" s="178"/>
      <c r="CC6" s="193"/>
      <c r="CD6" s="193"/>
      <c r="CE6" s="193"/>
      <c r="CF6" s="178"/>
      <c r="CG6" s="178"/>
      <c r="CH6" s="178"/>
      <c r="CL6" s="264" t="s">
        <v>914</v>
      </c>
      <c r="CM6" s="265">
        <v>46113</v>
      </c>
      <c r="CN6" s="264">
        <v>2</v>
      </c>
      <c r="CO6" s="264">
        <v>0</v>
      </c>
      <c r="CP6" s="264">
        <v>4</v>
      </c>
      <c r="CQ6" s="264">
        <v>4</v>
      </c>
    </row>
    <row r="7" spans="1:95" ht="22.5" customHeight="1">
      <c r="B7" s="335" t="s">
        <v>224</v>
      </c>
      <c r="C7" s="336"/>
      <c r="D7" s="336"/>
      <c r="E7" s="336"/>
      <c r="F7" s="337"/>
      <c r="G7" s="321">
        <f ca="1">IFERROR(INDEX(INDIRECT("'"&amp;G$3&amp;"'!L:L"),MATCH($D$1,INDIRECT("'"&amp;G$3&amp;"'!A:A"),0)),"")</f>
        <v>27</v>
      </c>
      <c r="H7" s="321"/>
      <c r="I7" s="321"/>
      <c r="J7" s="321">
        <v>27</v>
      </c>
      <c r="K7" s="321"/>
      <c r="L7" s="321"/>
      <c r="M7" s="321">
        <v>24</v>
      </c>
      <c r="N7" s="321"/>
      <c r="O7" s="321"/>
      <c r="P7" s="321" t="str">
        <f ca="1">IFERROR(INDEX(INDIRECT("'"&amp;P$3&amp;"'!L:L"),MATCH($D$1,INDIRECT("'"&amp;P$3&amp;"'!A:A"),0)),"")</f>
        <v/>
      </c>
      <c r="Q7" s="321"/>
      <c r="R7" s="321"/>
      <c r="S7" s="321" t="str">
        <f ca="1">IFERROR(INDEX(INDIRECT("'"&amp;S$3&amp;"'!L:L"),MATCH($D$1,INDIRECT("'"&amp;S$3&amp;"'!A:A"),0)),"")</f>
        <v/>
      </c>
      <c r="T7" s="321"/>
      <c r="U7" s="321"/>
      <c r="V7" s="321" t="str">
        <f t="shared" ref="V7" ca="1" si="6">IFERROR(INDEX(INDIRECT("'"&amp;V$3&amp;"'!L:L"),MATCH($D$1,INDIRECT("'"&amp;V$3&amp;"'!A:A"),0)),"")</f>
        <v/>
      </c>
      <c r="W7" s="321"/>
      <c r="X7" s="321"/>
      <c r="Y7" s="321" t="str">
        <f t="shared" ref="Y7" ca="1" si="7">IFERROR(INDEX(INDIRECT("'"&amp;Y$3&amp;"'!L:L"),MATCH($D$1,INDIRECT("'"&amp;Y$3&amp;"'!A:A"),0)),"")</f>
        <v/>
      </c>
      <c r="Z7" s="321"/>
      <c r="AA7" s="321"/>
      <c r="AC7" s="322" t="s">
        <v>254</v>
      </c>
      <c r="AD7" s="322"/>
      <c r="AE7" s="322" t="s">
        <v>27</v>
      </c>
      <c r="AF7" s="322"/>
      <c r="AG7" s="322" t="s">
        <v>226</v>
      </c>
      <c r="AH7" s="322"/>
      <c r="AI7" s="322" t="s">
        <v>15</v>
      </c>
      <c r="AJ7" s="322"/>
      <c r="AK7" s="322" t="s">
        <v>23</v>
      </c>
      <c r="AL7" s="322"/>
      <c r="AM7" s="322" t="s">
        <v>256</v>
      </c>
      <c r="AN7" s="322"/>
      <c r="AQ7" s="322" t="s">
        <v>254</v>
      </c>
      <c r="AR7" s="322"/>
      <c r="AS7" s="322" t="s">
        <v>27</v>
      </c>
      <c r="AT7" s="322"/>
      <c r="AU7" s="322" t="s">
        <v>226</v>
      </c>
      <c r="AV7" s="322"/>
      <c r="AW7" s="322" t="s">
        <v>15</v>
      </c>
      <c r="AX7" s="322"/>
      <c r="AY7" s="322" t="s">
        <v>23</v>
      </c>
      <c r="AZ7" s="322"/>
      <c r="BA7" s="322" t="s">
        <v>256</v>
      </c>
      <c r="BB7" s="322"/>
      <c r="BE7" s="187">
        <v>5</v>
      </c>
      <c r="BF7" s="317" t="s">
        <v>596</v>
      </c>
      <c r="BG7" s="317"/>
      <c r="BH7" s="317" t="s">
        <v>660</v>
      </c>
      <c r="BI7" s="317"/>
      <c r="BJ7" s="317"/>
      <c r="BK7" s="318"/>
      <c r="BL7" s="215"/>
      <c r="BM7" s="209"/>
      <c r="BN7" s="209"/>
      <c r="BO7" s="209"/>
      <c r="BP7" s="209"/>
      <c r="BQ7" s="210"/>
      <c r="BR7" s="319"/>
      <c r="BS7" s="317"/>
      <c r="BT7" s="317"/>
      <c r="BU7" s="320"/>
      <c r="BW7" s="285" t="b">
        <v>0</v>
      </c>
      <c r="BX7" s="192" t="s">
        <v>74</v>
      </c>
      <c r="BY7" s="178"/>
      <c r="BZ7" s="178"/>
      <c r="CA7" s="178"/>
      <c r="CB7" s="178"/>
      <c r="CC7" s="193"/>
      <c r="CD7" s="193"/>
      <c r="CE7" s="193"/>
      <c r="CF7" s="178"/>
      <c r="CG7" s="178"/>
      <c r="CH7" s="178"/>
      <c r="CL7" s="264" t="s">
        <v>914</v>
      </c>
      <c r="CM7" s="265">
        <v>46113</v>
      </c>
      <c r="CN7" s="264">
        <v>1</v>
      </c>
      <c r="CO7" s="264">
        <v>0</v>
      </c>
      <c r="CP7" s="264">
        <v>0</v>
      </c>
      <c r="CQ7" s="264">
        <v>0</v>
      </c>
    </row>
    <row r="8" spans="1:95" ht="22.5" customHeight="1">
      <c r="B8" s="338" t="s">
        <v>34</v>
      </c>
      <c r="C8" s="339"/>
      <c r="D8" s="339"/>
      <c r="E8" s="339"/>
      <c r="F8" s="340"/>
      <c r="G8" s="341">
        <f ca="1">IFERROR(G7/(G1*DAY(EOMONTH(DATE(2024,LEFT(G3,LEN(G3)-1),1),0))),"")</f>
        <v>4.3548387096774194E-2</v>
      </c>
      <c r="H8" s="341"/>
      <c r="I8" s="341"/>
      <c r="J8" s="341">
        <f>J7/K2</f>
        <v>0.9</v>
      </c>
      <c r="K8" s="341"/>
      <c r="L8" s="341"/>
      <c r="M8" s="341">
        <f>M7/N2</f>
        <v>0.77419354838709675</v>
      </c>
      <c r="N8" s="341"/>
      <c r="O8" s="341"/>
      <c r="P8" s="341" t="str">
        <f ca="1">IFERROR(P7/(P1*DAY(EOMONTH(DATE(2024,LEFT(P3,LEN(P3)-1),1),0))),"")</f>
        <v/>
      </c>
      <c r="Q8" s="341"/>
      <c r="R8" s="341"/>
      <c r="S8" s="341" t="str">
        <f ca="1">IFERROR(S7/(S1*DAY(EOMONTH(DATE(2024,LEFT(S3,LEN(S3)-1),1),0))),"")</f>
        <v/>
      </c>
      <c r="T8" s="341"/>
      <c r="U8" s="341"/>
      <c r="V8" s="341" t="str">
        <f t="shared" ref="V8" ca="1" si="8">IFERROR(V7/(V1*DAY(EOMONTH(DATE(2024,LEFT(V3,LEN(V3)-1),1),0))),"")</f>
        <v/>
      </c>
      <c r="W8" s="341"/>
      <c r="X8" s="341"/>
      <c r="Y8" s="341" t="str">
        <f t="shared" ref="Y8" ca="1" si="9">IFERROR(Y7/(Y1*DAY(EOMONTH(DATE(2024,LEFT(Y3,LEN(Y3)-1),1),0))),"")</f>
        <v/>
      </c>
      <c r="Z8" s="341"/>
      <c r="AA8" s="341"/>
      <c r="AC8" s="330">
        <v>2</v>
      </c>
      <c r="AD8" s="330"/>
      <c r="AE8" s="330">
        <v>1</v>
      </c>
      <c r="AF8" s="330"/>
      <c r="AG8" s="330">
        <v>0</v>
      </c>
      <c r="AH8" s="330"/>
      <c r="AI8" s="330"/>
      <c r="AJ8" s="330"/>
      <c r="AK8" s="330"/>
      <c r="AL8" s="330"/>
      <c r="AM8" s="330"/>
      <c r="AN8" s="330"/>
      <c r="AQ8" s="330">
        <v>1</v>
      </c>
      <c r="AR8" s="330"/>
      <c r="AS8" s="330">
        <v>4</v>
      </c>
      <c r="AT8" s="330"/>
      <c r="AU8" s="330">
        <v>0</v>
      </c>
      <c r="AV8" s="330"/>
      <c r="AW8" s="330">
        <v>1</v>
      </c>
      <c r="AX8" s="330"/>
      <c r="AY8" s="330"/>
      <c r="AZ8" s="330"/>
      <c r="BA8" s="330"/>
      <c r="BB8" s="330"/>
      <c r="BE8" s="187">
        <v>6</v>
      </c>
      <c r="BF8" s="317" t="s">
        <v>597</v>
      </c>
      <c r="BG8" s="317"/>
      <c r="BH8" s="317" t="s">
        <v>661</v>
      </c>
      <c r="BI8" s="317"/>
      <c r="BJ8" s="317"/>
      <c r="BK8" s="318"/>
      <c r="BL8" s="215"/>
      <c r="BM8" s="209"/>
      <c r="BN8" s="209"/>
      <c r="BO8" s="209"/>
      <c r="BP8" s="209"/>
      <c r="BQ8" s="210"/>
      <c r="BR8" s="319"/>
      <c r="BS8" s="317"/>
      <c r="BT8" s="317"/>
      <c r="BU8" s="320"/>
      <c r="BW8" s="285" t="b">
        <v>0</v>
      </c>
      <c r="BX8" s="192" t="s">
        <v>72</v>
      </c>
      <c r="BY8" s="178"/>
      <c r="BZ8" s="178"/>
      <c r="CA8" s="178"/>
      <c r="CB8" s="178"/>
      <c r="CC8" s="193"/>
      <c r="CD8" s="193"/>
      <c r="CE8" s="193"/>
      <c r="CF8" s="178"/>
      <c r="CG8" s="178"/>
      <c r="CH8" s="178"/>
      <c r="CL8" s="264" t="s">
        <v>914</v>
      </c>
      <c r="CM8" s="265">
        <v>46113</v>
      </c>
      <c r="CN8" s="264" t="s">
        <v>904</v>
      </c>
      <c r="CO8" s="264">
        <v>0</v>
      </c>
      <c r="CP8" s="264">
        <v>0</v>
      </c>
      <c r="CQ8" s="264">
        <v>0</v>
      </c>
    </row>
    <row r="9" spans="1:95" ht="22.5" customHeight="1">
      <c r="B9" s="735" t="s">
        <v>175</v>
      </c>
      <c r="C9" s="736"/>
      <c r="D9" s="736"/>
      <c r="E9" s="736"/>
      <c r="F9" s="737"/>
      <c r="G9" s="321">
        <f ca="1">IFERROR(INDEX(INDIRECT("'"&amp;G$3&amp;"'!O:O"),MATCH($D$1,INDIRECT("'"&amp;G$3&amp;"'!A:A"),0)),"")</f>
        <v>614</v>
      </c>
      <c r="H9" s="321"/>
      <c r="I9" s="321"/>
      <c r="J9" s="321">
        <v>585</v>
      </c>
      <c r="K9" s="321"/>
      <c r="L9" s="321"/>
      <c r="M9" s="321">
        <v>558</v>
      </c>
      <c r="N9" s="321"/>
      <c r="O9" s="321"/>
      <c r="P9" s="321" t="str">
        <f ca="1">IFERROR(INDEX(INDIRECT("'"&amp;P$3&amp;"'!O:O"),MATCH($D$1,INDIRECT("'"&amp;P$3&amp;"'!A:A"),0)),"")</f>
        <v/>
      </c>
      <c r="Q9" s="321"/>
      <c r="R9" s="321"/>
      <c r="S9" s="321" t="str">
        <f ca="1">IFERROR(INDEX(INDIRECT("'"&amp;S$3&amp;"'!O:O"),MATCH($D$1,INDIRECT("'"&amp;S$3&amp;"'!A:A"),0)),"")</f>
        <v/>
      </c>
      <c r="T9" s="321"/>
      <c r="U9" s="321"/>
      <c r="V9" s="321" t="str">
        <f t="shared" ref="V9" ca="1" si="10">IFERROR(INDEX(INDIRECT("'"&amp;V$3&amp;"'!O:O"),MATCH($D$1,INDIRECT("'"&amp;V$3&amp;"'!A:A"),0)),"")</f>
        <v/>
      </c>
      <c r="W9" s="321"/>
      <c r="X9" s="321"/>
      <c r="Y9" s="321" t="str">
        <f t="shared" ref="Y9" ca="1" si="11">IFERROR(INDEX(INDIRECT("'"&amp;Y$3&amp;"'!O:O"),MATCH($D$1,INDIRECT("'"&amp;Y$3&amp;"'!A:A"),0)),"")</f>
        <v/>
      </c>
      <c r="Z9" s="321"/>
      <c r="AA9" s="321"/>
      <c r="AC9" s="179" t="s">
        <v>250</v>
      </c>
      <c r="AD9" s="179"/>
      <c r="AE9" s="179"/>
      <c r="AF9" s="179"/>
      <c r="AG9" s="179"/>
      <c r="AH9" s="179"/>
      <c r="AI9" s="179"/>
      <c r="AJ9" s="179"/>
      <c r="AK9" s="179"/>
      <c r="AL9" s="179"/>
      <c r="AM9" s="179"/>
      <c r="AN9" s="179"/>
      <c r="AO9" s="179"/>
      <c r="AP9" s="179"/>
      <c r="AQ9" s="180"/>
      <c r="AR9" s="179"/>
      <c r="AS9" s="179"/>
      <c r="AT9" s="179"/>
      <c r="AU9" s="179"/>
      <c r="AV9" s="179"/>
      <c r="AW9" s="179"/>
      <c r="AX9" s="179"/>
      <c r="AY9" s="179"/>
      <c r="AZ9" s="179"/>
      <c r="BA9" s="179"/>
      <c r="BB9" s="179"/>
      <c r="BE9" s="187">
        <v>7</v>
      </c>
      <c r="BF9" s="317" t="s">
        <v>597</v>
      </c>
      <c r="BG9" s="317"/>
      <c r="BH9" s="317" t="s">
        <v>662</v>
      </c>
      <c r="BI9" s="317"/>
      <c r="BJ9" s="317"/>
      <c r="BK9" s="318"/>
      <c r="BL9" s="215"/>
      <c r="BM9" s="209"/>
      <c r="BN9" s="209"/>
      <c r="BO9" s="209"/>
      <c r="BP9" s="209"/>
      <c r="BQ9" s="210"/>
      <c r="BR9" s="319"/>
      <c r="BS9" s="317"/>
      <c r="BT9" s="317"/>
      <c r="BU9" s="320"/>
      <c r="BW9" s="285" t="b">
        <v>0</v>
      </c>
      <c r="BX9" s="192" t="s">
        <v>73</v>
      </c>
      <c r="BY9" s="178"/>
      <c r="BZ9" s="178"/>
      <c r="CA9" s="178"/>
      <c r="CB9" s="178"/>
      <c r="CC9" s="193"/>
      <c r="CD9" s="193"/>
      <c r="CE9" s="193"/>
      <c r="CF9" s="178"/>
      <c r="CG9" s="178"/>
      <c r="CH9" s="178"/>
      <c r="CJ9" s="164"/>
    </row>
    <row r="10" spans="1:95" ht="22.5" customHeight="1">
      <c r="B10" s="338" t="s">
        <v>35</v>
      </c>
      <c r="C10" s="339"/>
      <c r="D10" s="339"/>
      <c r="E10" s="339"/>
      <c r="F10" s="340"/>
      <c r="G10" s="341">
        <f ca="1">IFERROR(G9/G5,"")</f>
        <v>0.99192245557350567</v>
      </c>
      <c r="H10" s="341"/>
      <c r="I10" s="341"/>
      <c r="J10" s="341">
        <f>IFERROR(J9/J5,"")</f>
        <v>0.97499999999999998</v>
      </c>
      <c r="K10" s="341"/>
      <c r="L10" s="341"/>
      <c r="M10" s="341">
        <f>IFERROR(M9/M5,"")</f>
        <v>0.96707105719237429</v>
      </c>
      <c r="N10" s="341"/>
      <c r="O10" s="341"/>
      <c r="P10" s="341" t="str">
        <f ca="1">IFERROR(P9/P5,"")</f>
        <v/>
      </c>
      <c r="Q10" s="341"/>
      <c r="R10" s="341"/>
      <c r="S10" s="341" t="str">
        <f ca="1">IFERROR(S9/S5,"")</f>
        <v/>
      </c>
      <c r="T10" s="341"/>
      <c r="U10" s="341"/>
      <c r="V10" s="341" t="str">
        <f t="shared" ref="V10" ca="1" si="12">IFERROR(V9/V5,"")</f>
        <v/>
      </c>
      <c r="W10" s="341"/>
      <c r="X10" s="341"/>
      <c r="Y10" s="341" t="str">
        <f t="shared" ref="Y10" ca="1" si="13">IFERROR(Y9/Y5,"")</f>
        <v/>
      </c>
      <c r="Z10" s="341"/>
      <c r="AA10" s="341"/>
      <c r="AC10" s="342" t="s">
        <v>249</v>
      </c>
      <c r="AD10" s="343"/>
      <c r="AE10" s="343"/>
      <c r="AF10" s="343"/>
      <c r="AG10" s="343"/>
      <c r="AH10" s="343"/>
      <c r="AI10" s="343"/>
      <c r="AJ10" s="344"/>
      <c r="AK10" s="342" t="s">
        <v>63</v>
      </c>
      <c r="AL10" s="343"/>
      <c r="AM10" s="345"/>
      <c r="AN10" s="346" t="s">
        <v>111</v>
      </c>
      <c r="AO10" s="343"/>
      <c r="AP10" s="343"/>
      <c r="AQ10" s="343"/>
      <c r="AR10" s="343"/>
      <c r="AS10" s="343"/>
      <c r="AT10" s="343"/>
      <c r="AU10" s="343"/>
      <c r="AV10" s="343"/>
      <c r="AW10" s="343"/>
      <c r="AX10" s="343"/>
      <c r="AY10" s="343"/>
      <c r="AZ10" s="343"/>
      <c r="BA10" s="343"/>
      <c r="BB10" s="345"/>
      <c r="BE10" s="187">
        <v>8</v>
      </c>
      <c r="BF10" s="317" t="s">
        <v>596</v>
      </c>
      <c r="BG10" s="317"/>
      <c r="BH10" s="317" t="s">
        <v>663</v>
      </c>
      <c r="BI10" s="317"/>
      <c r="BJ10" s="317"/>
      <c r="BK10" s="318"/>
      <c r="BL10" s="215"/>
      <c r="BM10" s="209"/>
      <c r="BN10" s="209"/>
      <c r="BO10" s="209"/>
      <c r="BP10" s="209"/>
      <c r="BQ10" s="210"/>
      <c r="BR10" s="319"/>
      <c r="BS10" s="317"/>
      <c r="BT10" s="317"/>
      <c r="BU10" s="320"/>
      <c r="BW10" s="285" t="b">
        <v>0</v>
      </c>
      <c r="BX10" s="192" t="s">
        <v>76</v>
      </c>
      <c r="BY10" s="178"/>
      <c r="BZ10" s="178"/>
      <c r="CA10" s="178"/>
      <c r="CB10" s="178"/>
      <c r="CC10" s="193"/>
      <c r="CD10" s="193"/>
      <c r="CE10" s="193"/>
      <c r="CF10" s="178"/>
      <c r="CG10" s="178"/>
      <c r="CH10" s="178"/>
    </row>
    <row r="11" spans="1:95" ht="22.5" customHeight="1">
      <c r="B11" s="335" t="s">
        <v>179</v>
      </c>
      <c r="C11" s="336"/>
      <c r="D11" s="336"/>
      <c r="E11" s="336"/>
      <c r="F11" s="337"/>
      <c r="G11" s="321">
        <f ca="1">IFERROR(INDEX(INDIRECT("'"&amp;G$3&amp;"'!R:R"),MATCH($D$1,INDIRECT("'"&amp;G$3&amp;"'!A:A"),0)),"")</f>
        <v>198</v>
      </c>
      <c r="H11" s="321"/>
      <c r="I11" s="321"/>
      <c r="J11" s="321">
        <v>192</v>
      </c>
      <c r="K11" s="321"/>
      <c r="L11" s="321"/>
      <c r="M11" s="321">
        <v>194</v>
      </c>
      <c r="N11" s="321"/>
      <c r="O11" s="321"/>
      <c r="P11" s="321" t="str">
        <f ca="1">IFERROR(INDEX(INDIRECT("'"&amp;P$3&amp;"'!R:R"),MATCH($D$1,INDIRECT("'"&amp;P$3&amp;"'!A:A"),0)),"")</f>
        <v/>
      </c>
      <c r="Q11" s="321"/>
      <c r="R11" s="321"/>
      <c r="S11" s="321" t="str">
        <f ca="1">IFERROR(INDEX(INDIRECT("'"&amp;S$3&amp;"'!R:R"),MATCH($D$1,INDIRECT("'"&amp;S$3&amp;"'!A:A"),0)),"")</f>
        <v/>
      </c>
      <c r="T11" s="321"/>
      <c r="U11" s="321"/>
      <c r="V11" s="321" t="str">
        <f t="shared" ref="V11" ca="1" si="14">IFERROR(INDEX(INDIRECT("'"&amp;V$3&amp;"'!R:R"),MATCH($D$1,INDIRECT("'"&amp;V$3&amp;"'!A:A"),0)),"")</f>
        <v/>
      </c>
      <c r="W11" s="321"/>
      <c r="X11" s="321"/>
      <c r="Y11" s="321" t="str">
        <f t="shared" ref="Y11" ca="1" si="15">IFERROR(INDEX(INDIRECT("'"&amp;Y$3&amp;"'!R:R"),MATCH($D$1,INDIRECT("'"&amp;Y$3&amp;"'!A:A"),0)),"")</f>
        <v/>
      </c>
      <c r="Z11" s="321"/>
      <c r="AA11" s="321"/>
      <c r="AC11" s="354"/>
      <c r="AD11" s="355"/>
      <c r="AE11" s="355"/>
      <c r="AF11" s="355"/>
      <c r="AG11" s="355"/>
      <c r="AH11" s="355"/>
      <c r="AI11" s="355"/>
      <c r="AJ11" s="356"/>
      <c r="AK11" s="357"/>
      <c r="AL11" s="358"/>
      <c r="AM11" s="203"/>
      <c r="AN11" s="359"/>
      <c r="AO11" s="355"/>
      <c r="AP11" s="355"/>
      <c r="AQ11" s="355"/>
      <c r="AR11" s="355"/>
      <c r="AS11" s="355"/>
      <c r="AT11" s="355"/>
      <c r="AU11" s="355"/>
      <c r="AV11" s="355"/>
      <c r="AW11" s="355"/>
      <c r="AX11" s="355"/>
      <c r="AY11" s="355"/>
      <c r="AZ11" s="355"/>
      <c r="BA11" s="355"/>
      <c r="BB11" s="360"/>
      <c r="BE11" s="187">
        <v>9</v>
      </c>
      <c r="BF11" s="317" t="s">
        <v>596</v>
      </c>
      <c r="BG11" s="317"/>
      <c r="BH11" s="317" t="s">
        <v>664</v>
      </c>
      <c r="BI11" s="317"/>
      <c r="BJ11" s="317"/>
      <c r="BK11" s="318"/>
      <c r="BL11" s="215"/>
      <c r="BM11" s="209"/>
      <c r="BN11" s="209"/>
      <c r="BO11" s="209"/>
      <c r="BP11" s="209"/>
      <c r="BQ11" s="210"/>
      <c r="BR11" s="319"/>
      <c r="BS11" s="317"/>
      <c r="BT11" s="317"/>
      <c r="BU11" s="320"/>
      <c r="BW11" s="285" t="b">
        <v>0</v>
      </c>
      <c r="BX11" s="192" t="s">
        <v>239</v>
      </c>
      <c r="BY11" s="178"/>
      <c r="BZ11" s="178"/>
      <c r="CA11" s="178"/>
      <c r="CB11" s="178"/>
      <c r="CC11" s="193"/>
      <c r="CD11" s="193"/>
      <c r="CE11" s="193"/>
      <c r="CF11" s="178"/>
      <c r="CG11" s="178"/>
      <c r="CH11" s="178"/>
    </row>
    <row r="12" spans="1:95" ht="22.5" customHeight="1">
      <c r="B12" s="338" t="s">
        <v>218</v>
      </c>
      <c r="C12" s="339"/>
      <c r="D12" s="339"/>
      <c r="E12" s="339"/>
      <c r="F12" s="340"/>
      <c r="G12" s="341">
        <f ca="1">IFERROR(G11/G5,"")</f>
        <v>0.31987075928917608</v>
      </c>
      <c r="H12" s="341"/>
      <c r="I12" s="341"/>
      <c r="J12" s="341">
        <f>IFERROR(J11/J5,"")</f>
        <v>0.32</v>
      </c>
      <c r="K12" s="341"/>
      <c r="L12" s="341"/>
      <c r="M12" s="341">
        <f>IFERROR(M11/M5,"")</f>
        <v>0.33622183708838821</v>
      </c>
      <c r="N12" s="341"/>
      <c r="O12" s="341"/>
      <c r="P12" s="341" t="str">
        <f ca="1">IFERROR(P11/P5,"")</f>
        <v/>
      </c>
      <c r="Q12" s="341"/>
      <c r="R12" s="341"/>
      <c r="S12" s="341" t="str">
        <f ca="1">IFERROR(S11/S5,"")</f>
        <v/>
      </c>
      <c r="T12" s="341"/>
      <c r="U12" s="341"/>
      <c r="V12" s="341" t="str">
        <f t="shared" ref="V12" ca="1" si="16">IFERROR(V11/V5,"")</f>
        <v/>
      </c>
      <c r="W12" s="341"/>
      <c r="X12" s="341"/>
      <c r="Y12" s="341" t="str">
        <f t="shared" ref="Y12" ca="1" si="17">IFERROR(Y11/Y5,"")</f>
        <v/>
      </c>
      <c r="Z12" s="341"/>
      <c r="AA12" s="341"/>
      <c r="AC12" s="347"/>
      <c r="AD12" s="348"/>
      <c r="AE12" s="348"/>
      <c r="AF12" s="348"/>
      <c r="AG12" s="348"/>
      <c r="AH12" s="348"/>
      <c r="AI12" s="348"/>
      <c r="AJ12" s="349"/>
      <c r="AK12" s="350"/>
      <c r="AL12" s="351"/>
      <c r="AM12" s="202"/>
      <c r="AN12" s="352"/>
      <c r="AO12" s="348"/>
      <c r="AP12" s="348"/>
      <c r="AQ12" s="348"/>
      <c r="AR12" s="348"/>
      <c r="AS12" s="348"/>
      <c r="AT12" s="348"/>
      <c r="AU12" s="348"/>
      <c r="AV12" s="348"/>
      <c r="AW12" s="348"/>
      <c r="AX12" s="348"/>
      <c r="AY12" s="348"/>
      <c r="AZ12" s="348"/>
      <c r="BA12" s="348"/>
      <c r="BB12" s="353"/>
      <c r="BE12" s="187">
        <v>10</v>
      </c>
      <c r="BF12" s="317" t="s">
        <v>268</v>
      </c>
      <c r="BG12" s="317"/>
      <c r="BH12" s="317" t="s">
        <v>671</v>
      </c>
      <c r="BI12" s="317"/>
      <c r="BJ12" s="317"/>
      <c r="BK12" s="318"/>
      <c r="BL12" s="215" t="s">
        <v>724</v>
      </c>
      <c r="BM12" s="209" t="s">
        <v>724</v>
      </c>
      <c r="BN12" s="209"/>
      <c r="BO12" s="209"/>
      <c r="BP12" s="209"/>
      <c r="BQ12" s="210"/>
      <c r="BR12" s="319"/>
      <c r="BS12" s="317"/>
      <c r="BT12" s="317"/>
      <c r="BU12" s="320"/>
      <c r="BW12" s="285" t="b">
        <v>0</v>
      </c>
      <c r="BX12" s="192" t="s">
        <v>77</v>
      </c>
      <c r="BY12" s="178"/>
      <c r="BZ12" s="178"/>
      <c r="CA12" s="178"/>
      <c r="CB12" s="178"/>
      <c r="CC12" s="193"/>
      <c r="CD12" s="193"/>
      <c r="CE12" s="193"/>
      <c r="CF12" s="178"/>
      <c r="CG12" s="178"/>
      <c r="CH12" s="178"/>
    </row>
    <row r="13" spans="1:95" ht="22.5" customHeight="1">
      <c r="B13" s="335" t="s">
        <v>47</v>
      </c>
      <c r="C13" s="336"/>
      <c r="D13" s="336"/>
      <c r="E13" s="336"/>
      <c r="F13" s="337"/>
      <c r="G13" s="361">
        <f ca="1">IFERROR(INDEX(INDIRECT("'"&amp;G$3&amp;"'!M:M"),MATCH($D$1,INDIRECT("'"&amp;G$3&amp;"'!A:A"),0)),"")</f>
        <v>0</v>
      </c>
      <c r="H13" s="361"/>
      <c r="I13" s="361"/>
      <c r="J13" s="361">
        <v>1</v>
      </c>
      <c r="K13" s="361"/>
      <c r="L13" s="361"/>
      <c r="M13" s="361">
        <v>0</v>
      </c>
      <c r="N13" s="361"/>
      <c r="O13" s="361"/>
      <c r="P13" s="361" t="str">
        <f ca="1">IFERROR(INDEX(INDIRECT("'"&amp;P$3&amp;"'!M:M"),MATCH($D$1,INDIRECT("'"&amp;P$3&amp;"'!A:A"),0)),"")</f>
        <v/>
      </c>
      <c r="Q13" s="361"/>
      <c r="R13" s="361"/>
      <c r="S13" s="361" t="str">
        <f ca="1">IFERROR(INDEX(INDIRECT("'"&amp;S$3&amp;"'!M:M"),MATCH($D$1,INDIRECT("'"&amp;S$3&amp;"'!A:A"),0)),"")</f>
        <v/>
      </c>
      <c r="T13" s="361"/>
      <c r="U13" s="361"/>
      <c r="V13" s="361" t="str">
        <f t="shared" ref="V13" ca="1" si="18">IFERROR(INDEX(INDIRECT("'"&amp;V$3&amp;"'!M:M"),MATCH($D$1,INDIRECT("'"&amp;V$3&amp;"'!A:A"),0)),"")</f>
        <v/>
      </c>
      <c r="W13" s="361"/>
      <c r="X13" s="361"/>
      <c r="Y13" s="361" t="str">
        <f t="shared" ref="Y13" ca="1" si="19">IFERROR(INDEX(INDIRECT("'"&amp;Y$3&amp;"'!M:M"),MATCH($D$1,INDIRECT("'"&amp;Y$3&amp;"'!A:A"),0)),"")</f>
        <v/>
      </c>
      <c r="Z13" s="361"/>
      <c r="AA13" s="361"/>
      <c r="AC13" s="367"/>
      <c r="AD13" s="368"/>
      <c r="AE13" s="368"/>
      <c r="AF13" s="368"/>
      <c r="AG13" s="368"/>
      <c r="AH13" s="368"/>
      <c r="AI13" s="368"/>
      <c r="AJ13" s="369"/>
      <c r="AK13" s="370"/>
      <c r="AL13" s="371"/>
      <c r="AM13" s="204"/>
      <c r="AN13" s="372"/>
      <c r="AO13" s="368"/>
      <c r="AP13" s="368"/>
      <c r="AQ13" s="368"/>
      <c r="AR13" s="368"/>
      <c r="AS13" s="368"/>
      <c r="AT13" s="368"/>
      <c r="AU13" s="368"/>
      <c r="AV13" s="368"/>
      <c r="AW13" s="368"/>
      <c r="AX13" s="368"/>
      <c r="AY13" s="368"/>
      <c r="AZ13" s="368"/>
      <c r="BA13" s="368"/>
      <c r="BB13" s="373"/>
      <c r="BE13" s="187">
        <v>11</v>
      </c>
      <c r="BF13" s="317" t="s">
        <v>596</v>
      </c>
      <c r="BG13" s="317"/>
      <c r="BH13" s="317" t="s">
        <v>665</v>
      </c>
      <c r="BI13" s="317"/>
      <c r="BJ13" s="317"/>
      <c r="BK13" s="318"/>
      <c r="BL13" s="215"/>
      <c r="BM13" s="209"/>
      <c r="BN13" s="209"/>
      <c r="BO13" s="209"/>
      <c r="BP13" s="209"/>
      <c r="BQ13" s="210"/>
      <c r="BR13" s="362"/>
      <c r="BS13" s="319"/>
      <c r="BT13" s="317"/>
      <c r="BU13" s="320"/>
      <c r="BW13" s="285" t="b">
        <v>0</v>
      </c>
      <c r="BX13" s="192" t="s">
        <v>78</v>
      </c>
      <c r="BY13" s="178"/>
      <c r="BZ13" s="178"/>
      <c r="CA13" s="178"/>
      <c r="CB13" s="178"/>
      <c r="CC13" s="193"/>
      <c r="CD13" s="193"/>
      <c r="CE13" s="193"/>
      <c r="CF13" s="178"/>
      <c r="CG13" s="178"/>
      <c r="CH13" s="178"/>
    </row>
    <row r="14" spans="1:95" ht="22.5" customHeight="1" thickBot="1">
      <c r="A14" s="201" t="s">
        <v>251</v>
      </c>
      <c r="B14" s="363" t="s">
        <v>227</v>
      </c>
      <c r="C14" s="364"/>
      <c r="D14" s="364"/>
      <c r="E14" s="364"/>
      <c r="F14" s="365"/>
      <c r="G14" s="366"/>
      <c r="H14" s="366"/>
      <c r="I14" s="366"/>
      <c r="J14" s="366"/>
      <c r="K14" s="366"/>
      <c r="L14" s="366"/>
      <c r="M14" s="366"/>
      <c r="N14" s="366"/>
      <c r="O14" s="366"/>
      <c r="P14" s="366"/>
      <c r="Q14" s="366"/>
      <c r="R14" s="366"/>
      <c r="S14" s="366"/>
      <c r="T14" s="366"/>
      <c r="U14" s="366"/>
      <c r="V14" s="366"/>
      <c r="W14" s="366"/>
      <c r="X14" s="366"/>
      <c r="Y14" s="366"/>
      <c r="Z14" s="366"/>
      <c r="AA14" s="366"/>
      <c r="AC14" s="367"/>
      <c r="AD14" s="368"/>
      <c r="AE14" s="368"/>
      <c r="AF14" s="368"/>
      <c r="AG14" s="368"/>
      <c r="AH14" s="368"/>
      <c r="AI14" s="368"/>
      <c r="AJ14" s="369"/>
      <c r="AK14" s="370"/>
      <c r="AL14" s="371"/>
      <c r="AM14" s="204"/>
      <c r="AN14" s="372"/>
      <c r="AO14" s="368"/>
      <c r="AP14" s="368"/>
      <c r="AQ14" s="368"/>
      <c r="AR14" s="368"/>
      <c r="AS14" s="368"/>
      <c r="AT14" s="368"/>
      <c r="AU14" s="368"/>
      <c r="AV14" s="368"/>
      <c r="AW14" s="368"/>
      <c r="AX14" s="368"/>
      <c r="AY14" s="368"/>
      <c r="AZ14" s="368"/>
      <c r="BA14" s="368"/>
      <c r="BB14" s="373"/>
      <c r="BE14" s="187">
        <v>12</v>
      </c>
      <c r="BF14" s="317" t="s">
        <v>594</v>
      </c>
      <c r="BG14" s="317"/>
      <c r="BH14" s="317" t="s">
        <v>666</v>
      </c>
      <c r="BI14" s="317"/>
      <c r="BJ14" s="317"/>
      <c r="BK14" s="318"/>
      <c r="BL14" s="215" t="s">
        <v>724</v>
      </c>
      <c r="BM14" s="209" t="s">
        <v>724</v>
      </c>
      <c r="BN14" s="209" t="s">
        <v>724</v>
      </c>
      <c r="BO14" s="209"/>
      <c r="BP14" s="209"/>
      <c r="BQ14" s="210"/>
      <c r="BR14" s="362"/>
      <c r="BS14" s="319"/>
      <c r="BT14" s="317"/>
      <c r="BU14" s="320"/>
      <c r="BW14" s="285" t="b">
        <v>0</v>
      </c>
      <c r="BX14" s="192" t="s">
        <v>79</v>
      </c>
      <c r="BY14" s="178"/>
      <c r="BZ14" s="178"/>
      <c r="CA14" s="178"/>
      <c r="CB14" s="178"/>
      <c r="CC14" s="178"/>
      <c r="CD14" s="178"/>
      <c r="CE14" s="178"/>
      <c r="CF14" s="178"/>
      <c r="CG14" s="178"/>
      <c r="CH14" s="178"/>
    </row>
    <row r="15" spans="1:95" ht="22.5" customHeight="1" thickTop="1">
      <c r="B15" s="739" t="s">
        <v>264</v>
      </c>
      <c r="C15" s="740"/>
      <c r="D15" s="740"/>
      <c r="E15" s="740"/>
      <c r="F15" s="741"/>
      <c r="G15" s="385">
        <f ca="1">IFERROR(INDEX(INDIRECT("'"&amp;G$3&amp;"'!X:X"),MATCH($D$1,INDIRECT("'"&amp;G$3&amp;"'!A:A"),0)),"")</f>
        <v>695991.29599999997</v>
      </c>
      <c r="H15" s="385"/>
      <c r="I15" s="385"/>
      <c r="J15" s="385" t="str">
        <f ca="1">IFERROR(INDEX(INDIRECT("'"&amp;J$3&amp;"'!X:X"),MATCH($D$1,INDIRECT("'"&amp;J$3&amp;"'!A:A"),0)),"")</f>
        <v/>
      </c>
      <c r="K15" s="385"/>
      <c r="L15" s="385"/>
      <c r="M15" s="385" t="str">
        <f ca="1">IFERROR(INDEX(INDIRECT("'"&amp;M$3&amp;"'!X:X"),MATCH($D$1,INDIRECT("'"&amp;M$3&amp;"'!A:A"),0)),"")</f>
        <v/>
      </c>
      <c r="N15" s="385"/>
      <c r="O15" s="385"/>
      <c r="P15" s="385" t="str">
        <f ca="1">IFERROR(INDEX(INDIRECT("'"&amp;P$3&amp;"'!X:X"),MATCH($D$1,INDIRECT("'"&amp;P$3&amp;"'!A:A"),0)),"")</f>
        <v/>
      </c>
      <c r="Q15" s="385"/>
      <c r="R15" s="385"/>
      <c r="S15" s="385" t="str">
        <f ca="1">IFERROR(INDEX(INDIRECT("'"&amp;S$3&amp;"'!X:X"),MATCH($D$1,INDIRECT("'"&amp;S$3&amp;"'!A:A"),0)),"")</f>
        <v/>
      </c>
      <c r="T15" s="385"/>
      <c r="U15" s="385"/>
      <c r="V15" s="386" t="s">
        <v>266</v>
      </c>
      <c r="W15" s="387"/>
      <c r="X15" s="388">
        <f ca="1">AVERAGE(G15:U15)</f>
        <v>695991.29599999997</v>
      </c>
      <c r="Y15" s="388"/>
      <c r="Z15" s="388"/>
      <c r="AA15" s="389"/>
      <c r="AB15" s="162"/>
      <c r="BE15" s="187">
        <v>13</v>
      </c>
      <c r="BF15" s="317" t="s">
        <v>596</v>
      </c>
      <c r="BG15" s="317"/>
      <c r="BH15" s="317" t="s">
        <v>667</v>
      </c>
      <c r="BI15" s="317"/>
      <c r="BJ15" s="317"/>
      <c r="BK15" s="318"/>
      <c r="BL15" s="215" t="s">
        <v>724</v>
      </c>
      <c r="BM15" s="209"/>
      <c r="BN15" s="209"/>
      <c r="BO15" s="209"/>
      <c r="BP15" s="209"/>
      <c r="BQ15" s="210"/>
      <c r="BR15" s="362"/>
      <c r="BS15" s="319"/>
      <c r="BT15" s="317"/>
      <c r="BU15" s="320"/>
      <c r="BW15" s="285" t="b">
        <v>0</v>
      </c>
      <c r="BX15" s="192" t="s">
        <v>80</v>
      </c>
      <c r="BY15" s="178"/>
      <c r="BZ15" s="178"/>
      <c r="CA15" s="178"/>
      <c r="CB15" s="178"/>
      <c r="CC15" s="178"/>
      <c r="CD15" s="178"/>
      <c r="CE15" s="178"/>
      <c r="CF15" s="178"/>
      <c r="CG15" s="178"/>
      <c r="CH15" s="178"/>
    </row>
    <row r="16" spans="1:95" s="164" customFormat="1" ht="22.5" customHeight="1">
      <c r="B16" s="164">
        <v>30</v>
      </c>
      <c r="V16" s="220"/>
      <c r="W16" s="220"/>
      <c r="X16" s="220"/>
      <c r="Y16" s="220"/>
      <c r="Z16" s="220"/>
      <c r="AA16" s="220"/>
      <c r="AB16" s="162"/>
      <c r="AC16" s="722" t="s">
        <v>236</v>
      </c>
      <c r="AD16" s="723"/>
      <c r="AE16" s="723"/>
      <c r="AF16" s="723"/>
      <c r="AG16" s="723"/>
      <c r="AH16" s="723"/>
      <c r="AI16" s="723"/>
      <c r="AJ16" s="724"/>
      <c r="AK16" s="377" t="s">
        <v>254</v>
      </c>
      <c r="AL16" s="378"/>
      <c r="AM16" s="379"/>
      <c r="AN16" s="380" t="s">
        <v>27</v>
      </c>
      <c r="AO16" s="378"/>
      <c r="AP16" s="381"/>
      <c r="AQ16" s="377" t="s">
        <v>226</v>
      </c>
      <c r="AR16" s="378"/>
      <c r="AS16" s="379"/>
      <c r="AT16" s="380" t="s">
        <v>14</v>
      </c>
      <c r="AU16" s="378"/>
      <c r="AV16" s="381"/>
      <c r="AW16" s="377" t="s">
        <v>22</v>
      </c>
      <c r="AX16" s="378"/>
      <c r="AY16" s="379"/>
      <c r="AZ16" s="380" t="s">
        <v>1</v>
      </c>
      <c r="BA16" s="378"/>
      <c r="BB16" s="379"/>
      <c r="BE16" s="187">
        <v>14</v>
      </c>
      <c r="BF16" s="317" t="s">
        <v>596</v>
      </c>
      <c r="BG16" s="317"/>
      <c r="BH16" s="317" t="s">
        <v>668</v>
      </c>
      <c r="BI16" s="317"/>
      <c r="BJ16" s="317"/>
      <c r="BK16" s="318"/>
      <c r="BL16" s="215" t="s">
        <v>724</v>
      </c>
      <c r="BM16" s="209"/>
      <c r="BN16" s="209"/>
      <c r="BO16" s="209"/>
      <c r="BP16" s="209"/>
      <c r="BQ16" s="210"/>
      <c r="BR16" s="319"/>
      <c r="BS16" s="317"/>
      <c r="BT16" s="317"/>
      <c r="BU16" s="320"/>
      <c r="BW16" s="285" t="b">
        <v>0</v>
      </c>
      <c r="BX16" s="192" t="s">
        <v>81</v>
      </c>
      <c r="BY16" s="194"/>
      <c r="BZ16" s="194"/>
      <c r="CA16" s="194"/>
      <c r="CB16" s="194"/>
      <c r="CC16" s="194"/>
      <c r="CD16" s="194"/>
      <c r="CE16" s="194"/>
      <c r="CF16" s="194"/>
      <c r="CG16" s="194"/>
      <c r="CH16" s="194"/>
      <c r="CJ16" s="161"/>
    </row>
    <row r="17" spans="2:86" ht="22.5" customHeight="1">
      <c r="B17" s="850">
        <f ca="1">NOW()</f>
        <v>46202.751855324073</v>
      </c>
      <c r="C17" s="851"/>
      <c r="D17" s="851"/>
      <c r="E17" s="851"/>
      <c r="F17" s="852"/>
      <c r="G17" s="303" t="s">
        <v>777</v>
      </c>
      <c r="H17" s="304"/>
      <c r="I17" s="305"/>
      <c r="J17" s="303" t="s">
        <v>778</v>
      </c>
      <c r="K17" s="304"/>
      <c r="L17" s="305"/>
      <c r="M17" s="303" t="s">
        <v>779</v>
      </c>
      <c r="N17" s="304"/>
      <c r="O17" s="305"/>
      <c r="P17" s="303" t="s">
        <v>780</v>
      </c>
      <c r="Q17" s="304"/>
      <c r="R17" s="305"/>
      <c r="S17" s="303" t="s">
        <v>781</v>
      </c>
      <c r="T17" s="304"/>
      <c r="U17" s="305"/>
      <c r="V17" s="303" t="s">
        <v>782</v>
      </c>
      <c r="W17" s="304"/>
      <c r="X17" s="305"/>
      <c r="AB17" s="165"/>
      <c r="AC17" s="392" t="s">
        <v>234</v>
      </c>
      <c r="AD17" s="393"/>
      <c r="AE17" s="393"/>
      <c r="AF17" s="394"/>
      <c r="AG17" s="398" t="s">
        <v>262</v>
      </c>
      <c r="AH17" s="399"/>
      <c r="AI17" s="399"/>
      <c r="AJ17" s="400"/>
      <c r="AK17" s="401">
        <v>9.8000000000000007</v>
      </c>
      <c r="AL17" s="402"/>
      <c r="AM17" s="403"/>
      <c r="AN17" s="404">
        <v>9.9</v>
      </c>
      <c r="AO17" s="402"/>
      <c r="AP17" s="405"/>
      <c r="AQ17" s="401">
        <v>9.9</v>
      </c>
      <c r="AR17" s="402"/>
      <c r="AS17" s="403"/>
      <c r="AT17" s="404">
        <v>9.9</v>
      </c>
      <c r="AU17" s="402"/>
      <c r="AV17" s="405"/>
      <c r="AW17" s="401"/>
      <c r="AX17" s="402"/>
      <c r="AY17" s="403"/>
      <c r="AZ17" s="404"/>
      <c r="BA17" s="402"/>
      <c r="BB17" s="403"/>
      <c r="BE17" s="187">
        <v>15</v>
      </c>
      <c r="BF17" s="317" t="s">
        <v>594</v>
      </c>
      <c r="BG17" s="317"/>
      <c r="BH17" s="317" t="s">
        <v>669</v>
      </c>
      <c r="BI17" s="317"/>
      <c r="BJ17" s="317"/>
      <c r="BK17" s="318"/>
      <c r="BL17" s="215"/>
      <c r="BM17" s="209"/>
      <c r="BN17" s="209"/>
      <c r="BO17" s="209"/>
      <c r="BP17" s="209"/>
      <c r="BQ17" s="210"/>
      <c r="BR17" s="319"/>
      <c r="BS17" s="317"/>
      <c r="BT17" s="317"/>
      <c r="BU17" s="320"/>
      <c r="BX17" s="178"/>
      <c r="BY17" s="178"/>
      <c r="BZ17" s="178"/>
      <c r="CA17" s="178"/>
      <c r="CB17" s="178"/>
      <c r="CC17" s="178"/>
      <c r="CD17" s="178"/>
      <c r="CE17" s="178"/>
      <c r="CF17" s="178"/>
      <c r="CG17" s="178"/>
      <c r="CH17" s="178"/>
    </row>
    <row r="18" spans="2:86" ht="22.5" customHeight="1">
      <c r="B18" s="335" t="s">
        <v>32</v>
      </c>
      <c r="C18" s="336"/>
      <c r="D18" s="336"/>
      <c r="E18" s="336"/>
      <c r="F18" s="337"/>
      <c r="G18" s="321">
        <v>20</v>
      </c>
      <c r="H18" s="321"/>
      <c r="I18" s="321"/>
      <c r="J18" s="321">
        <v>20</v>
      </c>
      <c r="K18" s="321"/>
      <c r="L18" s="321"/>
      <c r="M18" s="321">
        <v>20</v>
      </c>
      <c r="N18" s="321"/>
      <c r="O18" s="321"/>
      <c r="P18" s="321">
        <v>20</v>
      </c>
      <c r="Q18" s="321"/>
      <c r="R18" s="321"/>
      <c r="S18" s="321"/>
      <c r="T18" s="321"/>
      <c r="U18" s="321"/>
      <c r="V18" s="782"/>
      <c r="W18" s="782"/>
      <c r="X18" s="782"/>
      <c r="AB18" s="162"/>
      <c r="AC18" s="395"/>
      <c r="AD18" s="396"/>
      <c r="AE18" s="396"/>
      <c r="AF18" s="397"/>
      <c r="AG18" s="407" t="s">
        <v>50</v>
      </c>
      <c r="AH18" s="408"/>
      <c r="AI18" s="408"/>
      <c r="AJ18" s="409"/>
      <c r="AK18" s="410">
        <f>224/166</f>
        <v>1.3493975903614457</v>
      </c>
      <c r="AL18" s="411"/>
      <c r="AM18" s="412"/>
      <c r="AN18" s="413">
        <v>0.6</v>
      </c>
      <c r="AO18" s="411"/>
      <c r="AP18" s="414"/>
      <c r="AQ18" s="410">
        <v>0.48</v>
      </c>
      <c r="AR18" s="411"/>
      <c r="AS18" s="412"/>
      <c r="AT18" s="413">
        <v>0</v>
      </c>
      <c r="AU18" s="411"/>
      <c r="AV18" s="414"/>
      <c r="AW18" s="410"/>
      <c r="AX18" s="411"/>
      <c r="AY18" s="412"/>
      <c r="AZ18" s="413"/>
      <c r="BA18" s="411"/>
      <c r="BB18" s="412"/>
      <c r="BE18" s="187">
        <v>16</v>
      </c>
      <c r="BF18" s="317" t="s">
        <v>594</v>
      </c>
      <c r="BG18" s="317"/>
      <c r="BH18" s="317" t="s">
        <v>713</v>
      </c>
      <c r="BI18" s="317"/>
      <c r="BJ18" s="317"/>
      <c r="BK18" s="318"/>
      <c r="BL18" s="215"/>
      <c r="BM18" s="209"/>
      <c r="BN18" s="209"/>
      <c r="BO18" s="209"/>
      <c r="BP18" s="209"/>
      <c r="BQ18" s="210"/>
      <c r="BR18" s="319"/>
      <c r="BS18" s="317"/>
      <c r="BT18" s="317"/>
      <c r="BU18" s="320"/>
      <c r="BW18" s="181" t="s">
        <v>949</v>
      </c>
      <c r="BX18" s="179"/>
      <c r="BY18" s="179"/>
      <c r="BZ18" s="179"/>
      <c r="CA18" s="179"/>
      <c r="CB18" s="179"/>
      <c r="CC18" s="179"/>
      <c r="CD18" s="179"/>
      <c r="CE18" s="179"/>
      <c r="CF18" s="179"/>
      <c r="CG18" s="179"/>
      <c r="CH18" s="179"/>
    </row>
    <row r="19" spans="2:86" ht="22.5" customHeight="1">
      <c r="B19" s="858" t="s">
        <v>225</v>
      </c>
      <c r="C19" s="775"/>
      <c r="D19" s="775"/>
      <c r="E19" s="775"/>
      <c r="F19" s="859"/>
      <c r="G19" s="334">
        <v>565</v>
      </c>
      <c r="H19" s="334"/>
      <c r="I19" s="334"/>
      <c r="J19" s="334">
        <v>573</v>
      </c>
      <c r="K19" s="334"/>
      <c r="L19" s="334"/>
      <c r="M19" s="334">
        <v>573</v>
      </c>
      <c r="N19" s="334"/>
      <c r="O19" s="334"/>
      <c r="P19" s="334">
        <v>573</v>
      </c>
      <c r="Q19" s="334"/>
      <c r="R19" s="334"/>
      <c r="S19" s="334"/>
      <c r="T19" s="334"/>
      <c r="U19" s="334"/>
      <c r="V19" s="784"/>
      <c r="W19" s="784"/>
      <c r="X19" s="784"/>
      <c r="AB19" s="162"/>
      <c r="AC19" s="446">
        <v>9.9</v>
      </c>
      <c r="AD19" s="447"/>
      <c r="AE19" s="447"/>
      <c r="AF19" s="448"/>
      <c r="AG19" s="452" t="s">
        <v>51</v>
      </c>
      <c r="AH19" s="453"/>
      <c r="AI19" s="453"/>
      <c r="AJ19" s="454"/>
      <c r="AK19" s="421">
        <f>13/166</f>
        <v>7.8313253012048195E-2</v>
      </c>
      <c r="AL19" s="416"/>
      <c r="AM19" s="417"/>
      <c r="AN19" s="415">
        <v>0</v>
      </c>
      <c r="AO19" s="416"/>
      <c r="AP19" s="442"/>
      <c r="AQ19" s="421">
        <v>0</v>
      </c>
      <c r="AR19" s="416"/>
      <c r="AS19" s="417"/>
      <c r="AT19" s="415">
        <v>0</v>
      </c>
      <c r="AU19" s="416"/>
      <c r="AV19" s="442"/>
      <c r="AW19" s="421"/>
      <c r="AX19" s="416"/>
      <c r="AY19" s="417"/>
      <c r="AZ19" s="415"/>
      <c r="BA19" s="416"/>
      <c r="BB19" s="417"/>
      <c r="BE19" s="187">
        <v>17</v>
      </c>
      <c r="BF19" s="317" t="s">
        <v>594</v>
      </c>
      <c r="BG19" s="317"/>
      <c r="BH19" s="317" t="s">
        <v>714</v>
      </c>
      <c r="BI19" s="317"/>
      <c r="BJ19" s="317"/>
      <c r="BK19" s="318"/>
      <c r="BL19" s="215"/>
      <c r="BM19" s="209"/>
      <c r="BN19" s="209"/>
      <c r="BO19" s="209"/>
      <c r="BP19" s="209"/>
      <c r="BQ19" s="210"/>
      <c r="BR19" s="319"/>
      <c r="BS19" s="317"/>
      <c r="BT19" s="317"/>
      <c r="BU19" s="320"/>
      <c r="BW19" s="285" t="b">
        <v>0</v>
      </c>
      <c r="BX19" s="178" t="s">
        <v>100</v>
      </c>
      <c r="BY19" s="178"/>
      <c r="BZ19" s="178"/>
      <c r="CA19" s="178"/>
      <c r="CB19" s="178"/>
      <c r="CC19" s="178"/>
      <c r="CD19" s="178"/>
      <c r="CE19" s="178"/>
      <c r="CF19" s="178"/>
      <c r="CG19" s="178"/>
      <c r="CH19" s="178"/>
    </row>
    <row r="20" spans="2:86" ht="22.5" customHeight="1">
      <c r="B20" s="338" t="s">
        <v>33</v>
      </c>
      <c r="C20" s="339"/>
      <c r="D20" s="339"/>
      <c r="E20" s="339"/>
      <c r="F20" s="340"/>
      <c r="G20" s="341">
        <f>G19/600</f>
        <v>0.94166666666666665</v>
      </c>
      <c r="H20" s="341"/>
      <c r="I20" s="341"/>
      <c r="J20" s="341">
        <f>J19/600</f>
        <v>0.95499999999999996</v>
      </c>
      <c r="K20" s="341"/>
      <c r="L20" s="341"/>
      <c r="M20" s="341">
        <f>M19/600</f>
        <v>0.95499999999999996</v>
      </c>
      <c r="N20" s="341"/>
      <c r="O20" s="341"/>
      <c r="P20" s="341">
        <f>P19/600</f>
        <v>0.95499999999999996</v>
      </c>
      <c r="Q20" s="341"/>
      <c r="R20" s="341"/>
      <c r="S20" s="341"/>
      <c r="T20" s="341"/>
      <c r="U20" s="341"/>
      <c r="V20" s="786"/>
      <c r="W20" s="786"/>
      <c r="X20" s="786"/>
      <c r="AB20" s="162"/>
      <c r="AC20" s="446"/>
      <c r="AD20" s="447"/>
      <c r="AE20" s="447"/>
      <c r="AF20" s="448"/>
      <c r="AG20" s="439" t="s">
        <v>232</v>
      </c>
      <c r="AH20" s="440"/>
      <c r="AI20" s="440"/>
      <c r="AJ20" s="441"/>
      <c r="AK20" s="410">
        <f>144/166</f>
        <v>0.86746987951807231</v>
      </c>
      <c r="AL20" s="411"/>
      <c r="AM20" s="412"/>
      <c r="AN20" s="413">
        <v>1.48</v>
      </c>
      <c r="AO20" s="411"/>
      <c r="AP20" s="414"/>
      <c r="AQ20" s="410">
        <v>1.48</v>
      </c>
      <c r="AR20" s="411"/>
      <c r="AS20" s="412"/>
      <c r="AT20" s="413">
        <v>0.95</v>
      </c>
      <c r="AU20" s="411"/>
      <c r="AV20" s="414"/>
      <c r="AW20" s="410"/>
      <c r="AX20" s="411"/>
      <c r="AY20" s="412"/>
      <c r="AZ20" s="413"/>
      <c r="BA20" s="411"/>
      <c r="BB20" s="412"/>
      <c r="BE20" s="187">
        <v>18</v>
      </c>
      <c r="BF20" s="317" t="s">
        <v>596</v>
      </c>
      <c r="BG20" s="317"/>
      <c r="BH20" s="317" t="s">
        <v>670</v>
      </c>
      <c r="BI20" s="317"/>
      <c r="BJ20" s="317"/>
      <c r="BK20" s="318"/>
      <c r="BL20" s="215"/>
      <c r="BM20" s="209"/>
      <c r="BN20" s="209"/>
      <c r="BO20" s="209"/>
      <c r="BP20" s="209"/>
      <c r="BQ20" s="210"/>
      <c r="BR20" s="319"/>
      <c r="BS20" s="317"/>
      <c r="BT20" s="317"/>
      <c r="BU20" s="320"/>
      <c r="BW20" s="285" t="b">
        <v>0</v>
      </c>
      <c r="BX20" s="178" t="s">
        <v>98</v>
      </c>
      <c r="BY20" s="178"/>
      <c r="BZ20" s="178"/>
      <c r="CA20" s="194"/>
      <c r="CB20" s="193"/>
      <c r="CC20" s="178"/>
      <c r="CD20" s="178"/>
      <c r="CE20" s="178"/>
      <c r="CF20" s="178"/>
      <c r="CG20" s="178"/>
      <c r="CH20" s="178"/>
    </row>
    <row r="21" spans="2:86" ht="22.5" customHeight="1" thickBot="1">
      <c r="B21" s="858" t="s">
        <v>783</v>
      </c>
      <c r="C21" s="775"/>
      <c r="D21" s="775"/>
      <c r="E21" s="775"/>
      <c r="F21" s="859"/>
      <c r="G21" s="860">
        <v>600</v>
      </c>
      <c r="H21" s="860"/>
      <c r="I21" s="860"/>
      <c r="J21" s="860">
        <v>600</v>
      </c>
      <c r="K21" s="860"/>
      <c r="L21" s="860"/>
      <c r="M21" s="860">
        <v>600</v>
      </c>
      <c r="N21" s="860"/>
      <c r="O21" s="860"/>
      <c r="P21" s="860">
        <v>600</v>
      </c>
      <c r="Q21" s="860"/>
      <c r="R21" s="860"/>
      <c r="S21" s="860"/>
      <c r="T21" s="860"/>
      <c r="U21" s="860"/>
      <c r="V21" s="786"/>
      <c r="W21" s="786"/>
      <c r="X21" s="786"/>
      <c r="AB21" s="162"/>
      <c r="AC21" s="446"/>
      <c r="AD21" s="447"/>
      <c r="AE21" s="447"/>
      <c r="AF21" s="448"/>
      <c r="AG21" s="443" t="s">
        <v>233</v>
      </c>
      <c r="AH21" s="444"/>
      <c r="AI21" s="444"/>
      <c r="AJ21" s="445"/>
      <c r="AK21" s="421">
        <v>0</v>
      </c>
      <c r="AL21" s="416"/>
      <c r="AM21" s="417"/>
      <c r="AN21" s="415">
        <v>0</v>
      </c>
      <c r="AO21" s="416"/>
      <c r="AP21" s="442"/>
      <c r="AQ21" s="421">
        <v>0</v>
      </c>
      <c r="AR21" s="416"/>
      <c r="AS21" s="417"/>
      <c r="AT21" s="415">
        <v>0</v>
      </c>
      <c r="AU21" s="416"/>
      <c r="AV21" s="442"/>
      <c r="AW21" s="421"/>
      <c r="AX21" s="416"/>
      <c r="AY21" s="417"/>
      <c r="AZ21" s="415"/>
      <c r="BA21" s="416"/>
      <c r="BB21" s="417"/>
      <c r="BE21" s="187">
        <v>19</v>
      </c>
      <c r="BF21" s="317" t="s">
        <v>382</v>
      </c>
      <c r="BG21" s="317"/>
      <c r="BH21" s="317" t="s">
        <v>672</v>
      </c>
      <c r="BI21" s="317"/>
      <c r="BJ21" s="317"/>
      <c r="BK21" s="318"/>
      <c r="BL21" s="215"/>
      <c r="BM21" s="209"/>
      <c r="BN21" s="209"/>
      <c r="BO21" s="209"/>
      <c r="BP21" s="209"/>
      <c r="BQ21" s="210"/>
      <c r="BR21" s="319"/>
      <c r="BS21" s="317"/>
      <c r="BT21" s="317"/>
      <c r="BU21" s="320"/>
      <c r="BW21" s="285" t="b">
        <v>0</v>
      </c>
      <c r="BX21" s="178" t="s">
        <v>99</v>
      </c>
      <c r="BY21" s="178"/>
      <c r="BZ21" s="178"/>
      <c r="CA21" s="194"/>
      <c r="CB21" s="193"/>
      <c r="CC21" s="178"/>
      <c r="CD21" s="178"/>
      <c r="CE21" s="178"/>
      <c r="CF21" s="178"/>
      <c r="CG21" s="178"/>
      <c r="CH21" s="178"/>
    </row>
    <row r="22" spans="2:86" ht="22.5" customHeight="1" thickTop="1">
      <c r="B22" s="338" t="s">
        <v>784</v>
      </c>
      <c r="C22" s="339"/>
      <c r="D22" s="339"/>
      <c r="E22" s="339"/>
      <c r="F22" s="340"/>
      <c r="G22" s="341">
        <v>1</v>
      </c>
      <c r="H22" s="341"/>
      <c r="I22" s="341"/>
      <c r="J22" s="341">
        <v>1</v>
      </c>
      <c r="K22" s="341"/>
      <c r="L22" s="341"/>
      <c r="M22" s="341">
        <v>1</v>
      </c>
      <c r="N22" s="341"/>
      <c r="O22" s="341"/>
      <c r="P22" s="341">
        <v>1</v>
      </c>
      <c r="Q22" s="341"/>
      <c r="R22" s="341"/>
      <c r="S22" s="341"/>
      <c r="T22" s="341"/>
      <c r="U22" s="341"/>
      <c r="V22" s="786"/>
      <c r="W22" s="786"/>
      <c r="X22" s="786"/>
      <c r="AB22" s="162"/>
      <c r="AC22" s="449"/>
      <c r="AD22" s="450"/>
      <c r="AE22" s="450"/>
      <c r="AF22" s="451"/>
      <c r="AG22" s="418" t="s">
        <v>235</v>
      </c>
      <c r="AH22" s="419"/>
      <c r="AI22" s="419"/>
      <c r="AJ22" s="420"/>
      <c r="AK22" s="462">
        <f>IFERROR((AK20+AK21)/AK17,"")</f>
        <v>8.8517334644701254E-2</v>
      </c>
      <c r="AL22" s="463"/>
      <c r="AM22" s="464"/>
      <c r="AN22" s="462">
        <f>IFERROR((AN20+AN21)/AN17,"")</f>
        <v>0.14949494949494949</v>
      </c>
      <c r="AO22" s="463"/>
      <c r="AP22" s="464"/>
      <c r="AQ22" s="462">
        <f>IFERROR((AQ20+AQ21)/AQ17,"")</f>
        <v>0.14949494949494949</v>
      </c>
      <c r="AR22" s="463"/>
      <c r="AS22" s="464"/>
      <c r="AT22" s="462">
        <f>IFERROR((AT20+AT21)/AT17,"")</f>
        <v>9.5959595959595953E-2</v>
      </c>
      <c r="AU22" s="463"/>
      <c r="AV22" s="464"/>
      <c r="AW22" s="462" t="str">
        <f>IFERROR((AW20+AW21)/AW17,"")</f>
        <v/>
      </c>
      <c r="AX22" s="463"/>
      <c r="AY22" s="464"/>
      <c r="AZ22" s="462" t="str">
        <f>IFERROR((AZ20+AZ21)/AZ17,"")</f>
        <v/>
      </c>
      <c r="BA22" s="463"/>
      <c r="BB22" s="464"/>
      <c r="BE22" s="187">
        <v>20</v>
      </c>
      <c r="BF22" s="317"/>
      <c r="BG22" s="317"/>
      <c r="BH22" s="317"/>
      <c r="BI22" s="317"/>
      <c r="BJ22" s="317"/>
      <c r="BK22" s="318"/>
      <c r="BL22" s="215"/>
      <c r="BM22" s="209"/>
      <c r="BN22" s="209"/>
      <c r="BO22" s="209"/>
      <c r="BP22" s="209"/>
      <c r="BQ22" s="210"/>
      <c r="BR22" s="319"/>
      <c r="BS22" s="317"/>
      <c r="BT22" s="317"/>
      <c r="BU22" s="320"/>
      <c r="BW22" s="285" t="b">
        <v>0</v>
      </c>
      <c r="BX22" s="192" t="s">
        <v>95</v>
      </c>
      <c r="BY22" s="178"/>
      <c r="BZ22" s="178"/>
      <c r="CA22" s="194"/>
      <c r="CB22" s="193"/>
      <c r="CC22" s="178"/>
      <c r="CD22" s="178"/>
      <c r="CE22" s="178"/>
      <c r="CF22" s="178"/>
      <c r="CG22" s="178"/>
      <c r="CH22" s="178"/>
    </row>
    <row r="23" spans="2:86" ht="22.5" customHeight="1">
      <c r="B23" s="735" t="s">
        <v>224</v>
      </c>
      <c r="C23" s="736"/>
      <c r="D23" s="736"/>
      <c r="E23" s="736"/>
      <c r="F23" s="737"/>
      <c r="G23" s="860">
        <v>27</v>
      </c>
      <c r="H23" s="860"/>
      <c r="I23" s="860"/>
      <c r="J23" s="860">
        <v>29</v>
      </c>
      <c r="K23" s="860"/>
      <c r="L23" s="860"/>
      <c r="M23" s="860">
        <v>29</v>
      </c>
      <c r="N23" s="860"/>
      <c r="O23" s="860"/>
      <c r="P23" s="860">
        <v>27</v>
      </c>
      <c r="Q23" s="860"/>
      <c r="R23" s="860"/>
      <c r="S23" s="860"/>
      <c r="T23" s="860"/>
      <c r="U23" s="860"/>
      <c r="V23" s="782" t="str">
        <f ca="1">IFERROR(INDEX(INDIRECT("'"&amp;#REF!&amp;"'!L:L"),MATCH($D$1,INDIRECT("'"&amp;#REF!&amp;"'!A:A"),0)),"")</f>
        <v/>
      </c>
      <c r="W23" s="782"/>
      <c r="X23" s="782"/>
      <c r="AB23" s="162"/>
      <c r="BE23" s="187">
        <v>21</v>
      </c>
      <c r="BF23" s="317"/>
      <c r="BG23" s="317"/>
      <c r="BH23" s="317"/>
      <c r="BI23" s="317"/>
      <c r="BJ23" s="317"/>
      <c r="BK23" s="318"/>
      <c r="BL23" s="215"/>
      <c r="BM23" s="209"/>
      <c r="BN23" s="209"/>
      <c r="BO23" s="209"/>
      <c r="BP23" s="209"/>
      <c r="BQ23" s="210"/>
      <c r="BR23" s="319"/>
      <c r="BS23" s="317"/>
      <c r="BT23" s="317"/>
      <c r="BU23" s="320"/>
      <c r="BW23" s="285" t="b">
        <v>0</v>
      </c>
      <c r="BX23" s="192" t="s">
        <v>94</v>
      </c>
      <c r="BY23" s="178"/>
      <c r="BZ23" s="178"/>
      <c r="CA23" s="194"/>
      <c r="CB23" s="193"/>
      <c r="CC23" s="178"/>
      <c r="CD23" s="178"/>
      <c r="CE23" s="178"/>
      <c r="CF23" s="178"/>
      <c r="CG23" s="178"/>
      <c r="CH23" s="178"/>
    </row>
    <row r="24" spans="2:86" ht="22.5" customHeight="1">
      <c r="B24" s="338" t="s">
        <v>34</v>
      </c>
      <c r="C24" s="339"/>
      <c r="D24" s="339"/>
      <c r="E24" s="339"/>
      <c r="F24" s="340"/>
      <c r="G24" s="341">
        <f>G23/B16</f>
        <v>0.9</v>
      </c>
      <c r="H24" s="341"/>
      <c r="I24" s="341"/>
      <c r="J24" s="341">
        <f>J23/30</f>
        <v>0.96666666666666667</v>
      </c>
      <c r="K24" s="341"/>
      <c r="L24" s="341"/>
      <c r="M24" s="341">
        <f>M23/30</f>
        <v>0.96666666666666667</v>
      </c>
      <c r="N24" s="341"/>
      <c r="O24" s="341"/>
      <c r="P24" s="341">
        <f>P23/30</f>
        <v>0.9</v>
      </c>
      <c r="Q24" s="341"/>
      <c r="R24" s="341"/>
      <c r="S24" s="341"/>
      <c r="T24" s="341"/>
      <c r="U24" s="341"/>
      <c r="V24" s="786"/>
      <c r="W24" s="786"/>
      <c r="X24" s="786"/>
      <c r="AC24" s="182" t="s">
        <v>240</v>
      </c>
      <c r="AD24" s="182"/>
      <c r="AE24" s="182"/>
      <c r="AF24" s="182"/>
      <c r="AG24" s="182"/>
      <c r="AH24" s="182"/>
      <c r="AI24" s="183"/>
      <c r="AJ24" s="183"/>
      <c r="AK24" s="183"/>
      <c r="AL24" s="183"/>
      <c r="AM24" s="183"/>
      <c r="AN24" s="183"/>
      <c r="AO24" s="184"/>
      <c r="AP24" s="184"/>
      <c r="AQ24" s="184"/>
      <c r="AR24" s="184"/>
      <c r="AS24" s="185"/>
      <c r="AT24" s="185"/>
      <c r="AU24" s="185"/>
      <c r="AV24" s="185"/>
      <c r="AW24" s="186"/>
      <c r="AX24" s="186"/>
      <c r="AY24" s="186"/>
      <c r="AZ24" s="186"/>
      <c r="BA24" s="179"/>
      <c r="BB24" s="179"/>
      <c r="BE24" s="187">
        <v>22</v>
      </c>
      <c r="BF24" s="317"/>
      <c r="BG24" s="317"/>
      <c r="BH24" s="317"/>
      <c r="BI24" s="317"/>
      <c r="BJ24" s="317"/>
      <c r="BK24" s="318"/>
      <c r="BL24" s="215"/>
      <c r="BM24" s="209"/>
      <c r="BN24" s="209"/>
      <c r="BO24" s="209"/>
      <c r="BP24" s="209"/>
      <c r="BQ24" s="210"/>
      <c r="BR24" s="319"/>
      <c r="BS24" s="317"/>
      <c r="BT24" s="317"/>
      <c r="BU24" s="320"/>
      <c r="BW24" s="285" t="b">
        <v>0</v>
      </c>
      <c r="BX24" s="192" t="s">
        <v>93</v>
      </c>
      <c r="BY24" s="178"/>
      <c r="BZ24" s="178"/>
      <c r="CA24" s="194"/>
      <c r="CB24" s="193"/>
      <c r="CC24" s="178"/>
      <c r="CD24" s="178"/>
      <c r="CE24" s="178"/>
      <c r="CF24" s="178"/>
      <c r="CG24" s="178"/>
      <c r="CH24" s="178"/>
    </row>
    <row r="25" spans="2:86" ht="22.5" customHeight="1">
      <c r="B25" s="779"/>
      <c r="C25" s="779"/>
      <c r="D25" s="779"/>
      <c r="E25" s="779"/>
      <c r="F25" s="779"/>
      <c r="G25" s="780"/>
      <c r="H25" s="780"/>
      <c r="I25" s="780"/>
      <c r="J25" s="780"/>
      <c r="K25" s="780"/>
      <c r="L25" s="780"/>
      <c r="M25" s="780"/>
      <c r="N25" s="780"/>
      <c r="O25" s="780"/>
      <c r="P25" s="780"/>
      <c r="Q25" s="780"/>
      <c r="R25" s="780"/>
      <c r="S25" s="780"/>
      <c r="T25" s="780"/>
      <c r="U25" s="780"/>
      <c r="V25" s="713"/>
      <c r="W25" s="713"/>
      <c r="X25" s="713"/>
      <c r="AB25" s="167"/>
      <c r="AC25" s="473"/>
      <c r="AD25" s="474"/>
      <c r="AE25" s="377" t="s">
        <v>254</v>
      </c>
      <c r="AF25" s="378"/>
      <c r="AG25" s="378"/>
      <c r="AH25" s="379"/>
      <c r="AI25" s="380" t="s">
        <v>255</v>
      </c>
      <c r="AJ25" s="378"/>
      <c r="AK25" s="378"/>
      <c r="AL25" s="381"/>
      <c r="AM25" s="377" t="s">
        <v>58</v>
      </c>
      <c r="AN25" s="378"/>
      <c r="AO25" s="378"/>
      <c r="AP25" s="379"/>
      <c r="AQ25" s="380" t="s">
        <v>14</v>
      </c>
      <c r="AR25" s="378"/>
      <c r="AS25" s="378"/>
      <c r="AT25" s="381"/>
      <c r="AU25" s="377" t="s">
        <v>22</v>
      </c>
      <c r="AV25" s="378"/>
      <c r="AW25" s="378"/>
      <c r="AX25" s="379"/>
      <c r="AY25" s="380" t="s">
        <v>1</v>
      </c>
      <c r="AZ25" s="378"/>
      <c r="BA25" s="378"/>
      <c r="BB25" s="379"/>
      <c r="BE25" s="187">
        <v>23</v>
      </c>
      <c r="BF25" s="317"/>
      <c r="BG25" s="317"/>
      <c r="BH25" s="317"/>
      <c r="BI25" s="317"/>
      <c r="BJ25" s="317"/>
      <c r="BK25" s="318"/>
      <c r="BL25" s="215"/>
      <c r="BM25" s="209"/>
      <c r="BN25" s="209"/>
      <c r="BO25" s="209"/>
      <c r="BP25" s="209"/>
      <c r="BQ25" s="210"/>
      <c r="BR25" s="319"/>
      <c r="BS25" s="317"/>
      <c r="BT25" s="317"/>
      <c r="BU25" s="320"/>
      <c r="BW25" s="285" t="b">
        <v>0</v>
      </c>
      <c r="BX25" s="192" t="s">
        <v>92</v>
      </c>
      <c r="BY25" s="178"/>
      <c r="BZ25" s="178"/>
      <c r="CA25" s="194"/>
      <c r="CB25" s="193"/>
      <c r="CC25" s="178"/>
      <c r="CD25" s="178"/>
      <c r="CE25" s="178"/>
      <c r="CF25" s="178"/>
      <c r="CG25" s="178"/>
      <c r="CH25" s="178"/>
    </row>
    <row r="26" spans="2:86" ht="22.5" customHeight="1">
      <c r="B26" s="374" t="s">
        <v>787</v>
      </c>
      <c r="C26" s="375"/>
      <c r="D26" s="375"/>
      <c r="E26" s="375"/>
      <c r="F26" s="375"/>
      <c r="G26" s="375"/>
      <c r="H26" s="375"/>
      <c r="I26" s="376"/>
      <c r="J26" s="377" t="s">
        <v>254</v>
      </c>
      <c r="K26" s="378"/>
      <c r="L26" s="379"/>
      <c r="M26" s="380" t="s">
        <v>27</v>
      </c>
      <c r="N26" s="378"/>
      <c r="O26" s="381"/>
      <c r="P26" s="377" t="s">
        <v>226</v>
      </c>
      <c r="Q26" s="378"/>
      <c r="R26" s="379"/>
      <c r="S26" s="380" t="s">
        <v>14</v>
      </c>
      <c r="T26" s="378"/>
      <c r="U26" s="381"/>
      <c r="V26" s="377" t="s">
        <v>22</v>
      </c>
      <c r="W26" s="378"/>
      <c r="X26" s="379"/>
      <c r="Y26" s="380" t="s">
        <v>1</v>
      </c>
      <c r="Z26" s="378"/>
      <c r="AA26" s="379"/>
      <c r="AB26" s="167"/>
      <c r="AC26" s="475"/>
      <c r="AD26" s="476"/>
      <c r="AE26" s="458" t="s">
        <v>120</v>
      </c>
      <c r="AF26" s="459"/>
      <c r="AG26" s="459" t="s">
        <v>121</v>
      </c>
      <c r="AH26" s="460"/>
      <c r="AI26" s="470" t="s">
        <v>120</v>
      </c>
      <c r="AJ26" s="459"/>
      <c r="AK26" s="459" t="s">
        <v>121</v>
      </c>
      <c r="AL26" s="471"/>
      <c r="AM26" s="458" t="s">
        <v>120</v>
      </c>
      <c r="AN26" s="459"/>
      <c r="AO26" s="459" t="s">
        <v>121</v>
      </c>
      <c r="AP26" s="460"/>
      <c r="AQ26" s="470" t="s">
        <v>120</v>
      </c>
      <c r="AR26" s="459"/>
      <c r="AS26" s="459" t="s">
        <v>121</v>
      </c>
      <c r="AT26" s="471"/>
      <c r="AU26" s="458" t="s">
        <v>120</v>
      </c>
      <c r="AV26" s="459"/>
      <c r="AW26" s="459" t="s">
        <v>121</v>
      </c>
      <c r="AX26" s="460"/>
      <c r="AY26" s="470" t="s">
        <v>120</v>
      </c>
      <c r="AZ26" s="459"/>
      <c r="BA26" s="459" t="s">
        <v>121</v>
      </c>
      <c r="BB26" s="460"/>
      <c r="BE26" s="187">
        <v>24</v>
      </c>
      <c r="BF26" s="317"/>
      <c r="BG26" s="317"/>
      <c r="BH26" s="317"/>
      <c r="BI26" s="317"/>
      <c r="BJ26" s="317"/>
      <c r="BK26" s="318"/>
      <c r="BL26" s="215"/>
      <c r="BM26" s="209"/>
      <c r="BN26" s="209"/>
      <c r="BO26" s="209"/>
      <c r="BP26" s="209"/>
      <c r="BQ26" s="210"/>
      <c r="BR26" s="319"/>
      <c r="BS26" s="317"/>
      <c r="BT26" s="317"/>
      <c r="BU26" s="320"/>
      <c r="BW26" s="285" t="b">
        <v>0</v>
      </c>
      <c r="BX26" s="192" t="s">
        <v>91</v>
      </c>
      <c r="BY26" s="178"/>
      <c r="BZ26" s="178"/>
      <c r="CA26" s="194"/>
      <c r="CB26" s="193"/>
      <c r="CC26" s="178"/>
      <c r="CD26" s="178"/>
      <c r="CE26" s="178"/>
      <c r="CF26" s="178"/>
      <c r="CG26" s="178"/>
      <c r="CH26" s="178"/>
    </row>
    <row r="27" spans="2:86" ht="22.5" customHeight="1">
      <c r="B27" s="819" t="s">
        <v>790</v>
      </c>
      <c r="C27" s="820"/>
      <c r="D27" s="820"/>
      <c r="E27" s="821"/>
      <c r="F27" s="808" t="s">
        <v>50</v>
      </c>
      <c r="G27" s="809"/>
      <c r="H27" s="809"/>
      <c r="I27" s="810"/>
      <c r="J27" s="798"/>
      <c r="K27" s="799"/>
      <c r="L27" s="800"/>
      <c r="M27" s="801"/>
      <c r="N27" s="802"/>
      <c r="O27" s="803"/>
      <c r="P27" s="801"/>
      <c r="Q27" s="802"/>
      <c r="R27" s="803"/>
      <c r="S27" s="804"/>
      <c r="T27" s="790"/>
      <c r="U27" s="805"/>
      <c r="V27" s="789"/>
      <c r="W27" s="790"/>
      <c r="X27" s="791"/>
      <c r="Y27" s="804"/>
      <c r="Z27" s="790"/>
      <c r="AA27" s="791"/>
      <c r="AB27" s="167"/>
      <c r="AC27" s="324" t="s">
        <v>117</v>
      </c>
      <c r="AD27" s="467"/>
      <c r="AE27" s="468">
        <v>11</v>
      </c>
      <c r="AF27" s="469"/>
      <c r="AG27" s="469">
        <v>2</v>
      </c>
      <c r="AH27" s="489"/>
      <c r="AI27" s="482"/>
      <c r="AJ27" s="469"/>
      <c r="AK27" s="469"/>
      <c r="AL27" s="488"/>
      <c r="AM27" s="468"/>
      <c r="AN27" s="469"/>
      <c r="AO27" s="469"/>
      <c r="AP27" s="489"/>
      <c r="AQ27" s="482"/>
      <c r="AR27" s="469"/>
      <c r="AS27" s="469"/>
      <c r="AT27" s="488"/>
      <c r="AU27" s="468"/>
      <c r="AV27" s="469"/>
      <c r="AW27" s="469"/>
      <c r="AX27" s="489"/>
      <c r="AY27" s="482"/>
      <c r="AZ27" s="469"/>
      <c r="BA27" s="469"/>
      <c r="BB27" s="489"/>
      <c r="BE27" s="187">
        <v>25</v>
      </c>
      <c r="BF27" s="317"/>
      <c r="BG27" s="317"/>
      <c r="BH27" s="317"/>
      <c r="BI27" s="317"/>
      <c r="BJ27" s="317"/>
      <c r="BK27" s="318"/>
      <c r="BL27" s="215"/>
      <c r="BM27" s="209"/>
      <c r="BN27" s="209"/>
      <c r="BO27" s="209"/>
      <c r="BP27" s="209"/>
      <c r="BQ27" s="210"/>
      <c r="BR27" s="319"/>
      <c r="BS27" s="317"/>
      <c r="BT27" s="317"/>
      <c r="BU27" s="320"/>
      <c r="BW27" s="285" t="b">
        <v>0</v>
      </c>
      <c r="BX27" s="178" t="s">
        <v>90</v>
      </c>
      <c r="BY27" s="178"/>
      <c r="BZ27" s="178"/>
      <c r="CA27" s="194"/>
      <c r="CB27" s="193"/>
      <c r="CC27" s="178"/>
      <c r="CD27" s="178"/>
      <c r="CE27" s="178"/>
      <c r="CF27" s="178"/>
      <c r="CG27" s="178"/>
      <c r="CH27" s="178"/>
    </row>
    <row r="28" spans="2:86" ht="22.5" customHeight="1">
      <c r="B28" s="822"/>
      <c r="C28" s="823"/>
      <c r="D28" s="823"/>
      <c r="E28" s="824"/>
      <c r="F28" s="808" t="s">
        <v>50</v>
      </c>
      <c r="G28" s="809"/>
      <c r="H28" s="809"/>
      <c r="I28" s="810"/>
      <c r="J28" s="801"/>
      <c r="K28" s="802"/>
      <c r="L28" s="803"/>
      <c r="M28" s="801"/>
      <c r="N28" s="802"/>
      <c r="O28" s="803"/>
      <c r="P28" s="801"/>
      <c r="Q28" s="802"/>
      <c r="R28" s="803"/>
      <c r="S28" s="806"/>
      <c r="T28" s="793"/>
      <c r="U28" s="807"/>
      <c r="V28" s="792"/>
      <c r="W28" s="793"/>
      <c r="X28" s="794"/>
      <c r="Y28" s="806"/>
      <c r="Z28" s="793"/>
      <c r="AA28" s="794"/>
      <c r="AC28" s="486" t="s">
        <v>118</v>
      </c>
      <c r="AD28" s="487"/>
      <c r="AE28" s="427">
        <v>0</v>
      </c>
      <c r="AF28" s="426"/>
      <c r="AG28" s="426">
        <v>0</v>
      </c>
      <c r="AH28" s="428"/>
      <c r="AI28" s="423"/>
      <c r="AJ28" s="426"/>
      <c r="AK28" s="426"/>
      <c r="AL28" s="424"/>
      <c r="AM28" s="427"/>
      <c r="AN28" s="426"/>
      <c r="AO28" s="426"/>
      <c r="AP28" s="428"/>
      <c r="AQ28" s="423"/>
      <c r="AR28" s="426"/>
      <c r="AS28" s="426"/>
      <c r="AT28" s="424"/>
      <c r="AU28" s="427"/>
      <c r="AV28" s="426"/>
      <c r="AW28" s="426"/>
      <c r="AX28" s="428"/>
      <c r="AY28" s="423"/>
      <c r="AZ28" s="426"/>
      <c r="BA28" s="426"/>
      <c r="BB28" s="428"/>
      <c r="BE28" s="187">
        <v>26</v>
      </c>
      <c r="BF28" s="317"/>
      <c r="BG28" s="317"/>
      <c r="BH28" s="317"/>
      <c r="BI28" s="317"/>
      <c r="BJ28" s="317"/>
      <c r="BK28" s="318"/>
      <c r="BL28" s="215"/>
      <c r="BM28" s="209"/>
      <c r="BN28" s="209"/>
      <c r="BO28" s="209"/>
      <c r="BP28" s="209"/>
      <c r="BQ28" s="210"/>
      <c r="BR28" s="319"/>
      <c r="BS28" s="317"/>
      <c r="BT28" s="317"/>
      <c r="BU28" s="320"/>
      <c r="BW28" s="285" t="b">
        <v>0</v>
      </c>
      <c r="BX28" s="192" t="s">
        <v>101</v>
      </c>
      <c r="BY28" s="178"/>
      <c r="BZ28" s="178"/>
      <c r="CA28" s="194"/>
      <c r="CB28" s="193"/>
      <c r="CC28" s="178"/>
      <c r="CD28" s="178"/>
      <c r="CE28" s="178"/>
      <c r="CF28" s="178"/>
      <c r="CG28" s="178"/>
      <c r="CH28" s="178"/>
    </row>
    <row r="29" spans="2:86" ht="22.5" customHeight="1" thickBot="1">
      <c r="B29" s="825"/>
      <c r="C29" s="826"/>
      <c r="D29" s="826"/>
      <c r="E29" s="827"/>
      <c r="F29" s="811" t="s">
        <v>789</v>
      </c>
      <c r="G29" s="812"/>
      <c r="H29" s="812"/>
      <c r="I29" s="813"/>
      <c r="J29" s="795">
        <v>223</v>
      </c>
      <c r="K29" s="796"/>
      <c r="L29" s="797"/>
      <c r="M29" s="795">
        <v>81</v>
      </c>
      <c r="N29" s="796"/>
      <c r="O29" s="797"/>
      <c r="P29" s="795">
        <v>88</v>
      </c>
      <c r="Q29" s="796"/>
      <c r="R29" s="797"/>
      <c r="S29" s="814"/>
      <c r="T29" s="796"/>
      <c r="U29" s="830"/>
      <c r="V29" s="795"/>
      <c r="W29" s="796"/>
      <c r="X29" s="797"/>
      <c r="Y29" s="814"/>
      <c r="Z29" s="796"/>
      <c r="AA29" s="797"/>
      <c r="AC29" s="508" t="s">
        <v>119</v>
      </c>
      <c r="AD29" s="509"/>
      <c r="AE29" s="507">
        <v>1</v>
      </c>
      <c r="AF29" s="499"/>
      <c r="AG29" s="499">
        <v>1</v>
      </c>
      <c r="AH29" s="500"/>
      <c r="AI29" s="505"/>
      <c r="AJ29" s="499"/>
      <c r="AK29" s="499"/>
      <c r="AL29" s="506"/>
      <c r="AM29" s="507"/>
      <c r="AN29" s="499"/>
      <c r="AO29" s="499"/>
      <c r="AP29" s="500"/>
      <c r="AQ29" s="505"/>
      <c r="AR29" s="499"/>
      <c r="AS29" s="499"/>
      <c r="AT29" s="506"/>
      <c r="AU29" s="507"/>
      <c r="AV29" s="499"/>
      <c r="AW29" s="499"/>
      <c r="AX29" s="500"/>
      <c r="AY29" s="505"/>
      <c r="AZ29" s="499"/>
      <c r="BA29" s="499"/>
      <c r="BB29" s="500"/>
      <c r="BE29" s="187">
        <v>27</v>
      </c>
      <c r="BF29" s="317"/>
      <c r="BG29" s="317"/>
      <c r="BH29" s="317"/>
      <c r="BI29" s="317"/>
      <c r="BJ29" s="317"/>
      <c r="BK29" s="318"/>
      <c r="BL29" s="215"/>
      <c r="BM29" s="209"/>
      <c r="BN29" s="209"/>
      <c r="BO29" s="209"/>
      <c r="BP29" s="209"/>
      <c r="BQ29" s="210"/>
      <c r="BR29" s="319"/>
      <c r="BS29" s="317"/>
      <c r="BT29" s="317"/>
      <c r="BU29" s="320"/>
      <c r="BW29" s="285" t="b">
        <v>0</v>
      </c>
      <c r="BX29" s="192" t="s">
        <v>83</v>
      </c>
      <c r="BY29" s="178"/>
      <c r="BZ29" s="178"/>
      <c r="CA29" s="178"/>
      <c r="CB29" s="178"/>
      <c r="CC29" s="178"/>
      <c r="CD29" s="178"/>
      <c r="CE29" s="178"/>
      <c r="CF29" s="178"/>
      <c r="CG29" s="178"/>
      <c r="CH29" s="178"/>
    </row>
    <row r="30" spans="2:86" ht="22.5" customHeight="1" thickTop="1" thickBot="1">
      <c r="B30" s="818" t="s">
        <v>788</v>
      </c>
      <c r="C30" s="818"/>
      <c r="D30" s="818"/>
      <c r="E30" s="818"/>
      <c r="F30" s="439" t="s">
        <v>785</v>
      </c>
      <c r="G30" s="440"/>
      <c r="H30" s="440"/>
      <c r="I30" s="441"/>
      <c r="J30" s="792">
        <v>144</v>
      </c>
      <c r="K30" s="793"/>
      <c r="L30" s="794"/>
      <c r="M30" s="806">
        <v>236</v>
      </c>
      <c r="N30" s="793"/>
      <c r="O30" s="807"/>
      <c r="P30" s="792">
        <v>256</v>
      </c>
      <c r="Q30" s="793"/>
      <c r="R30" s="794"/>
      <c r="S30" s="806"/>
      <c r="T30" s="793"/>
      <c r="U30" s="807"/>
      <c r="V30" s="792"/>
      <c r="W30" s="793"/>
      <c r="X30" s="794"/>
      <c r="Y30" s="806"/>
      <c r="Z30" s="793"/>
      <c r="AA30" s="794"/>
      <c r="AC30" s="501" t="s">
        <v>108</v>
      </c>
      <c r="AD30" s="502"/>
      <c r="AE30" s="497">
        <f>IF(SUM(AE27:AE29)=0,"",SUM(AE27:AE29))</f>
        <v>12</v>
      </c>
      <c r="AF30" s="495"/>
      <c r="AG30" s="495">
        <f>IF(SUM(AG27:AG29)=0,"",SUM(AG27:AG29))</f>
        <v>3</v>
      </c>
      <c r="AH30" s="498"/>
      <c r="AI30" s="497" t="str">
        <f>IF(SUM(AI27:AI29)=0,"",SUM(AI27:AI29))</f>
        <v/>
      </c>
      <c r="AJ30" s="495"/>
      <c r="AK30" s="495" t="str">
        <f>IF(SUM(AK27:AK29)=0,"",SUM(AK27:AK29))</f>
        <v/>
      </c>
      <c r="AL30" s="498"/>
      <c r="AM30" s="497" t="str">
        <f>IF(SUM(AM27:AM29)=0,"",SUM(AM27:AM29))</f>
        <v/>
      </c>
      <c r="AN30" s="495"/>
      <c r="AO30" s="495" t="str">
        <f>IF(SUM(AO27:AO29)=0,"",SUM(AO27:AO29))</f>
        <v/>
      </c>
      <c r="AP30" s="498"/>
      <c r="AQ30" s="494" t="str">
        <f>IF(SUM(AQ27:AQ29)=0,"",SUM(AQ27:AQ29))</f>
        <v/>
      </c>
      <c r="AR30" s="495"/>
      <c r="AS30" s="495" t="str">
        <f>IF(SUM(AS27:AS29)=0,"",SUM(AS27:AS29))</f>
        <v/>
      </c>
      <c r="AT30" s="496"/>
      <c r="AU30" s="497" t="str">
        <f>IF(SUM(AU27:AU29)=0,"",SUM(AU27:AU29))</f>
        <v/>
      </c>
      <c r="AV30" s="495"/>
      <c r="AW30" s="495" t="str">
        <f>IF(SUM(AW27:AW29)=0,"",SUM(AW27:AW29))</f>
        <v/>
      </c>
      <c r="AX30" s="498"/>
      <c r="AY30" s="494" t="str">
        <f>IF(SUM(AY27:AY29)=0,"",SUM(AY27:AY29))</f>
        <v/>
      </c>
      <c r="AZ30" s="495"/>
      <c r="BA30" s="495" t="str">
        <f>IF(SUM(BA27:BA29)=0,"",SUM(BA27:BA29))</f>
        <v/>
      </c>
      <c r="BB30" s="498"/>
      <c r="BE30" s="187">
        <v>28</v>
      </c>
      <c r="BF30" s="317"/>
      <c r="BG30" s="317"/>
      <c r="BH30" s="317"/>
      <c r="BI30" s="317"/>
      <c r="BJ30" s="317"/>
      <c r="BK30" s="318"/>
      <c r="BL30" s="215"/>
      <c r="BM30" s="209"/>
      <c r="BN30" s="209"/>
      <c r="BO30" s="209"/>
      <c r="BP30" s="209"/>
      <c r="BQ30" s="210"/>
      <c r="BR30" s="319"/>
      <c r="BS30" s="317"/>
      <c r="BT30" s="317"/>
      <c r="BU30" s="320"/>
      <c r="BW30" s="285" t="b">
        <v>0</v>
      </c>
      <c r="BX30" s="192" t="s">
        <v>84</v>
      </c>
      <c r="BY30" s="195"/>
      <c r="BZ30" s="196"/>
      <c r="CA30" s="196"/>
      <c r="CB30" s="196"/>
      <c r="CC30" s="196"/>
      <c r="CD30" s="196"/>
      <c r="CE30" s="196"/>
      <c r="CF30" s="196"/>
      <c r="CG30" s="196"/>
      <c r="CH30" s="178"/>
    </row>
    <row r="31" spans="2:86" ht="22.5" customHeight="1" thickBot="1">
      <c r="B31" s="818"/>
      <c r="C31" s="818"/>
      <c r="D31" s="818"/>
      <c r="E31" s="818"/>
      <c r="F31" s="443" t="s">
        <v>786</v>
      </c>
      <c r="G31" s="444"/>
      <c r="H31" s="444"/>
      <c r="I31" s="445"/>
      <c r="J31" s="828">
        <v>0</v>
      </c>
      <c r="K31" s="816"/>
      <c r="L31" s="817"/>
      <c r="M31" s="815"/>
      <c r="N31" s="816"/>
      <c r="O31" s="829"/>
      <c r="P31" s="828"/>
      <c r="Q31" s="816"/>
      <c r="R31" s="817"/>
      <c r="S31" s="815"/>
      <c r="T31" s="816"/>
      <c r="U31" s="829"/>
      <c r="V31" s="828"/>
      <c r="W31" s="816"/>
      <c r="X31" s="817"/>
      <c r="Y31" s="815"/>
      <c r="Z31" s="816"/>
      <c r="AA31" s="817"/>
      <c r="AC31" s="550" t="s">
        <v>122</v>
      </c>
      <c r="AD31" s="551"/>
      <c r="AE31" s="536">
        <f>IFERROR(AG30/AE30,"")</f>
        <v>0.25</v>
      </c>
      <c r="AF31" s="537"/>
      <c r="AG31" s="537"/>
      <c r="AH31" s="538"/>
      <c r="AI31" s="539" t="str">
        <f>IFERROR(AK30/AI30,"")</f>
        <v/>
      </c>
      <c r="AJ31" s="537"/>
      <c r="AK31" s="537"/>
      <c r="AL31" s="540"/>
      <c r="AM31" s="536" t="str">
        <f t="shared" ref="AM31" si="20">IFERROR(AO30/AM30,"")</f>
        <v/>
      </c>
      <c r="AN31" s="537"/>
      <c r="AO31" s="537"/>
      <c r="AP31" s="538"/>
      <c r="AQ31" s="539" t="str">
        <f>IFERROR(AS30/AQ30,"")</f>
        <v/>
      </c>
      <c r="AR31" s="537"/>
      <c r="AS31" s="537"/>
      <c r="AT31" s="540"/>
      <c r="AU31" s="536" t="str">
        <f t="shared" ref="AU31" si="21">IFERROR(AW30/AU30,"")</f>
        <v/>
      </c>
      <c r="AV31" s="537"/>
      <c r="AW31" s="537"/>
      <c r="AX31" s="538"/>
      <c r="AY31" s="539" t="str">
        <f t="shared" ref="AY31" si="22">IFERROR(BA30/AY30,"")</f>
        <v/>
      </c>
      <c r="AZ31" s="537"/>
      <c r="BA31" s="537"/>
      <c r="BB31" s="538"/>
      <c r="BE31" s="187">
        <v>29</v>
      </c>
      <c r="BF31" s="317"/>
      <c r="BG31" s="317"/>
      <c r="BH31" s="317"/>
      <c r="BI31" s="317"/>
      <c r="BJ31" s="317"/>
      <c r="BK31" s="318"/>
      <c r="BL31" s="215"/>
      <c r="BM31" s="209"/>
      <c r="BN31" s="209"/>
      <c r="BO31" s="209"/>
      <c r="BP31" s="209"/>
      <c r="BQ31" s="210"/>
      <c r="BR31" s="319"/>
      <c r="BS31" s="317"/>
      <c r="BT31" s="317"/>
      <c r="BU31" s="320"/>
      <c r="BW31" s="285" t="b">
        <v>0</v>
      </c>
      <c r="BX31" s="192" t="s">
        <v>85</v>
      </c>
      <c r="BY31" s="195"/>
      <c r="BZ31" s="196"/>
      <c r="CA31" s="196"/>
      <c r="CB31" s="196"/>
      <c r="CC31" s="196"/>
      <c r="CD31" s="196"/>
      <c r="CE31" s="196"/>
      <c r="CF31" s="196"/>
      <c r="CG31" s="196"/>
      <c r="CH31" s="178"/>
    </row>
    <row r="32" spans="2:86" ht="22.5" customHeight="1" thickTop="1">
      <c r="B32" s="257"/>
      <c r="C32" s="258"/>
      <c r="D32" s="258"/>
      <c r="E32" s="259"/>
      <c r="F32" s="418"/>
      <c r="G32" s="419"/>
      <c r="H32" s="419"/>
      <c r="I32" s="420"/>
      <c r="J32" s="462"/>
      <c r="K32" s="463"/>
      <c r="L32" s="464"/>
      <c r="M32" s="462"/>
      <c r="N32" s="463"/>
      <c r="O32" s="464"/>
      <c r="P32" s="462"/>
      <c r="Q32" s="463"/>
      <c r="R32" s="464"/>
      <c r="S32" s="462"/>
      <c r="T32" s="463"/>
      <c r="U32" s="464"/>
      <c r="V32" s="462"/>
      <c r="W32" s="463"/>
      <c r="X32" s="464"/>
      <c r="Y32" s="462"/>
      <c r="Z32" s="463"/>
      <c r="AA32" s="464"/>
      <c r="AC32" s="486" t="s">
        <v>124</v>
      </c>
      <c r="AD32" s="487"/>
      <c r="AE32" s="580">
        <v>3</v>
      </c>
      <c r="AF32" s="581"/>
      <c r="AG32" s="581"/>
      <c r="AH32" s="582"/>
      <c r="AI32" s="583"/>
      <c r="AJ32" s="581"/>
      <c r="AK32" s="581"/>
      <c r="AL32" s="584"/>
      <c r="AM32" s="580"/>
      <c r="AN32" s="581"/>
      <c r="AO32" s="581"/>
      <c r="AP32" s="582"/>
      <c r="AQ32" s="583"/>
      <c r="AR32" s="581"/>
      <c r="AS32" s="581"/>
      <c r="AT32" s="584"/>
      <c r="AU32" s="580"/>
      <c r="AV32" s="581"/>
      <c r="AW32" s="581"/>
      <c r="AX32" s="582"/>
      <c r="AY32" s="583"/>
      <c r="AZ32" s="581"/>
      <c r="BA32" s="581"/>
      <c r="BB32" s="582"/>
      <c r="BE32" s="188">
        <v>30</v>
      </c>
      <c r="BF32" s="534"/>
      <c r="BG32" s="534"/>
      <c r="BH32" s="534"/>
      <c r="BI32" s="534"/>
      <c r="BJ32" s="534"/>
      <c r="BK32" s="742"/>
      <c r="BL32" s="216"/>
      <c r="BM32" s="213"/>
      <c r="BN32" s="213"/>
      <c r="BO32" s="213"/>
      <c r="BP32" s="213"/>
      <c r="BQ32" s="214"/>
      <c r="BR32" s="707"/>
      <c r="BS32" s="534"/>
      <c r="BT32" s="534"/>
      <c r="BU32" s="535"/>
      <c r="BW32" s="285" t="b">
        <v>0</v>
      </c>
      <c r="BX32" s="178" t="s">
        <v>65</v>
      </c>
      <c r="BY32" s="195"/>
      <c r="BZ32" s="196"/>
      <c r="CA32" s="196"/>
      <c r="CB32" s="196"/>
      <c r="CC32" s="196"/>
      <c r="CD32" s="196"/>
      <c r="CE32" s="196"/>
      <c r="CF32" s="196"/>
      <c r="CG32" s="196"/>
      <c r="CH32" s="178"/>
    </row>
    <row r="33" spans="2:87" ht="22.5" customHeight="1">
      <c r="B33" s="178"/>
      <c r="C33" s="178"/>
      <c r="D33" s="178"/>
      <c r="E33" s="178"/>
      <c r="F33" s="178"/>
      <c r="G33" s="588"/>
      <c r="H33" s="588"/>
      <c r="I33" s="588"/>
      <c r="J33" s="588"/>
      <c r="K33" s="588"/>
      <c r="L33" s="588"/>
      <c r="M33" s="588"/>
      <c r="N33" s="588"/>
      <c r="O33" s="588"/>
      <c r="P33" s="588"/>
      <c r="Q33" s="588"/>
      <c r="R33" s="588"/>
      <c r="S33" s="588"/>
      <c r="T33" s="588"/>
      <c r="U33" s="588"/>
      <c r="V33" s="588"/>
      <c r="W33" s="588"/>
      <c r="X33" s="588"/>
      <c r="AC33" s="575" t="s">
        <v>123</v>
      </c>
      <c r="AD33" s="576"/>
      <c r="AE33" s="552">
        <f>IFERROR(AE32/AG30,"")</f>
        <v>1</v>
      </c>
      <c r="AF33" s="553"/>
      <c r="AG33" s="553"/>
      <c r="AH33" s="554"/>
      <c r="AI33" s="552" t="str">
        <f>IFERROR(AI32/AK30,"")</f>
        <v/>
      </c>
      <c r="AJ33" s="553"/>
      <c r="AK33" s="553"/>
      <c r="AL33" s="554"/>
      <c r="AM33" s="552" t="str">
        <f>IFERROR(AM32/AO30,"")</f>
        <v/>
      </c>
      <c r="AN33" s="553"/>
      <c r="AO33" s="553"/>
      <c r="AP33" s="554"/>
      <c r="AQ33" s="552" t="str">
        <f>IFERROR(AQ32/AS30,"")</f>
        <v/>
      </c>
      <c r="AR33" s="553"/>
      <c r="AS33" s="553"/>
      <c r="AT33" s="554"/>
      <c r="AU33" s="552" t="str">
        <f>IFERROR(AU32/AW30,"")</f>
        <v/>
      </c>
      <c r="AV33" s="553"/>
      <c r="AW33" s="553"/>
      <c r="AX33" s="554"/>
      <c r="AY33" s="552" t="str">
        <f>IFERROR(AY32/BA30,"")</f>
        <v/>
      </c>
      <c r="AZ33" s="553"/>
      <c r="BA33" s="553"/>
      <c r="BB33" s="554"/>
      <c r="BL33" s="589" t="s">
        <v>125</v>
      </c>
      <c r="BM33" s="590"/>
      <c r="BN33" s="591"/>
      <c r="BO33" s="555" t="str">
        <f>IF(COUNTA(BH3:BH32)=0,"",
IF(COUNTIF(BN3:BN32,"完")/COUNTA(BH3:BH32)&gt;=0.8,"A",
IF(COUNTIF(BN3:BN32,"完")/COUNTA(BH3:BH32)&gt;=0.5,"B",
IF(COUNTIF(BN3:BN32,"完")/COUNTA(BH3:BH32)&gt;=0.3,"C",
IF(COUNTIF(BN3:BN32,"完")/COUNTA(BH3:BH32)&gt;=0.1,"D","E")))))</f>
        <v>D</v>
      </c>
      <c r="BP33" s="556"/>
      <c r="BQ33" s="556"/>
      <c r="BR33" s="557"/>
      <c r="BS33" s="561">
        <f>IF(COUNTA(BH3:BH32)=0,"",COUNTIF(BN3:BN32,"完")/COUNTA(BH3:BH32))</f>
        <v>0.15789473684210525</v>
      </c>
      <c r="BT33" s="562"/>
      <c r="BU33" s="563"/>
      <c r="BW33" s="285" t="b">
        <v>0</v>
      </c>
      <c r="BX33" s="178" t="s">
        <v>96</v>
      </c>
      <c r="BY33" s="178"/>
      <c r="BZ33" s="178"/>
      <c r="CA33" s="178"/>
      <c r="CB33" s="178"/>
      <c r="CC33" s="178"/>
      <c r="CD33" s="196"/>
      <c r="CE33" s="196"/>
      <c r="CF33" s="196"/>
      <c r="CG33" s="196"/>
      <c r="CH33" s="178"/>
    </row>
    <row r="34" spans="2:87" ht="22.5" customHeight="1">
      <c r="B34" s="894"/>
      <c r="C34" s="894"/>
      <c r="D34" s="894"/>
      <c r="E34" s="894"/>
      <c r="F34" s="235"/>
      <c r="AE34" s="256"/>
      <c r="AF34" s="256"/>
      <c r="AG34" s="256"/>
      <c r="AH34" s="256"/>
      <c r="AI34" s="256"/>
      <c r="AJ34" s="256"/>
      <c r="BL34" s="592"/>
      <c r="BM34" s="593"/>
      <c r="BN34" s="594"/>
      <c r="BO34" s="558"/>
      <c r="BP34" s="559"/>
      <c r="BQ34" s="559"/>
      <c r="BR34" s="560"/>
      <c r="BS34" s="564"/>
      <c r="BT34" s="565"/>
      <c r="BU34" s="566"/>
      <c r="BY34" s="178"/>
      <c r="BZ34" s="178"/>
      <c r="CA34" s="178"/>
      <c r="CB34" s="178"/>
      <c r="CC34" s="178"/>
      <c r="CD34" s="178"/>
      <c r="CE34" s="178"/>
      <c r="CF34" s="178"/>
      <c r="CG34" s="196"/>
      <c r="CH34" s="196"/>
      <c r="CI34" s="178"/>
    </row>
    <row r="35" spans="2:87" ht="22.5" customHeight="1">
      <c r="AE35" s="256"/>
      <c r="AF35" s="256"/>
      <c r="AG35" s="256"/>
      <c r="AH35" s="256"/>
      <c r="AI35" s="256"/>
      <c r="AJ35" s="256"/>
      <c r="AL35" s="160" t="s">
        <v>59</v>
      </c>
      <c r="BW35" s="181" t="s">
        <v>950</v>
      </c>
      <c r="BX35" s="179"/>
      <c r="BY35" s="179"/>
      <c r="BZ35" s="179"/>
      <c r="CA35" s="179"/>
      <c r="CB35" s="179"/>
      <c r="CC35" s="179"/>
      <c r="CD35" s="179"/>
      <c r="CE35" s="179"/>
      <c r="CF35" s="186"/>
      <c r="CG35" s="186"/>
      <c r="CH35" s="179"/>
    </row>
    <row r="36" spans="2:87" ht="22.5" customHeight="1">
      <c r="AL36" s="182" t="s">
        <v>247</v>
      </c>
      <c r="AM36" s="182"/>
      <c r="AN36" s="182"/>
      <c r="AO36" s="182"/>
      <c r="AP36" s="182"/>
      <c r="AQ36" s="182"/>
      <c r="AR36" s="183"/>
      <c r="AS36" s="183"/>
      <c r="AT36" s="183"/>
      <c r="AU36" s="183"/>
      <c r="AV36" s="183"/>
      <c r="AW36" s="183"/>
      <c r="AX36" s="183"/>
      <c r="AY36" s="179"/>
      <c r="AZ36" s="179"/>
      <c r="BA36" s="179"/>
      <c r="BB36" s="179"/>
      <c r="BC36" s="179"/>
      <c r="BD36" s="179"/>
      <c r="BE36" s="179"/>
      <c r="BF36" s="179"/>
      <c r="BG36" s="179"/>
      <c r="BH36" s="179"/>
      <c r="BI36" s="179"/>
      <c r="BK36" s="406" t="s">
        <v>244</v>
      </c>
      <c r="BL36" s="406"/>
      <c r="BM36" s="406"/>
      <c r="BN36" s="406"/>
      <c r="BO36" s="406"/>
      <c r="BP36" s="406"/>
      <c r="BQ36" s="406" t="s">
        <v>64</v>
      </c>
      <c r="BR36" s="406"/>
      <c r="BS36" s="406"/>
      <c r="BT36" s="406"/>
      <c r="BU36" s="406"/>
      <c r="BW36" s="285" t="b">
        <v>0</v>
      </c>
      <c r="BX36" s="192" t="s">
        <v>102</v>
      </c>
      <c r="BY36" s="178"/>
      <c r="BZ36" s="178"/>
      <c r="CA36" s="178"/>
      <c r="CB36" s="178"/>
      <c r="CC36" s="178"/>
      <c r="CD36" s="196"/>
      <c r="CE36" s="196"/>
      <c r="CF36" s="196"/>
      <c r="CG36" s="196"/>
      <c r="CH36" s="178"/>
    </row>
    <row r="37" spans="2:87" ht="22.5" customHeight="1">
      <c r="B37" s="567" t="s">
        <v>38</v>
      </c>
      <c r="C37" s="568"/>
      <c r="D37" s="568"/>
      <c r="E37" s="568"/>
      <c r="F37" s="568"/>
      <c r="G37" s="568"/>
      <c r="H37" s="568"/>
      <c r="I37" s="568"/>
      <c r="J37" s="568"/>
      <c r="K37" s="568"/>
      <c r="L37" s="568"/>
      <c r="M37" s="568"/>
      <c r="N37" s="568"/>
      <c r="O37" s="568"/>
      <c r="P37" s="568"/>
      <c r="Q37" s="568"/>
      <c r="R37" s="568"/>
      <c r="S37" s="568"/>
      <c r="T37" s="568"/>
      <c r="U37" s="569"/>
      <c r="V37" s="570">
        <f>IF(COUNT(J39:J68)=0,"",AVERAGE(J39:J68))</f>
        <v>3.95</v>
      </c>
      <c r="W37" s="571"/>
      <c r="X37" s="572"/>
      <c r="Y37" s="573" t="s">
        <v>39</v>
      </c>
      <c r="Z37" s="568"/>
      <c r="AA37" s="568"/>
      <c r="AB37" s="568"/>
      <c r="AC37" s="568"/>
      <c r="AD37" s="568"/>
      <c r="AE37" s="568"/>
      <c r="AF37" s="568"/>
      <c r="AG37" s="569"/>
      <c r="AH37" s="574" t="s">
        <v>736</v>
      </c>
      <c r="AI37" s="436"/>
      <c r="AJ37" s="438"/>
      <c r="AL37" s="600" t="s">
        <v>27</v>
      </c>
      <c r="AM37" s="600"/>
      <c r="AN37" s="600" t="s">
        <v>58</v>
      </c>
      <c r="AO37" s="600"/>
      <c r="AP37" s="600" t="s">
        <v>14</v>
      </c>
      <c r="AQ37" s="600"/>
      <c r="AR37" s="600" t="s">
        <v>22</v>
      </c>
      <c r="AS37" s="600"/>
      <c r="AT37" s="600" t="s">
        <v>1</v>
      </c>
      <c r="AU37" s="600"/>
      <c r="AV37" s="600" t="s">
        <v>18</v>
      </c>
      <c r="AW37" s="600"/>
      <c r="AX37" s="600" t="s">
        <v>28</v>
      </c>
      <c r="AY37" s="600"/>
      <c r="AZ37" s="600" t="s">
        <v>24</v>
      </c>
      <c r="BA37" s="600"/>
      <c r="BB37" s="600" t="s">
        <v>16</v>
      </c>
      <c r="BC37" s="600"/>
      <c r="BD37" s="600" t="s">
        <v>67</v>
      </c>
      <c r="BE37" s="600"/>
      <c r="BF37" s="600" t="s">
        <v>20</v>
      </c>
      <c r="BG37" s="600"/>
      <c r="BH37" s="600" t="s">
        <v>68</v>
      </c>
      <c r="BI37" s="600"/>
      <c r="BK37" s="601"/>
      <c r="BL37" s="601"/>
      <c r="BM37" s="601"/>
      <c r="BN37" s="601"/>
      <c r="BO37" s="601"/>
      <c r="BP37" s="601"/>
      <c r="BQ37" s="602" t="b">
        <v>0</v>
      </c>
      <c r="BR37" s="603"/>
      <c r="BS37" s="603"/>
      <c r="BT37" s="603"/>
      <c r="BU37" s="604"/>
      <c r="BV37" s="170"/>
      <c r="BW37" s="285" t="b">
        <v>0</v>
      </c>
      <c r="BX37" s="192" t="s">
        <v>86</v>
      </c>
      <c r="BY37" s="178"/>
      <c r="BZ37" s="178"/>
      <c r="CA37" s="178"/>
      <c r="CB37" s="178"/>
      <c r="CC37" s="178"/>
      <c r="CD37" s="196"/>
      <c r="CE37" s="196"/>
      <c r="CF37" s="196"/>
      <c r="CG37" s="196"/>
      <c r="CH37" s="178"/>
    </row>
    <row r="38" spans="2:87" ht="22.5" customHeight="1">
      <c r="B38" s="458" t="s">
        <v>41</v>
      </c>
      <c r="C38" s="459"/>
      <c r="D38" s="459"/>
      <c r="E38" s="459"/>
      <c r="F38" s="459"/>
      <c r="G38" s="459"/>
      <c r="H38" s="459"/>
      <c r="I38" s="459"/>
      <c r="J38" s="459" t="s">
        <v>42</v>
      </c>
      <c r="K38" s="459"/>
      <c r="L38" s="459" t="s">
        <v>43</v>
      </c>
      <c r="M38" s="459"/>
      <c r="N38" s="459"/>
      <c r="O38" s="459"/>
      <c r="P38" s="459"/>
      <c r="Q38" s="459"/>
      <c r="R38" s="459"/>
      <c r="S38" s="459" t="s">
        <v>44</v>
      </c>
      <c r="T38" s="459"/>
      <c r="U38" s="459"/>
      <c r="V38" s="459"/>
      <c r="W38" s="459"/>
      <c r="X38" s="460"/>
      <c r="Y38" s="598" t="s">
        <v>45</v>
      </c>
      <c r="Z38" s="599"/>
      <c r="AA38" s="599"/>
      <c r="AB38" s="599"/>
      <c r="AC38" s="599"/>
      <c r="AD38" s="459" t="s">
        <v>260</v>
      </c>
      <c r="AE38" s="459"/>
      <c r="AF38" s="459" t="s">
        <v>46</v>
      </c>
      <c r="AG38" s="459"/>
      <c r="AH38" s="459"/>
      <c r="AI38" s="459"/>
      <c r="AJ38" s="460"/>
      <c r="AL38" s="330">
        <v>0</v>
      </c>
      <c r="AM38" s="330"/>
      <c r="AN38" s="330">
        <v>0</v>
      </c>
      <c r="AO38" s="330"/>
      <c r="AP38" s="330">
        <v>0</v>
      </c>
      <c r="AQ38" s="330"/>
      <c r="AR38" s="330"/>
      <c r="AS38" s="330"/>
      <c r="AT38" s="330"/>
      <c r="AU38" s="330"/>
      <c r="AV38" s="330"/>
      <c r="AW38" s="330"/>
      <c r="AX38" s="330"/>
      <c r="AY38" s="330"/>
      <c r="AZ38" s="330"/>
      <c r="BA38" s="330"/>
      <c r="BB38" s="330"/>
      <c r="BC38" s="330"/>
      <c r="BD38" s="330"/>
      <c r="BE38" s="330"/>
      <c r="BF38" s="330"/>
      <c r="BG38" s="330"/>
      <c r="BH38" s="330">
        <v>22</v>
      </c>
      <c r="BI38" s="330"/>
      <c r="BK38" s="605"/>
      <c r="BL38" s="605"/>
      <c r="BM38" s="605"/>
      <c r="BN38" s="605"/>
      <c r="BO38" s="605"/>
      <c r="BP38" s="605"/>
      <c r="BQ38" s="609" t="b">
        <v>0</v>
      </c>
      <c r="BR38" s="610"/>
      <c r="BS38" s="610"/>
      <c r="BT38" s="610"/>
      <c r="BU38" s="611"/>
      <c r="BV38" s="170"/>
      <c r="BW38" s="285" t="b">
        <v>0</v>
      </c>
      <c r="BX38" s="192" t="s">
        <v>87</v>
      </c>
      <c r="BY38" s="178"/>
      <c r="BZ38" s="178"/>
      <c r="CA38" s="178"/>
      <c r="CB38" s="178"/>
      <c r="CC38" s="178"/>
      <c r="CD38" s="196"/>
      <c r="CE38" s="196"/>
      <c r="CF38" s="196"/>
      <c r="CG38" s="196"/>
      <c r="CH38" s="178"/>
    </row>
    <row r="39" spans="2:87" ht="22.5" customHeight="1">
      <c r="B39" s="324">
        <v>101</v>
      </c>
      <c r="C39" s="325"/>
      <c r="D39" s="531" t="s">
        <v>542</v>
      </c>
      <c r="E39" s="531"/>
      <c r="F39" s="531"/>
      <c r="G39" s="531"/>
      <c r="H39" s="531"/>
      <c r="I39" s="531"/>
      <c r="J39" s="469">
        <v>3</v>
      </c>
      <c r="K39" s="469"/>
      <c r="L39" s="595"/>
      <c r="M39" s="595"/>
      <c r="N39" s="595"/>
      <c r="O39" s="595"/>
      <c r="P39" s="595"/>
      <c r="Q39" s="595"/>
      <c r="R39" s="595"/>
      <c r="S39" s="208"/>
      <c r="T39" s="595"/>
      <c r="U39" s="595"/>
      <c r="V39" s="595"/>
      <c r="W39" s="595"/>
      <c r="X39" s="596"/>
      <c r="Y39" s="597"/>
      <c r="Z39" s="531"/>
      <c r="AA39" s="531"/>
      <c r="AB39" s="531"/>
      <c r="AC39" s="531"/>
      <c r="AD39" s="531"/>
      <c r="AE39" s="531"/>
      <c r="AF39" s="531"/>
      <c r="AG39" s="531"/>
      <c r="AH39" s="531"/>
      <c r="AI39" s="531"/>
      <c r="AJ39" s="532"/>
      <c r="BK39" s="605"/>
      <c r="BL39" s="605"/>
      <c r="BM39" s="605"/>
      <c r="BN39" s="605"/>
      <c r="BO39" s="605"/>
      <c r="BP39" s="605"/>
      <c r="BQ39" s="609" t="b">
        <v>0</v>
      </c>
      <c r="BR39" s="610"/>
      <c r="BS39" s="610"/>
      <c r="BT39" s="610"/>
      <c r="BU39" s="611"/>
      <c r="BW39" s="285" t="b">
        <v>0</v>
      </c>
      <c r="BX39" s="192" t="s">
        <v>88</v>
      </c>
      <c r="BY39" s="178"/>
      <c r="BZ39" s="178"/>
      <c r="CA39" s="178"/>
      <c r="CB39" s="178"/>
      <c r="CC39" s="178"/>
      <c r="CD39" s="196"/>
      <c r="CE39" s="196"/>
      <c r="CF39" s="196"/>
      <c r="CG39" s="196"/>
      <c r="CH39" s="178"/>
    </row>
    <row r="40" spans="2:87" ht="22.5" customHeight="1">
      <c r="B40" s="486">
        <v>102</v>
      </c>
      <c r="C40" s="606"/>
      <c r="D40" s="317" t="s">
        <v>543</v>
      </c>
      <c r="E40" s="317"/>
      <c r="F40" s="317"/>
      <c r="G40" s="317"/>
      <c r="H40" s="317"/>
      <c r="I40" s="317"/>
      <c r="J40" s="426">
        <v>3</v>
      </c>
      <c r="K40" s="426"/>
      <c r="L40" s="607"/>
      <c r="M40" s="607"/>
      <c r="N40" s="607"/>
      <c r="O40" s="607"/>
      <c r="P40" s="607"/>
      <c r="Q40" s="607"/>
      <c r="R40" s="607"/>
      <c r="S40" s="209"/>
      <c r="T40" s="607"/>
      <c r="U40" s="607"/>
      <c r="V40" s="607"/>
      <c r="W40" s="607"/>
      <c r="X40" s="608"/>
      <c r="Y40" s="319"/>
      <c r="Z40" s="317"/>
      <c r="AA40" s="317"/>
      <c r="AB40" s="317"/>
      <c r="AC40" s="317"/>
      <c r="AD40" s="317"/>
      <c r="AE40" s="317"/>
      <c r="AF40" s="317"/>
      <c r="AG40" s="317"/>
      <c r="AH40" s="317"/>
      <c r="AI40" s="317"/>
      <c r="AJ40" s="320"/>
      <c r="AL40" s="182" t="s">
        <v>248</v>
      </c>
      <c r="AM40" s="182"/>
      <c r="AN40" s="182"/>
      <c r="AO40" s="182"/>
      <c r="AP40" s="182"/>
      <c r="AQ40" s="182"/>
      <c r="AR40" s="183"/>
      <c r="AS40" s="183"/>
      <c r="AT40" s="183"/>
      <c r="AU40" s="183"/>
      <c r="AV40" s="183"/>
      <c r="AW40" s="183"/>
      <c r="AX40" s="183"/>
      <c r="AY40" s="179"/>
      <c r="AZ40" s="179"/>
      <c r="BA40" s="179"/>
      <c r="BB40" s="179"/>
      <c r="BC40" s="179"/>
      <c r="BD40" s="179"/>
      <c r="BE40" s="179"/>
      <c r="BF40" s="179"/>
      <c r="BG40" s="179"/>
      <c r="BH40" s="179"/>
      <c r="BI40" s="179"/>
      <c r="BK40" s="605"/>
      <c r="BL40" s="605"/>
      <c r="BM40" s="605"/>
      <c r="BN40" s="605"/>
      <c r="BO40" s="605"/>
      <c r="BP40" s="605"/>
      <c r="BQ40" s="609" t="b">
        <v>0</v>
      </c>
      <c r="BR40" s="610"/>
      <c r="BS40" s="610"/>
      <c r="BT40" s="610"/>
      <c r="BU40" s="611"/>
      <c r="BW40" s="285" t="b">
        <v>0</v>
      </c>
      <c r="BX40" s="192" t="s">
        <v>89</v>
      </c>
      <c r="BY40" s="178"/>
      <c r="BZ40" s="178"/>
      <c r="CA40" s="178"/>
      <c r="CB40" s="178"/>
      <c r="CC40" s="178"/>
      <c r="CD40" s="196"/>
      <c r="CE40" s="196"/>
      <c r="CF40" s="196"/>
      <c r="CG40" s="196"/>
      <c r="CH40" s="178"/>
    </row>
    <row r="41" spans="2:87" ht="22.5" customHeight="1">
      <c r="B41" s="486">
        <v>103</v>
      </c>
      <c r="C41" s="606"/>
      <c r="D41" s="317" t="s">
        <v>544</v>
      </c>
      <c r="E41" s="317"/>
      <c r="F41" s="317"/>
      <c r="G41" s="317"/>
      <c r="H41" s="317"/>
      <c r="I41" s="317"/>
      <c r="J41" s="426">
        <v>4</v>
      </c>
      <c r="K41" s="426"/>
      <c r="L41" s="607" t="s">
        <v>923</v>
      </c>
      <c r="M41" s="607"/>
      <c r="N41" s="607"/>
      <c r="O41" s="607"/>
      <c r="P41" s="607"/>
      <c r="Q41" s="607"/>
      <c r="R41" s="607"/>
      <c r="S41" s="209"/>
      <c r="T41" s="607"/>
      <c r="U41" s="607"/>
      <c r="V41" s="607"/>
      <c r="W41" s="607"/>
      <c r="X41" s="608"/>
      <c r="Y41" s="319"/>
      <c r="Z41" s="317"/>
      <c r="AA41" s="317"/>
      <c r="AB41" s="317"/>
      <c r="AC41" s="317"/>
      <c r="AD41" s="317"/>
      <c r="AE41" s="317"/>
      <c r="AF41" s="317"/>
      <c r="AG41" s="317"/>
      <c r="AH41" s="317"/>
      <c r="AI41" s="317"/>
      <c r="AJ41" s="320"/>
      <c r="AL41" s="600" t="s">
        <v>27</v>
      </c>
      <c r="AM41" s="600"/>
      <c r="AN41" s="600" t="s">
        <v>58</v>
      </c>
      <c r="AO41" s="600"/>
      <c r="AP41" s="600" t="s">
        <v>14</v>
      </c>
      <c r="AQ41" s="600"/>
      <c r="AR41" s="600" t="s">
        <v>22</v>
      </c>
      <c r="AS41" s="600"/>
      <c r="AT41" s="600" t="s">
        <v>1</v>
      </c>
      <c r="AU41" s="600"/>
      <c r="AV41" s="600" t="s">
        <v>18</v>
      </c>
      <c r="AW41" s="600"/>
      <c r="AX41" s="600" t="s">
        <v>28</v>
      </c>
      <c r="AY41" s="600"/>
      <c r="AZ41" s="600" t="s">
        <v>24</v>
      </c>
      <c r="BA41" s="600"/>
      <c r="BB41" s="600" t="s">
        <v>16</v>
      </c>
      <c r="BC41" s="600"/>
      <c r="BD41" s="600" t="s">
        <v>67</v>
      </c>
      <c r="BE41" s="600"/>
      <c r="BF41" s="600" t="s">
        <v>20</v>
      </c>
      <c r="BG41" s="600"/>
      <c r="BH41" s="600" t="s">
        <v>68</v>
      </c>
      <c r="BI41" s="600"/>
      <c r="BK41" s="605"/>
      <c r="BL41" s="605"/>
      <c r="BM41" s="605"/>
      <c r="BN41" s="605"/>
      <c r="BO41" s="605"/>
      <c r="BP41" s="605"/>
      <c r="BQ41" s="609" t="b">
        <v>0</v>
      </c>
      <c r="BR41" s="610"/>
      <c r="BS41" s="610"/>
      <c r="BT41" s="610"/>
      <c r="BU41" s="611"/>
      <c r="BW41" s="285" t="b">
        <v>0</v>
      </c>
      <c r="BX41" s="192" t="s">
        <v>103</v>
      </c>
      <c r="BY41" s="178"/>
      <c r="BZ41" s="178"/>
      <c r="CA41" s="178"/>
      <c r="CB41" s="178"/>
      <c r="CC41" s="178"/>
      <c r="CD41" s="196"/>
      <c r="CE41" s="196"/>
      <c r="CF41" s="196"/>
      <c r="CG41" s="196"/>
      <c r="CH41" s="178"/>
    </row>
    <row r="42" spans="2:87" ht="22.5" customHeight="1">
      <c r="B42" s="486">
        <v>104</v>
      </c>
      <c r="C42" s="606"/>
      <c r="D42" s="317" t="s">
        <v>545</v>
      </c>
      <c r="E42" s="317"/>
      <c r="F42" s="317"/>
      <c r="G42" s="317"/>
      <c r="H42" s="317"/>
      <c r="I42" s="317"/>
      <c r="J42" s="426">
        <v>4</v>
      </c>
      <c r="K42" s="426"/>
      <c r="L42" s="607"/>
      <c r="M42" s="607"/>
      <c r="N42" s="607"/>
      <c r="O42" s="607"/>
      <c r="P42" s="607"/>
      <c r="Q42" s="607"/>
      <c r="R42" s="607"/>
      <c r="S42" s="209"/>
      <c r="T42" s="607"/>
      <c r="U42" s="607"/>
      <c r="V42" s="607"/>
      <c r="W42" s="607"/>
      <c r="X42" s="608"/>
      <c r="Y42" s="319"/>
      <c r="Z42" s="317"/>
      <c r="AA42" s="317"/>
      <c r="AB42" s="317"/>
      <c r="AC42" s="317"/>
      <c r="AD42" s="317"/>
      <c r="AE42" s="317"/>
      <c r="AF42" s="317"/>
      <c r="AG42" s="317"/>
      <c r="AH42" s="317"/>
      <c r="AI42" s="317"/>
      <c r="AJ42" s="320"/>
      <c r="AL42" s="330">
        <v>3</v>
      </c>
      <c r="AM42" s="330"/>
      <c r="AN42" s="330">
        <v>1</v>
      </c>
      <c r="AO42" s="330"/>
      <c r="AP42" s="330">
        <v>0</v>
      </c>
      <c r="AQ42" s="330"/>
      <c r="AR42" s="330"/>
      <c r="AS42" s="330"/>
      <c r="AT42" s="330"/>
      <c r="AU42" s="330"/>
      <c r="AV42" s="330"/>
      <c r="AW42" s="330"/>
      <c r="AX42" s="330"/>
      <c r="AY42" s="330"/>
      <c r="AZ42" s="330"/>
      <c r="BA42" s="330"/>
      <c r="BB42" s="330"/>
      <c r="BC42" s="330"/>
      <c r="BD42" s="330"/>
      <c r="BE42" s="330"/>
      <c r="BF42" s="330"/>
      <c r="BG42" s="330"/>
      <c r="BH42" s="330"/>
      <c r="BI42" s="330"/>
      <c r="BK42" s="612"/>
      <c r="BL42" s="612"/>
      <c r="BM42" s="612"/>
      <c r="BN42" s="612"/>
      <c r="BO42" s="612"/>
      <c r="BP42" s="612"/>
      <c r="BQ42" s="613" t="b">
        <v>0</v>
      </c>
      <c r="BR42" s="614"/>
      <c r="BS42" s="614"/>
      <c r="BT42" s="614"/>
      <c r="BU42" s="615"/>
      <c r="BW42" s="285" t="b">
        <v>0</v>
      </c>
      <c r="BX42" s="192" t="s">
        <v>82</v>
      </c>
      <c r="BY42" s="178"/>
      <c r="BZ42" s="178"/>
      <c r="CA42" s="178"/>
      <c r="CB42" s="178"/>
      <c r="CC42" s="178"/>
      <c r="CD42" s="196"/>
      <c r="CE42" s="196"/>
      <c r="CF42" s="196"/>
      <c r="CG42" s="196"/>
      <c r="CH42" s="178"/>
    </row>
    <row r="43" spans="2:87" ht="22.5" customHeight="1">
      <c r="B43" s="486">
        <v>105</v>
      </c>
      <c r="C43" s="606"/>
      <c r="D43" s="317" t="s">
        <v>546</v>
      </c>
      <c r="E43" s="317"/>
      <c r="F43" s="317"/>
      <c r="G43" s="317"/>
      <c r="H43" s="317"/>
      <c r="I43" s="317"/>
      <c r="J43" s="426">
        <v>5</v>
      </c>
      <c r="K43" s="426"/>
      <c r="L43" s="607" t="s">
        <v>941</v>
      </c>
      <c r="M43" s="607"/>
      <c r="N43" s="607"/>
      <c r="O43" s="607"/>
      <c r="P43" s="607"/>
      <c r="Q43" s="607"/>
      <c r="R43" s="607"/>
      <c r="S43" s="209"/>
      <c r="T43" s="607"/>
      <c r="U43" s="607"/>
      <c r="V43" s="607"/>
      <c r="W43" s="607"/>
      <c r="X43" s="608"/>
      <c r="Y43" s="319"/>
      <c r="Z43" s="317"/>
      <c r="AA43" s="317"/>
      <c r="AB43" s="317"/>
      <c r="AC43" s="317"/>
      <c r="AD43" s="317"/>
      <c r="AE43" s="317"/>
      <c r="AF43" s="317"/>
      <c r="AG43" s="317"/>
      <c r="AH43" s="317"/>
      <c r="AI43" s="317"/>
      <c r="AJ43" s="320"/>
      <c r="AL43" s="171"/>
      <c r="AM43" s="171"/>
      <c r="AN43" s="171"/>
      <c r="AO43" s="171"/>
      <c r="AP43" s="171"/>
      <c r="AQ43" s="171"/>
      <c r="AR43" s="171"/>
      <c r="AS43" s="171"/>
      <c r="AT43" s="171"/>
      <c r="AU43" s="171"/>
      <c r="AV43" s="171"/>
      <c r="AW43" s="171"/>
      <c r="AX43" s="171"/>
      <c r="AY43" s="171"/>
      <c r="AZ43" s="171"/>
      <c r="BA43" s="171"/>
      <c r="BB43" s="171"/>
      <c r="BC43" s="171"/>
      <c r="BD43" s="171"/>
      <c r="BE43" s="171"/>
      <c r="BF43" s="171"/>
      <c r="BG43" s="171"/>
      <c r="BH43" s="171"/>
      <c r="BI43" s="171"/>
      <c r="BV43" s="164"/>
    </row>
    <row r="44" spans="2:87" ht="22.5" customHeight="1">
      <c r="B44" s="486">
        <v>106</v>
      </c>
      <c r="C44" s="606"/>
      <c r="D44" s="317" t="s">
        <v>547</v>
      </c>
      <c r="E44" s="317"/>
      <c r="F44" s="317"/>
      <c r="G44" s="317"/>
      <c r="H44" s="317"/>
      <c r="I44" s="317"/>
      <c r="J44" s="426">
        <v>3</v>
      </c>
      <c r="K44" s="426"/>
      <c r="L44" s="607"/>
      <c r="M44" s="607"/>
      <c r="N44" s="607"/>
      <c r="O44" s="607"/>
      <c r="P44" s="607"/>
      <c r="Q44" s="607"/>
      <c r="R44" s="607"/>
      <c r="S44" s="209"/>
      <c r="T44" s="607"/>
      <c r="U44" s="607"/>
      <c r="V44" s="607"/>
      <c r="W44" s="607"/>
      <c r="X44" s="608"/>
      <c r="Y44" s="319"/>
      <c r="Z44" s="317"/>
      <c r="AA44" s="317"/>
      <c r="AB44" s="317"/>
      <c r="AC44" s="317"/>
      <c r="AD44" s="317"/>
      <c r="AE44" s="317"/>
      <c r="AF44" s="317"/>
      <c r="AG44" s="317"/>
      <c r="AH44" s="317"/>
      <c r="AI44" s="317"/>
      <c r="AJ44" s="320"/>
      <c r="AL44" s="179" t="s">
        <v>246</v>
      </c>
      <c r="AM44" s="179"/>
      <c r="AN44" s="179"/>
      <c r="AO44" s="179"/>
      <c r="AP44" s="179"/>
      <c r="AQ44" s="179"/>
      <c r="AR44" s="179"/>
      <c r="AS44" s="179"/>
      <c r="AT44" s="179"/>
      <c r="AU44" s="179"/>
      <c r="AV44" s="179"/>
      <c r="AW44" s="179"/>
      <c r="AX44" s="179"/>
      <c r="AY44" s="179"/>
      <c r="AZ44" s="179"/>
      <c r="BA44" s="179"/>
      <c r="BB44" s="179"/>
      <c r="BC44" s="179"/>
      <c r="BD44" s="179"/>
      <c r="BE44" s="179"/>
      <c r="BF44" s="179"/>
      <c r="BG44" s="179"/>
      <c r="BH44" s="179"/>
      <c r="BI44" s="179"/>
      <c r="BJ44" s="163"/>
      <c r="BK44" s="163"/>
      <c r="BL44" s="163"/>
      <c r="BM44" s="163"/>
      <c r="BN44" s="163"/>
      <c r="BO44" s="163"/>
      <c r="BP44" s="163"/>
      <c r="BQ44" s="163"/>
      <c r="BR44" s="163"/>
      <c r="BS44" s="163"/>
      <c r="BT44" s="163"/>
      <c r="BU44" s="163"/>
      <c r="BV44" s="164"/>
      <c r="BW44" s="179" t="s">
        <v>75</v>
      </c>
      <c r="BX44" s="179"/>
      <c r="BY44" s="179"/>
      <c r="BZ44" s="179"/>
      <c r="CA44" s="179"/>
      <c r="CB44" s="179"/>
      <c r="CC44" s="179"/>
      <c r="CD44" s="179"/>
      <c r="CE44" s="179"/>
      <c r="CF44" s="179"/>
      <c r="CG44" s="179"/>
      <c r="CH44" s="179"/>
    </row>
    <row r="45" spans="2:87" ht="22.5" customHeight="1">
      <c r="B45" s="486">
        <v>107</v>
      </c>
      <c r="C45" s="606"/>
      <c r="D45" s="317" t="s">
        <v>548</v>
      </c>
      <c r="E45" s="317"/>
      <c r="F45" s="317"/>
      <c r="G45" s="317"/>
      <c r="H45" s="317"/>
      <c r="I45" s="317"/>
      <c r="J45" s="426">
        <v>4</v>
      </c>
      <c r="K45" s="426"/>
      <c r="L45" s="607"/>
      <c r="M45" s="607"/>
      <c r="N45" s="607"/>
      <c r="O45" s="607"/>
      <c r="P45" s="607"/>
      <c r="Q45" s="607"/>
      <c r="R45" s="607"/>
      <c r="S45" s="209"/>
      <c r="T45" s="607"/>
      <c r="U45" s="607"/>
      <c r="V45" s="607"/>
      <c r="W45" s="607"/>
      <c r="X45" s="608"/>
      <c r="Y45" s="319"/>
      <c r="Z45" s="317"/>
      <c r="AA45" s="317"/>
      <c r="AB45" s="317"/>
      <c r="AC45" s="317"/>
      <c r="AD45" s="317"/>
      <c r="AE45" s="317"/>
      <c r="AF45" s="317"/>
      <c r="AG45" s="317"/>
      <c r="AH45" s="317"/>
      <c r="AI45" s="317"/>
      <c r="AJ45" s="320"/>
      <c r="AL45" s="618" t="s">
        <v>27</v>
      </c>
      <c r="AM45" s="618"/>
      <c r="AN45" s="618" t="s">
        <v>58</v>
      </c>
      <c r="AO45" s="618"/>
      <c r="AP45" s="618" t="s">
        <v>14</v>
      </c>
      <c r="AQ45" s="618"/>
      <c r="AR45" s="618" t="s">
        <v>22</v>
      </c>
      <c r="AS45" s="618"/>
      <c r="AT45" s="618" t="s">
        <v>1</v>
      </c>
      <c r="AU45" s="618"/>
      <c r="AV45" s="618" t="s">
        <v>18</v>
      </c>
      <c r="AW45" s="618"/>
      <c r="AX45" s="618" t="s">
        <v>28</v>
      </c>
      <c r="AY45" s="618"/>
      <c r="AZ45" s="618" t="s">
        <v>24</v>
      </c>
      <c r="BA45" s="618"/>
      <c r="BB45" s="618" t="s">
        <v>16</v>
      </c>
      <c r="BC45" s="618"/>
      <c r="BD45" s="618" t="s">
        <v>67</v>
      </c>
      <c r="BE45" s="618"/>
      <c r="BF45" s="618" t="s">
        <v>20</v>
      </c>
      <c r="BG45" s="618"/>
      <c r="BH45" s="618" t="s">
        <v>68</v>
      </c>
      <c r="BI45" s="618"/>
      <c r="BK45" s="630" t="s">
        <v>108</v>
      </c>
      <c r="BL45" s="631"/>
      <c r="BM45" s="634">
        <f>SUM(AL46:BI46)</f>
        <v>7</v>
      </c>
      <c r="BN45" s="635"/>
      <c r="BO45" s="636"/>
      <c r="BP45" s="640" t="s">
        <v>107</v>
      </c>
      <c r="BQ45" s="641"/>
      <c r="BR45" s="631"/>
      <c r="BS45" s="642" t="str">
        <f>IF(OR(BP46="",ISBLANK(BP46)),"",
IF(BP46&gt;=5,"A",
IF(BP46&gt;=4,"B",
IF(BP46&gt;=3,"C",
IF(BP46&gt;=1,"D","E")))))</f>
        <v>D</v>
      </c>
      <c r="BT45" s="556"/>
      <c r="BU45" s="557"/>
      <c r="BV45" s="164"/>
      <c r="BW45" s="619" t="s">
        <v>772</v>
      </c>
      <c r="BX45" s="620"/>
      <c r="BY45" s="620"/>
      <c r="BZ45" s="620"/>
      <c r="CA45" s="620"/>
      <c r="CB45" s="620"/>
      <c r="CC45" s="620"/>
      <c r="CD45" s="620"/>
      <c r="CE45" s="620"/>
      <c r="CF45" s="620"/>
      <c r="CG45" s="620"/>
      <c r="CH45" s="621"/>
    </row>
    <row r="46" spans="2:87" ht="22.5" customHeight="1">
      <c r="B46" s="486">
        <v>108</v>
      </c>
      <c r="C46" s="606"/>
      <c r="D46" s="317" t="s">
        <v>549</v>
      </c>
      <c r="E46" s="317"/>
      <c r="F46" s="317"/>
      <c r="G46" s="317"/>
      <c r="H46" s="317"/>
      <c r="I46" s="317"/>
      <c r="J46" s="426">
        <v>4</v>
      </c>
      <c r="K46" s="426"/>
      <c r="L46" s="607"/>
      <c r="M46" s="607"/>
      <c r="N46" s="607"/>
      <c r="O46" s="607"/>
      <c r="P46" s="607"/>
      <c r="Q46" s="607"/>
      <c r="R46" s="607"/>
      <c r="S46" s="209"/>
      <c r="T46" s="607"/>
      <c r="U46" s="607"/>
      <c r="V46" s="607"/>
      <c r="W46" s="607"/>
      <c r="X46" s="608"/>
      <c r="Y46" s="319"/>
      <c r="Z46" s="317"/>
      <c r="AA46" s="317"/>
      <c r="AB46" s="317"/>
      <c r="AC46" s="317"/>
      <c r="AD46" s="317"/>
      <c r="AE46" s="317"/>
      <c r="AF46" s="317"/>
      <c r="AG46" s="317"/>
      <c r="AH46" s="317"/>
      <c r="AI46" s="317"/>
      <c r="AJ46" s="320"/>
      <c r="AL46" s="330">
        <v>3</v>
      </c>
      <c r="AM46" s="330"/>
      <c r="AN46" s="330">
        <v>2</v>
      </c>
      <c r="AO46" s="330"/>
      <c r="AP46" s="330">
        <v>2</v>
      </c>
      <c r="AQ46" s="330"/>
      <c r="AR46" s="330"/>
      <c r="AS46" s="330"/>
      <c r="AT46" s="330"/>
      <c r="AU46" s="330"/>
      <c r="AV46" s="330"/>
      <c r="AW46" s="330"/>
      <c r="AX46" s="330"/>
      <c r="AY46" s="330"/>
      <c r="AZ46" s="330"/>
      <c r="BA46" s="330"/>
      <c r="BB46" s="330"/>
      <c r="BC46" s="330"/>
      <c r="BD46" s="330"/>
      <c r="BE46" s="330"/>
      <c r="BF46" s="330"/>
      <c r="BG46" s="330"/>
      <c r="BH46" s="330"/>
      <c r="BI46" s="330"/>
      <c r="BK46" s="632"/>
      <c r="BL46" s="633"/>
      <c r="BM46" s="637"/>
      <c r="BN46" s="638"/>
      <c r="BO46" s="639"/>
      <c r="BP46" s="652">
        <f>IF(COUNT(AL46:BI46)=0,"",ROUND(AVERAGE(AL46:BI46),1))</f>
        <v>2.2999999999999998</v>
      </c>
      <c r="BQ46" s="653"/>
      <c r="BR46" s="654"/>
      <c r="BS46" s="643"/>
      <c r="BT46" s="559"/>
      <c r="BU46" s="560"/>
      <c r="BV46" s="164"/>
      <c r="BW46" s="644"/>
      <c r="BX46" s="607"/>
      <c r="BY46" s="607"/>
      <c r="BZ46" s="607"/>
      <c r="CA46" s="607"/>
      <c r="CB46" s="607"/>
      <c r="CC46" s="607"/>
      <c r="CD46" s="607"/>
      <c r="CE46" s="607"/>
      <c r="CF46" s="607"/>
      <c r="CG46" s="607"/>
      <c r="CH46" s="608"/>
    </row>
    <row r="47" spans="2:87" ht="22.5" customHeight="1">
      <c r="B47" s="486">
        <v>109</v>
      </c>
      <c r="C47" s="606"/>
      <c r="D47" s="317" t="s">
        <v>550</v>
      </c>
      <c r="E47" s="317"/>
      <c r="F47" s="317"/>
      <c r="G47" s="317"/>
      <c r="H47" s="317"/>
      <c r="I47" s="317"/>
      <c r="J47" s="426">
        <v>5</v>
      </c>
      <c r="K47" s="426"/>
      <c r="L47" s="607"/>
      <c r="M47" s="607"/>
      <c r="N47" s="607"/>
      <c r="O47" s="607"/>
      <c r="P47" s="607"/>
      <c r="Q47" s="607"/>
      <c r="R47" s="607"/>
      <c r="S47" s="209"/>
      <c r="T47" s="607"/>
      <c r="U47" s="607"/>
      <c r="V47" s="607"/>
      <c r="W47" s="607"/>
      <c r="X47" s="608"/>
      <c r="Y47" s="616"/>
      <c r="Z47" s="617"/>
      <c r="AA47" s="617"/>
      <c r="AB47" s="617"/>
      <c r="AC47" s="617"/>
      <c r="AD47" s="317"/>
      <c r="AE47" s="317"/>
      <c r="AF47" s="317"/>
      <c r="AG47" s="317"/>
      <c r="AH47" s="317"/>
      <c r="AI47" s="317"/>
      <c r="AJ47" s="320"/>
      <c r="BV47" s="164"/>
      <c r="BW47" s="644"/>
      <c r="BX47" s="607"/>
      <c r="BY47" s="607"/>
      <c r="BZ47" s="607"/>
      <c r="CA47" s="607"/>
      <c r="CB47" s="607"/>
      <c r="CC47" s="607"/>
      <c r="CD47" s="607"/>
      <c r="CE47" s="607"/>
      <c r="CF47" s="607"/>
      <c r="CG47" s="607"/>
      <c r="CH47" s="608"/>
    </row>
    <row r="48" spans="2:87" ht="22.5" customHeight="1" thickBot="1">
      <c r="B48" s="622">
        <v>110</v>
      </c>
      <c r="C48" s="623"/>
      <c r="D48" s="624" t="s">
        <v>551</v>
      </c>
      <c r="E48" s="624"/>
      <c r="F48" s="624"/>
      <c r="G48" s="624"/>
      <c r="H48" s="624"/>
      <c r="I48" s="624"/>
      <c r="J48" s="625">
        <v>4</v>
      </c>
      <c r="K48" s="625"/>
      <c r="L48" s="626"/>
      <c r="M48" s="626"/>
      <c r="N48" s="626"/>
      <c r="O48" s="626"/>
      <c r="P48" s="626"/>
      <c r="Q48" s="626"/>
      <c r="R48" s="626"/>
      <c r="S48" s="211"/>
      <c r="T48" s="626"/>
      <c r="U48" s="626"/>
      <c r="V48" s="626"/>
      <c r="W48" s="626"/>
      <c r="X48" s="627"/>
      <c r="Y48" s="628"/>
      <c r="Z48" s="624"/>
      <c r="AA48" s="624"/>
      <c r="AB48" s="624"/>
      <c r="AC48" s="624"/>
      <c r="AD48" s="624"/>
      <c r="AE48" s="624"/>
      <c r="AF48" s="624"/>
      <c r="AG48" s="624"/>
      <c r="AH48" s="624"/>
      <c r="AI48" s="624"/>
      <c r="AJ48" s="629"/>
      <c r="AL48" s="182" t="s">
        <v>241</v>
      </c>
      <c r="AM48" s="182"/>
      <c r="AN48" s="182"/>
      <c r="AO48" s="182"/>
      <c r="AP48" s="182"/>
      <c r="AQ48" s="182"/>
      <c r="AR48" s="183"/>
      <c r="AS48" s="183"/>
      <c r="AT48" s="183"/>
      <c r="AU48" s="183"/>
      <c r="AV48" s="183"/>
      <c r="AW48" s="183"/>
      <c r="AX48" s="184"/>
      <c r="AY48" s="184"/>
      <c r="AZ48" s="184"/>
      <c r="BA48" s="184"/>
      <c r="BB48" s="185"/>
      <c r="BC48" s="185"/>
      <c r="BD48" s="185"/>
      <c r="BE48" s="185"/>
      <c r="BF48" s="186"/>
      <c r="BG48" s="186"/>
      <c r="BH48" s="186"/>
      <c r="BI48" s="186"/>
      <c r="BJ48" s="163"/>
      <c r="BK48" s="163"/>
      <c r="BL48" s="163"/>
      <c r="BM48" s="163"/>
      <c r="BN48" s="163"/>
      <c r="BO48" s="163"/>
      <c r="BP48" s="163"/>
      <c r="BQ48" s="163"/>
      <c r="BR48" s="163"/>
      <c r="BS48" s="163"/>
      <c r="BT48" s="163"/>
      <c r="BU48" s="163"/>
      <c r="BV48" s="164"/>
      <c r="BW48" s="644"/>
      <c r="BX48" s="607"/>
      <c r="BY48" s="607"/>
      <c r="BZ48" s="607"/>
      <c r="CA48" s="607"/>
      <c r="CB48" s="607"/>
      <c r="CC48" s="607"/>
      <c r="CD48" s="607"/>
      <c r="CE48" s="607"/>
      <c r="CF48" s="607"/>
      <c r="CG48" s="607"/>
      <c r="CH48" s="608"/>
    </row>
    <row r="49" spans="2:86" ht="22.5" customHeight="1">
      <c r="B49" s="550">
        <v>201</v>
      </c>
      <c r="C49" s="645"/>
      <c r="D49" s="646" t="s">
        <v>552</v>
      </c>
      <c r="E49" s="646"/>
      <c r="F49" s="646"/>
      <c r="G49" s="646"/>
      <c r="H49" s="646"/>
      <c r="I49" s="646"/>
      <c r="J49" s="647">
        <v>4</v>
      </c>
      <c r="K49" s="647"/>
      <c r="L49" s="648"/>
      <c r="M49" s="648"/>
      <c r="N49" s="648"/>
      <c r="O49" s="648"/>
      <c r="P49" s="648"/>
      <c r="Q49" s="648"/>
      <c r="R49" s="648"/>
      <c r="S49" s="212"/>
      <c r="T49" s="648"/>
      <c r="U49" s="648"/>
      <c r="V49" s="648"/>
      <c r="W49" s="648"/>
      <c r="X49" s="649"/>
      <c r="Y49" s="650"/>
      <c r="Z49" s="646"/>
      <c r="AA49" s="646"/>
      <c r="AB49" s="646"/>
      <c r="AC49" s="646"/>
      <c r="AD49" s="646"/>
      <c r="AE49" s="646"/>
      <c r="AF49" s="646"/>
      <c r="AG49" s="646"/>
      <c r="AH49" s="646"/>
      <c r="AI49" s="646"/>
      <c r="AJ49" s="651"/>
      <c r="AL49" s="600" t="s">
        <v>27</v>
      </c>
      <c r="AM49" s="600"/>
      <c r="AN49" s="600" t="s">
        <v>58</v>
      </c>
      <c r="AO49" s="600"/>
      <c r="AP49" s="600" t="s">
        <v>14</v>
      </c>
      <c r="AQ49" s="600"/>
      <c r="AR49" s="600" t="s">
        <v>22</v>
      </c>
      <c r="AS49" s="600"/>
      <c r="AT49" s="600" t="s">
        <v>1</v>
      </c>
      <c r="AU49" s="600"/>
      <c r="AV49" s="600" t="s">
        <v>18</v>
      </c>
      <c r="AW49" s="600"/>
      <c r="AX49" s="600" t="s">
        <v>28</v>
      </c>
      <c r="AY49" s="600"/>
      <c r="AZ49" s="600" t="s">
        <v>24</v>
      </c>
      <c r="BA49" s="600"/>
      <c r="BB49" s="600" t="s">
        <v>16</v>
      </c>
      <c r="BC49" s="600"/>
      <c r="BD49" s="600" t="s">
        <v>67</v>
      </c>
      <c r="BE49" s="600"/>
      <c r="BF49" s="600" t="s">
        <v>20</v>
      </c>
      <c r="BG49" s="600"/>
      <c r="BH49" s="600" t="s">
        <v>68</v>
      </c>
      <c r="BI49" s="600"/>
      <c r="BK49" s="658" t="s">
        <v>108</v>
      </c>
      <c r="BL49" s="326"/>
      <c r="BM49" s="659">
        <f>SUM(AL50:BI50)</f>
        <v>3</v>
      </c>
      <c r="BN49" s="660"/>
      <c r="BO49" s="661"/>
      <c r="BP49" s="327" t="s">
        <v>107</v>
      </c>
      <c r="BQ49" s="328"/>
      <c r="BR49" s="326"/>
      <c r="BS49" s="665"/>
      <c r="BT49" s="666"/>
      <c r="BU49" s="667"/>
      <c r="BV49" s="164"/>
      <c r="BW49" s="655"/>
      <c r="BX49" s="656"/>
      <c r="BY49" s="656"/>
      <c r="BZ49" s="656"/>
      <c r="CA49" s="656"/>
      <c r="CB49" s="656"/>
      <c r="CC49" s="656"/>
      <c r="CD49" s="656"/>
      <c r="CE49" s="656"/>
      <c r="CF49" s="656"/>
      <c r="CG49" s="656"/>
      <c r="CH49" s="657"/>
    </row>
    <row r="50" spans="2:86" ht="22.5" customHeight="1">
      <c r="B50" s="486">
        <v>202</v>
      </c>
      <c r="C50" s="606"/>
      <c r="D50" s="317" t="s">
        <v>553</v>
      </c>
      <c r="E50" s="317"/>
      <c r="F50" s="317"/>
      <c r="G50" s="317"/>
      <c r="H50" s="317"/>
      <c r="I50" s="317"/>
      <c r="J50" s="426">
        <v>4</v>
      </c>
      <c r="K50" s="426"/>
      <c r="L50" s="607"/>
      <c r="M50" s="607"/>
      <c r="N50" s="607"/>
      <c r="O50" s="607"/>
      <c r="P50" s="607"/>
      <c r="Q50" s="607"/>
      <c r="R50" s="607"/>
      <c r="S50" s="209"/>
      <c r="T50" s="607"/>
      <c r="U50" s="607"/>
      <c r="V50" s="607"/>
      <c r="W50" s="607"/>
      <c r="X50" s="608"/>
      <c r="Y50" s="319"/>
      <c r="Z50" s="317"/>
      <c r="AA50" s="317"/>
      <c r="AB50" s="317"/>
      <c r="AC50" s="317"/>
      <c r="AD50" s="317"/>
      <c r="AE50" s="317"/>
      <c r="AF50" s="317"/>
      <c r="AG50" s="317"/>
      <c r="AH50" s="317"/>
      <c r="AI50" s="317"/>
      <c r="AJ50" s="320"/>
      <c r="AL50" s="330">
        <v>1</v>
      </c>
      <c r="AM50" s="330"/>
      <c r="AN50" s="330">
        <v>2</v>
      </c>
      <c r="AO50" s="330"/>
      <c r="AP50" s="330"/>
      <c r="AQ50" s="330"/>
      <c r="AR50" s="330"/>
      <c r="AS50" s="330"/>
      <c r="AT50" s="330"/>
      <c r="AU50" s="330"/>
      <c r="AV50" s="330"/>
      <c r="AW50" s="330"/>
      <c r="AX50" s="330"/>
      <c r="AY50" s="330"/>
      <c r="AZ50" s="330"/>
      <c r="BA50" s="330"/>
      <c r="BB50" s="330"/>
      <c r="BC50" s="330"/>
      <c r="BD50" s="330"/>
      <c r="BE50" s="330"/>
      <c r="BF50" s="330"/>
      <c r="BG50" s="330"/>
      <c r="BH50" s="330"/>
      <c r="BI50" s="330"/>
      <c r="BK50" s="575"/>
      <c r="BL50" s="576"/>
      <c r="BM50" s="662"/>
      <c r="BN50" s="663"/>
      <c r="BO50" s="664"/>
      <c r="BP50" s="652">
        <f>IF(COUNT(AL50:BI50)=0,"",ROUND(AVERAGE(AL50:BI50),1))</f>
        <v>1.5</v>
      </c>
      <c r="BQ50" s="653"/>
      <c r="BR50" s="654"/>
      <c r="BS50" s="668"/>
      <c r="BT50" s="669"/>
      <c r="BU50" s="670"/>
      <c r="BV50" s="164"/>
    </row>
    <row r="51" spans="2:86" ht="22.5" customHeight="1">
      <c r="B51" s="486">
        <v>203</v>
      </c>
      <c r="C51" s="606"/>
      <c r="D51" s="317" t="s">
        <v>554</v>
      </c>
      <c r="E51" s="317"/>
      <c r="F51" s="317"/>
      <c r="G51" s="317"/>
      <c r="H51" s="317"/>
      <c r="I51" s="317"/>
      <c r="J51" s="426">
        <v>5</v>
      </c>
      <c r="K51" s="426"/>
      <c r="L51" s="607"/>
      <c r="M51" s="607"/>
      <c r="N51" s="607"/>
      <c r="O51" s="607"/>
      <c r="P51" s="607"/>
      <c r="Q51" s="607"/>
      <c r="R51" s="607"/>
      <c r="S51" s="209"/>
      <c r="T51" s="607"/>
      <c r="U51" s="607"/>
      <c r="V51" s="607"/>
      <c r="W51" s="607"/>
      <c r="X51" s="608"/>
      <c r="Y51" s="319"/>
      <c r="Z51" s="317"/>
      <c r="AA51" s="317"/>
      <c r="AB51" s="317"/>
      <c r="AC51" s="317"/>
      <c r="AD51" s="317"/>
      <c r="AE51" s="317"/>
      <c r="AF51" s="317"/>
      <c r="AG51" s="317"/>
      <c r="AH51" s="317"/>
      <c r="AI51" s="317"/>
      <c r="AJ51" s="320"/>
      <c r="AQ51" s="169"/>
      <c r="AR51" s="168"/>
      <c r="AS51" s="168"/>
      <c r="AT51" s="168"/>
      <c r="AU51" s="168"/>
      <c r="AV51" s="168"/>
      <c r="AW51" s="169"/>
      <c r="AX51" s="172"/>
      <c r="AY51" s="172"/>
      <c r="AZ51" s="172"/>
      <c r="BA51" s="172"/>
      <c r="BB51" s="168"/>
      <c r="BC51" s="168"/>
      <c r="BD51" s="168"/>
      <c r="BE51" s="168"/>
      <c r="BF51" s="169"/>
      <c r="BG51" s="169"/>
      <c r="BH51" s="169"/>
      <c r="BI51" s="169"/>
      <c r="BW51" s="179" t="s">
        <v>259</v>
      </c>
      <c r="BX51" s="179"/>
      <c r="BY51" s="179"/>
      <c r="BZ51" s="179"/>
      <c r="CA51" s="179"/>
      <c r="CB51" s="179"/>
      <c r="CC51" s="179"/>
      <c r="CD51" s="179"/>
      <c r="CE51" s="179"/>
      <c r="CF51" s="179"/>
      <c r="CG51" s="179"/>
      <c r="CH51" s="179"/>
    </row>
    <row r="52" spans="2:86" ht="22.5" customHeight="1">
      <c r="B52" s="486">
        <v>204</v>
      </c>
      <c r="C52" s="606"/>
      <c r="D52" s="317" t="s">
        <v>942</v>
      </c>
      <c r="E52" s="317"/>
      <c r="F52" s="317"/>
      <c r="G52" s="317"/>
      <c r="H52" s="317"/>
      <c r="I52" s="317"/>
      <c r="J52" s="426">
        <v>4</v>
      </c>
      <c r="K52" s="426"/>
      <c r="L52" s="607"/>
      <c r="M52" s="607"/>
      <c r="N52" s="607"/>
      <c r="O52" s="607"/>
      <c r="P52" s="607"/>
      <c r="Q52" s="607"/>
      <c r="R52" s="607"/>
      <c r="S52" s="209"/>
      <c r="T52" s="607"/>
      <c r="U52" s="607"/>
      <c r="V52" s="607"/>
      <c r="W52" s="607"/>
      <c r="X52" s="608"/>
      <c r="Y52" s="319"/>
      <c r="Z52" s="317"/>
      <c r="AA52" s="317"/>
      <c r="AB52" s="317"/>
      <c r="AC52" s="317"/>
      <c r="AD52" s="317"/>
      <c r="AE52" s="317"/>
      <c r="AF52" s="317"/>
      <c r="AG52" s="317"/>
      <c r="AH52" s="317"/>
      <c r="AI52" s="317"/>
      <c r="AJ52" s="320"/>
      <c r="AL52" s="182" t="s">
        <v>242</v>
      </c>
      <c r="AM52" s="182"/>
      <c r="AN52" s="182"/>
      <c r="AO52" s="182"/>
      <c r="AP52" s="182"/>
      <c r="AQ52" s="182"/>
      <c r="AR52" s="183"/>
      <c r="AS52" s="183"/>
      <c r="AT52" s="183"/>
      <c r="AU52" s="183"/>
      <c r="AV52" s="183"/>
      <c r="AW52" s="183"/>
      <c r="AX52" s="184"/>
      <c r="AY52" s="184"/>
      <c r="AZ52" s="184"/>
      <c r="BA52" s="184"/>
      <c r="BB52" s="185"/>
      <c r="BC52" s="185"/>
      <c r="BD52" s="185"/>
      <c r="BE52" s="185"/>
      <c r="BF52" s="186"/>
      <c r="BG52" s="186"/>
      <c r="BH52" s="186"/>
      <c r="BI52" s="186"/>
      <c r="BJ52" s="163"/>
      <c r="BK52" s="163"/>
      <c r="BL52" s="163"/>
      <c r="BM52" s="163"/>
      <c r="BN52" s="163"/>
      <c r="BO52" s="163"/>
      <c r="BP52" s="163"/>
      <c r="BQ52" s="163"/>
      <c r="BR52" s="163"/>
      <c r="BS52" s="163"/>
      <c r="BT52" s="163"/>
      <c r="BU52" s="163"/>
      <c r="BW52" s="678"/>
      <c r="BX52" s="679"/>
      <c r="BY52" s="679"/>
      <c r="BZ52" s="679"/>
      <c r="CA52" s="679"/>
      <c r="CB52" s="679"/>
      <c r="CC52" s="679"/>
      <c r="CD52" s="679"/>
      <c r="CE52" s="679"/>
      <c r="CF52" s="679"/>
      <c r="CG52" s="679"/>
      <c r="CH52" s="680"/>
    </row>
    <row r="53" spans="2:86" ht="22.5" customHeight="1">
      <c r="B53" s="486">
        <v>205</v>
      </c>
      <c r="C53" s="606"/>
      <c r="D53" s="317" t="s">
        <v>555</v>
      </c>
      <c r="E53" s="317"/>
      <c r="F53" s="317"/>
      <c r="G53" s="317"/>
      <c r="H53" s="317"/>
      <c r="I53" s="317"/>
      <c r="J53" s="426">
        <v>5</v>
      </c>
      <c r="K53" s="426"/>
      <c r="L53" s="607"/>
      <c r="M53" s="607"/>
      <c r="N53" s="607"/>
      <c r="O53" s="607"/>
      <c r="P53" s="607"/>
      <c r="Q53" s="607"/>
      <c r="R53" s="607"/>
      <c r="S53" s="209"/>
      <c r="T53" s="607"/>
      <c r="U53" s="607"/>
      <c r="V53" s="607"/>
      <c r="W53" s="607"/>
      <c r="X53" s="608"/>
      <c r="Y53" s="319"/>
      <c r="Z53" s="317"/>
      <c r="AA53" s="317"/>
      <c r="AB53" s="317"/>
      <c r="AC53" s="317"/>
      <c r="AD53" s="317"/>
      <c r="AE53" s="317"/>
      <c r="AF53" s="317"/>
      <c r="AG53" s="317"/>
      <c r="AH53" s="317"/>
      <c r="AI53" s="317"/>
      <c r="AJ53" s="320"/>
      <c r="AL53" s="671" t="s">
        <v>27</v>
      </c>
      <c r="AM53" s="671"/>
      <c r="AN53" s="671" t="s">
        <v>58</v>
      </c>
      <c r="AO53" s="671"/>
      <c r="AP53" s="671" t="s">
        <v>14</v>
      </c>
      <c r="AQ53" s="671"/>
      <c r="AR53" s="671" t="s">
        <v>22</v>
      </c>
      <c r="AS53" s="671"/>
      <c r="AT53" s="671" t="s">
        <v>1</v>
      </c>
      <c r="AU53" s="671"/>
      <c r="AV53" s="671" t="s">
        <v>18</v>
      </c>
      <c r="AW53" s="671"/>
      <c r="AX53" s="671" t="s">
        <v>28</v>
      </c>
      <c r="AY53" s="671"/>
      <c r="AZ53" s="671" t="s">
        <v>24</v>
      </c>
      <c r="BA53" s="671"/>
      <c r="BB53" s="671" t="s">
        <v>16</v>
      </c>
      <c r="BC53" s="671"/>
      <c r="BD53" s="671" t="s">
        <v>67</v>
      </c>
      <c r="BE53" s="671"/>
      <c r="BF53" s="671" t="s">
        <v>20</v>
      </c>
      <c r="BG53" s="671"/>
      <c r="BH53" s="671" t="s">
        <v>68</v>
      </c>
      <c r="BI53" s="671"/>
      <c r="BK53" s="672" t="s">
        <v>108</v>
      </c>
      <c r="BL53" s="673"/>
      <c r="BM53" s="659">
        <f>SUM(AL54:BI54)</f>
        <v>1</v>
      </c>
      <c r="BN53" s="660"/>
      <c r="BO53" s="661"/>
      <c r="BP53" s="676" t="s">
        <v>107</v>
      </c>
      <c r="BQ53" s="677"/>
      <c r="BR53" s="673"/>
      <c r="BS53" s="665"/>
      <c r="BT53" s="666"/>
      <c r="BU53" s="667"/>
      <c r="BW53" s="681"/>
      <c r="BX53" s="682"/>
      <c r="BY53" s="682"/>
      <c r="BZ53" s="682"/>
      <c r="CA53" s="682"/>
      <c r="CB53" s="682"/>
      <c r="CC53" s="682"/>
      <c r="CD53" s="682"/>
      <c r="CE53" s="682"/>
      <c r="CF53" s="682"/>
      <c r="CG53" s="682"/>
      <c r="CH53" s="683"/>
    </row>
    <row r="54" spans="2:86" ht="22.5" customHeight="1">
      <c r="B54" s="486">
        <v>206</v>
      </c>
      <c r="C54" s="606"/>
      <c r="D54" s="317" t="s">
        <v>556</v>
      </c>
      <c r="E54" s="317"/>
      <c r="F54" s="317"/>
      <c r="G54" s="317"/>
      <c r="H54" s="317"/>
      <c r="I54" s="317"/>
      <c r="J54" s="426">
        <v>5</v>
      </c>
      <c r="K54" s="426"/>
      <c r="L54" s="607"/>
      <c r="M54" s="607"/>
      <c r="N54" s="607"/>
      <c r="O54" s="607"/>
      <c r="P54" s="607"/>
      <c r="Q54" s="607"/>
      <c r="R54" s="607"/>
      <c r="S54" s="209"/>
      <c r="T54" s="607"/>
      <c r="U54" s="607"/>
      <c r="V54" s="607"/>
      <c r="W54" s="607"/>
      <c r="X54" s="608"/>
      <c r="Y54" s="319"/>
      <c r="Z54" s="317"/>
      <c r="AA54" s="317"/>
      <c r="AB54" s="317"/>
      <c r="AC54" s="317"/>
      <c r="AD54" s="317"/>
      <c r="AE54" s="317"/>
      <c r="AF54" s="317"/>
      <c r="AG54" s="317"/>
      <c r="AH54" s="317"/>
      <c r="AI54" s="317"/>
      <c r="AJ54" s="320"/>
      <c r="AL54" s="330">
        <v>0</v>
      </c>
      <c r="AM54" s="330"/>
      <c r="AN54" s="330">
        <v>0</v>
      </c>
      <c r="AO54" s="330"/>
      <c r="AP54" s="330">
        <v>1</v>
      </c>
      <c r="AQ54" s="330"/>
      <c r="AR54" s="330"/>
      <c r="AS54" s="330"/>
      <c r="AT54" s="330"/>
      <c r="AU54" s="330"/>
      <c r="AV54" s="330"/>
      <c r="AW54" s="330"/>
      <c r="AX54" s="330"/>
      <c r="AY54" s="330"/>
      <c r="AZ54" s="330"/>
      <c r="BA54" s="330"/>
      <c r="BB54" s="330"/>
      <c r="BC54" s="330"/>
      <c r="BD54" s="330"/>
      <c r="BE54" s="330"/>
      <c r="BF54" s="330"/>
      <c r="BG54" s="330"/>
      <c r="BH54" s="330"/>
      <c r="BI54" s="330"/>
      <c r="BK54" s="674"/>
      <c r="BL54" s="675"/>
      <c r="BM54" s="662"/>
      <c r="BN54" s="663"/>
      <c r="BO54" s="664"/>
      <c r="BP54" s="652">
        <f>IF(COUNT(AL54:BI54)=0,"",ROUND(AVERAGE(AL54:BI54),1))</f>
        <v>0.3</v>
      </c>
      <c r="BQ54" s="653"/>
      <c r="BR54" s="654"/>
      <c r="BS54" s="668"/>
      <c r="BT54" s="669"/>
      <c r="BU54" s="670"/>
      <c r="BW54" s="681"/>
      <c r="BX54" s="682"/>
      <c r="BY54" s="682"/>
      <c r="BZ54" s="682"/>
      <c r="CA54" s="682"/>
      <c r="CB54" s="682"/>
      <c r="CC54" s="682"/>
      <c r="CD54" s="682"/>
      <c r="CE54" s="682"/>
      <c r="CF54" s="682"/>
      <c r="CG54" s="682"/>
      <c r="CH54" s="683"/>
    </row>
    <row r="55" spans="2:86" ht="22.5" customHeight="1">
      <c r="B55" s="486">
        <v>207</v>
      </c>
      <c r="C55" s="606"/>
      <c r="D55" s="317" t="s">
        <v>768</v>
      </c>
      <c r="E55" s="317"/>
      <c r="F55" s="317"/>
      <c r="G55" s="317"/>
      <c r="H55" s="317"/>
      <c r="I55" s="317"/>
      <c r="J55" s="426">
        <v>3</v>
      </c>
      <c r="K55" s="426"/>
      <c r="L55" s="607" t="s">
        <v>940</v>
      </c>
      <c r="M55" s="607"/>
      <c r="N55" s="607"/>
      <c r="O55" s="607"/>
      <c r="P55" s="607"/>
      <c r="Q55" s="607"/>
      <c r="R55" s="607"/>
      <c r="S55" s="209"/>
      <c r="T55" s="607"/>
      <c r="U55" s="607"/>
      <c r="V55" s="607"/>
      <c r="W55" s="607"/>
      <c r="X55" s="608"/>
      <c r="Y55" s="319"/>
      <c r="Z55" s="317"/>
      <c r="AA55" s="317"/>
      <c r="AB55" s="317"/>
      <c r="AC55" s="317"/>
      <c r="AD55" s="317"/>
      <c r="AE55" s="317"/>
      <c r="AF55" s="317"/>
      <c r="AG55" s="317"/>
      <c r="AH55" s="317"/>
      <c r="AI55" s="317"/>
      <c r="AJ55" s="320"/>
      <c r="AL55" s="173"/>
      <c r="AM55" s="174"/>
      <c r="AN55" s="174"/>
      <c r="AO55" s="174"/>
      <c r="AQ55" s="169"/>
      <c r="AR55" s="168"/>
      <c r="AS55" s="168"/>
      <c r="AT55" s="168"/>
      <c r="AU55" s="168"/>
      <c r="AV55" s="168"/>
      <c r="AW55" s="169"/>
      <c r="AX55" s="172"/>
      <c r="AY55" s="172"/>
      <c r="AZ55" s="172"/>
      <c r="BA55" s="172"/>
      <c r="BB55" s="168"/>
      <c r="BC55" s="168"/>
      <c r="BD55" s="168"/>
      <c r="BE55" s="168"/>
      <c r="BF55" s="169"/>
      <c r="BG55" s="169"/>
      <c r="BH55" s="169"/>
      <c r="BI55" s="169"/>
      <c r="BW55" s="681"/>
      <c r="BX55" s="682"/>
      <c r="BY55" s="682"/>
      <c r="BZ55" s="682"/>
      <c r="CA55" s="682"/>
      <c r="CB55" s="682"/>
      <c r="CC55" s="682"/>
      <c r="CD55" s="682"/>
      <c r="CE55" s="682"/>
      <c r="CF55" s="682"/>
      <c r="CG55" s="682"/>
      <c r="CH55" s="683"/>
    </row>
    <row r="56" spans="2:86" ht="22.5" customHeight="1">
      <c r="B56" s="486">
        <v>208</v>
      </c>
      <c r="C56" s="606"/>
      <c r="D56" s="317" t="s">
        <v>771</v>
      </c>
      <c r="E56" s="317"/>
      <c r="F56" s="317"/>
      <c r="G56" s="317"/>
      <c r="H56" s="317"/>
      <c r="I56" s="317"/>
      <c r="J56" s="426">
        <v>3</v>
      </c>
      <c r="K56" s="426"/>
      <c r="L56" s="607"/>
      <c r="M56" s="607"/>
      <c r="N56" s="607"/>
      <c r="O56" s="607"/>
      <c r="P56" s="607"/>
      <c r="Q56" s="607"/>
      <c r="R56" s="607"/>
      <c r="S56" s="209"/>
      <c r="T56" s="607"/>
      <c r="U56" s="607"/>
      <c r="V56" s="607"/>
      <c r="W56" s="607"/>
      <c r="X56" s="608"/>
      <c r="Y56" s="319"/>
      <c r="Z56" s="317"/>
      <c r="AA56" s="317"/>
      <c r="AB56" s="317"/>
      <c r="AC56" s="317"/>
      <c r="AD56" s="317"/>
      <c r="AE56" s="317"/>
      <c r="AF56" s="317"/>
      <c r="AG56" s="317"/>
      <c r="AH56" s="317"/>
      <c r="AI56" s="317"/>
      <c r="AJ56" s="320"/>
      <c r="AL56" s="182" t="s">
        <v>243</v>
      </c>
      <c r="AM56" s="182"/>
      <c r="AN56" s="182"/>
      <c r="AO56" s="182"/>
      <c r="AP56" s="182"/>
      <c r="AQ56" s="182"/>
      <c r="AR56" s="183"/>
      <c r="AS56" s="183"/>
      <c r="AT56" s="183"/>
      <c r="AU56" s="183"/>
      <c r="AV56" s="183"/>
      <c r="AW56" s="183"/>
      <c r="AX56" s="179"/>
      <c r="AY56" s="184"/>
      <c r="AZ56" s="184"/>
      <c r="BA56" s="184"/>
      <c r="BB56" s="185"/>
      <c r="BC56" s="185"/>
      <c r="BD56" s="185"/>
      <c r="BE56" s="185"/>
      <c r="BF56" s="186"/>
      <c r="BG56" s="186"/>
      <c r="BH56" s="186"/>
      <c r="BI56" s="186"/>
      <c r="BJ56" s="163"/>
      <c r="BK56" s="163"/>
      <c r="BL56" s="163"/>
      <c r="BM56" s="163"/>
      <c r="BN56" s="163"/>
      <c r="BO56" s="163"/>
      <c r="BP56" s="163"/>
      <c r="BQ56" s="163"/>
      <c r="BR56" s="163"/>
      <c r="BS56" s="163"/>
      <c r="BT56" s="163"/>
      <c r="BU56" s="163"/>
      <c r="BW56" s="681"/>
      <c r="BX56" s="682"/>
      <c r="BY56" s="682"/>
      <c r="BZ56" s="682"/>
      <c r="CA56" s="682"/>
      <c r="CB56" s="682"/>
      <c r="CC56" s="682"/>
      <c r="CD56" s="682"/>
      <c r="CE56" s="682"/>
      <c r="CF56" s="682"/>
      <c r="CG56" s="682"/>
      <c r="CH56" s="683"/>
    </row>
    <row r="57" spans="2:86" ht="22.5" customHeight="1">
      <c r="B57" s="486">
        <v>209</v>
      </c>
      <c r="C57" s="606"/>
      <c r="D57" s="317" t="s">
        <v>557</v>
      </c>
      <c r="E57" s="317"/>
      <c r="F57" s="317"/>
      <c r="G57" s="317"/>
      <c r="H57" s="317"/>
      <c r="I57" s="317"/>
      <c r="J57" s="426">
        <v>3</v>
      </c>
      <c r="K57" s="426"/>
      <c r="L57" s="607" t="s">
        <v>939</v>
      </c>
      <c r="M57" s="607"/>
      <c r="N57" s="607"/>
      <c r="O57" s="607"/>
      <c r="P57" s="607"/>
      <c r="Q57" s="607"/>
      <c r="R57" s="607"/>
      <c r="S57" s="209"/>
      <c r="T57" s="607"/>
      <c r="U57" s="607"/>
      <c r="V57" s="607"/>
      <c r="W57" s="607"/>
      <c r="X57" s="608"/>
      <c r="Y57" s="319"/>
      <c r="Z57" s="317"/>
      <c r="AA57" s="317"/>
      <c r="AB57" s="317"/>
      <c r="AC57" s="317"/>
      <c r="AD57" s="317"/>
      <c r="AE57" s="317"/>
      <c r="AF57" s="317"/>
      <c r="AG57" s="317"/>
      <c r="AH57" s="317"/>
      <c r="AI57" s="317"/>
      <c r="AJ57" s="320"/>
      <c r="AL57" s="600" t="s">
        <v>27</v>
      </c>
      <c r="AM57" s="600"/>
      <c r="AN57" s="600" t="s">
        <v>58</v>
      </c>
      <c r="AO57" s="600"/>
      <c r="AP57" s="600" t="s">
        <v>14</v>
      </c>
      <c r="AQ57" s="600"/>
      <c r="AR57" s="600" t="s">
        <v>22</v>
      </c>
      <c r="AS57" s="600"/>
      <c r="AT57" s="600" t="s">
        <v>1</v>
      </c>
      <c r="AU57" s="600"/>
      <c r="AV57" s="600" t="s">
        <v>18</v>
      </c>
      <c r="AW57" s="600"/>
      <c r="AX57" s="600" t="s">
        <v>28</v>
      </c>
      <c r="AY57" s="600"/>
      <c r="AZ57" s="600" t="s">
        <v>24</v>
      </c>
      <c r="BA57" s="600"/>
      <c r="BB57" s="600" t="s">
        <v>16</v>
      </c>
      <c r="BC57" s="600"/>
      <c r="BD57" s="600" t="s">
        <v>67</v>
      </c>
      <c r="BE57" s="600"/>
      <c r="BF57" s="600" t="s">
        <v>20</v>
      </c>
      <c r="BG57" s="600"/>
      <c r="BH57" s="600" t="s">
        <v>68</v>
      </c>
      <c r="BI57" s="600"/>
      <c r="BK57" s="658" t="s">
        <v>108</v>
      </c>
      <c r="BL57" s="326"/>
      <c r="BM57" s="659">
        <f>SUM(AL58:BI58)</f>
        <v>1</v>
      </c>
      <c r="BN57" s="660"/>
      <c r="BO57" s="661"/>
      <c r="BP57" s="327" t="s">
        <v>107</v>
      </c>
      <c r="BQ57" s="328"/>
      <c r="BR57" s="326"/>
      <c r="BS57" s="665"/>
      <c r="BT57" s="666"/>
      <c r="BU57" s="667"/>
      <c r="BW57" s="684"/>
      <c r="BX57" s="685"/>
      <c r="BY57" s="685"/>
      <c r="BZ57" s="685"/>
      <c r="CA57" s="685"/>
      <c r="CB57" s="685"/>
      <c r="CC57" s="685"/>
      <c r="CD57" s="685"/>
      <c r="CE57" s="685"/>
      <c r="CF57" s="685"/>
      <c r="CG57" s="685"/>
      <c r="CH57" s="686"/>
    </row>
    <row r="58" spans="2:86" ht="22.5" customHeight="1" thickBot="1">
      <c r="B58" s="622">
        <v>210</v>
      </c>
      <c r="C58" s="623"/>
      <c r="D58" s="624" t="s">
        <v>558</v>
      </c>
      <c r="E58" s="624"/>
      <c r="F58" s="624"/>
      <c r="G58" s="624"/>
      <c r="H58" s="624"/>
      <c r="I58" s="624"/>
      <c r="J58" s="625">
        <v>4</v>
      </c>
      <c r="K58" s="625"/>
      <c r="L58" s="626"/>
      <c r="M58" s="626"/>
      <c r="N58" s="626"/>
      <c r="O58" s="626"/>
      <c r="P58" s="626"/>
      <c r="Q58" s="626"/>
      <c r="R58" s="626"/>
      <c r="S58" s="211"/>
      <c r="T58" s="626"/>
      <c r="U58" s="626"/>
      <c r="V58" s="626"/>
      <c r="W58" s="626"/>
      <c r="X58" s="627"/>
      <c r="Y58" s="628"/>
      <c r="Z58" s="624"/>
      <c r="AA58" s="624"/>
      <c r="AB58" s="624"/>
      <c r="AC58" s="624"/>
      <c r="AD58" s="624"/>
      <c r="AE58" s="624"/>
      <c r="AF58" s="624"/>
      <c r="AG58" s="624"/>
      <c r="AH58" s="624"/>
      <c r="AI58" s="624"/>
      <c r="AJ58" s="629"/>
      <c r="AL58" s="330">
        <v>0</v>
      </c>
      <c r="AM58" s="330"/>
      <c r="AN58" s="330">
        <v>0</v>
      </c>
      <c r="AO58" s="330"/>
      <c r="AP58" s="330">
        <v>1</v>
      </c>
      <c r="AQ58" s="330"/>
      <c r="AR58" s="330"/>
      <c r="AS58" s="330"/>
      <c r="AT58" s="330"/>
      <c r="AU58" s="330"/>
      <c r="AV58" s="330"/>
      <c r="AW58" s="330"/>
      <c r="AX58" s="330"/>
      <c r="AY58" s="330"/>
      <c r="AZ58" s="330"/>
      <c r="BA58" s="330"/>
      <c r="BB58" s="330"/>
      <c r="BC58" s="330"/>
      <c r="BD58" s="330"/>
      <c r="BE58" s="330"/>
      <c r="BF58" s="330"/>
      <c r="BG58" s="330"/>
      <c r="BH58" s="330"/>
      <c r="BI58" s="330"/>
      <c r="BK58" s="575"/>
      <c r="BL58" s="576"/>
      <c r="BM58" s="662"/>
      <c r="BN58" s="663"/>
      <c r="BO58" s="664"/>
      <c r="BP58" s="652">
        <f>IF(COUNT(AL58:BI58)=0,"",ROUND(AVERAGE(AL58:BI58),1))</f>
        <v>0.3</v>
      </c>
      <c r="BQ58" s="653"/>
      <c r="BR58" s="654"/>
      <c r="BS58" s="668"/>
      <c r="BT58" s="669"/>
      <c r="BU58" s="670"/>
    </row>
    <row r="59" spans="2:86" ht="22.5" customHeight="1">
      <c r="B59" s="550">
        <v>301</v>
      </c>
      <c r="C59" s="645"/>
      <c r="D59" s="646"/>
      <c r="E59" s="646"/>
      <c r="F59" s="646"/>
      <c r="G59" s="646"/>
      <c r="H59" s="646"/>
      <c r="I59" s="646"/>
      <c r="J59" s="647"/>
      <c r="K59" s="647"/>
      <c r="L59" s="648"/>
      <c r="M59" s="648"/>
      <c r="N59" s="648"/>
      <c r="O59" s="648"/>
      <c r="P59" s="648"/>
      <c r="Q59" s="648"/>
      <c r="R59" s="648"/>
      <c r="S59" s="212"/>
      <c r="T59" s="648"/>
      <c r="U59" s="648"/>
      <c r="V59" s="648"/>
      <c r="W59" s="648"/>
      <c r="X59" s="649"/>
      <c r="Y59" s="650"/>
      <c r="Z59" s="646"/>
      <c r="AA59" s="646"/>
      <c r="AB59" s="646"/>
      <c r="AC59" s="646"/>
      <c r="AD59" s="646"/>
      <c r="AE59" s="646"/>
      <c r="AF59" s="646"/>
      <c r="AG59" s="646"/>
      <c r="AH59" s="646"/>
      <c r="AI59" s="646"/>
      <c r="AJ59" s="651"/>
      <c r="AY59" s="172"/>
      <c r="AZ59" s="172"/>
      <c r="BA59" s="172"/>
      <c r="BB59" s="168"/>
      <c r="BC59" s="168"/>
      <c r="BD59" s="168"/>
      <c r="BE59" s="168"/>
      <c r="BF59" s="169"/>
      <c r="BG59" s="169"/>
      <c r="BH59" s="169"/>
      <c r="BI59" s="169"/>
      <c r="BW59" s="179" t="s">
        <v>259</v>
      </c>
      <c r="BX59" s="179"/>
      <c r="BY59" s="179"/>
      <c r="BZ59" s="179"/>
      <c r="CA59" s="179"/>
      <c r="CB59" s="179"/>
      <c r="CC59" s="179"/>
      <c r="CD59" s="179"/>
      <c r="CE59" s="179"/>
      <c r="CF59" s="179"/>
      <c r="CG59" s="179"/>
      <c r="CH59" s="179"/>
    </row>
    <row r="60" spans="2:86" ht="22.5" customHeight="1">
      <c r="B60" s="486">
        <v>302</v>
      </c>
      <c r="C60" s="606"/>
      <c r="D60" s="317"/>
      <c r="E60" s="317"/>
      <c r="F60" s="317"/>
      <c r="G60" s="317"/>
      <c r="H60" s="317"/>
      <c r="I60" s="317"/>
      <c r="J60" s="426"/>
      <c r="K60" s="426"/>
      <c r="L60" s="607"/>
      <c r="M60" s="607"/>
      <c r="N60" s="607"/>
      <c r="O60" s="607"/>
      <c r="P60" s="607"/>
      <c r="Q60" s="607"/>
      <c r="R60" s="607"/>
      <c r="S60" s="209"/>
      <c r="T60" s="607"/>
      <c r="U60" s="607"/>
      <c r="V60" s="607"/>
      <c r="W60" s="607"/>
      <c r="X60" s="608"/>
      <c r="Y60" s="319"/>
      <c r="Z60" s="317"/>
      <c r="AA60" s="317"/>
      <c r="AB60" s="317"/>
      <c r="AC60" s="317"/>
      <c r="AD60" s="317"/>
      <c r="AE60" s="317"/>
      <c r="AF60" s="317"/>
      <c r="AG60" s="317"/>
      <c r="AH60" s="317"/>
      <c r="AI60" s="317"/>
      <c r="AJ60" s="320"/>
      <c r="AL60" s="182" t="s">
        <v>231</v>
      </c>
      <c r="AM60" s="182"/>
      <c r="AN60" s="182"/>
      <c r="AO60" s="182"/>
      <c r="AP60" s="182"/>
      <c r="AQ60" s="182"/>
      <c r="AR60" s="183"/>
      <c r="AS60" s="183"/>
      <c r="AT60" s="183"/>
      <c r="AU60" s="183"/>
      <c r="AV60" s="183"/>
      <c r="AW60" s="183"/>
      <c r="AX60" s="184"/>
      <c r="AY60" s="184"/>
      <c r="AZ60" s="184"/>
      <c r="BA60" s="184"/>
      <c r="BB60" s="185"/>
      <c r="BC60" s="185"/>
      <c r="BD60" s="185"/>
      <c r="BE60" s="185"/>
      <c r="BF60" s="186"/>
      <c r="BG60" s="186"/>
      <c r="BH60" s="186"/>
      <c r="BI60" s="186"/>
      <c r="BJ60" s="163"/>
      <c r="BK60" s="163"/>
      <c r="BL60" s="163"/>
      <c r="BM60" s="163"/>
      <c r="BN60" s="163"/>
      <c r="BO60" s="163"/>
      <c r="BP60" s="163"/>
      <c r="BQ60" s="163"/>
      <c r="BR60" s="163"/>
      <c r="BS60" s="163"/>
      <c r="BT60" s="163"/>
      <c r="BU60" s="163"/>
      <c r="BW60" s="687"/>
      <c r="BX60" s="688"/>
      <c r="BY60" s="688"/>
      <c r="BZ60" s="688"/>
      <c r="CA60" s="688"/>
      <c r="CB60" s="688"/>
      <c r="CC60" s="688"/>
      <c r="CD60" s="688"/>
      <c r="CE60" s="688"/>
      <c r="CF60" s="688"/>
      <c r="CG60" s="688"/>
      <c r="CH60" s="689"/>
    </row>
    <row r="61" spans="2:86" ht="22.5" customHeight="1">
      <c r="B61" s="486">
        <v>303</v>
      </c>
      <c r="C61" s="606"/>
      <c r="D61" s="317"/>
      <c r="E61" s="317"/>
      <c r="F61" s="317"/>
      <c r="G61" s="317"/>
      <c r="H61" s="317"/>
      <c r="I61" s="317"/>
      <c r="J61" s="426"/>
      <c r="K61" s="426"/>
      <c r="L61" s="607"/>
      <c r="M61" s="607"/>
      <c r="N61" s="607"/>
      <c r="O61" s="607"/>
      <c r="P61" s="607"/>
      <c r="Q61" s="607"/>
      <c r="R61" s="607"/>
      <c r="S61" s="209"/>
      <c r="T61" s="607"/>
      <c r="U61" s="607"/>
      <c r="V61" s="607"/>
      <c r="W61" s="607"/>
      <c r="X61" s="608"/>
      <c r="Y61" s="319"/>
      <c r="Z61" s="317"/>
      <c r="AA61" s="317"/>
      <c r="AB61" s="317"/>
      <c r="AC61" s="317"/>
      <c r="AD61" s="317"/>
      <c r="AE61" s="317"/>
      <c r="AF61" s="317"/>
      <c r="AG61" s="317"/>
      <c r="AH61" s="317"/>
      <c r="AI61" s="317"/>
      <c r="AJ61" s="320"/>
      <c r="AL61" s="600" t="s">
        <v>27</v>
      </c>
      <c r="AM61" s="600"/>
      <c r="AN61" s="600" t="s">
        <v>58</v>
      </c>
      <c r="AO61" s="600"/>
      <c r="AP61" s="600" t="s">
        <v>14</v>
      </c>
      <c r="AQ61" s="600"/>
      <c r="AR61" s="600" t="s">
        <v>22</v>
      </c>
      <c r="AS61" s="600"/>
      <c r="AT61" s="600" t="s">
        <v>1</v>
      </c>
      <c r="AU61" s="600"/>
      <c r="AV61" s="600" t="s">
        <v>18</v>
      </c>
      <c r="AW61" s="600"/>
      <c r="AX61" s="600" t="s">
        <v>28</v>
      </c>
      <c r="AY61" s="600"/>
      <c r="AZ61" s="600" t="s">
        <v>24</v>
      </c>
      <c r="BA61" s="600"/>
      <c r="BB61" s="600" t="s">
        <v>16</v>
      </c>
      <c r="BC61" s="600"/>
      <c r="BD61" s="600" t="s">
        <v>67</v>
      </c>
      <c r="BE61" s="600"/>
      <c r="BF61" s="600" t="s">
        <v>20</v>
      </c>
      <c r="BG61" s="600"/>
      <c r="BH61" s="600" t="s">
        <v>68</v>
      </c>
      <c r="BI61" s="600"/>
      <c r="BK61" s="658" t="s">
        <v>108</v>
      </c>
      <c r="BL61" s="326"/>
      <c r="BM61" s="699">
        <f>SUM(AL62:BI62)</f>
        <v>0</v>
      </c>
      <c r="BN61" s="700"/>
      <c r="BO61" s="701"/>
      <c r="BP61" s="327" t="s">
        <v>107</v>
      </c>
      <c r="BQ61" s="328"/>
      <c r="BR61" s="326"/>
      <c r="BS61" s="665"/>
      <c r="BT61" s="666"/>
      <c r="BU61" s="667"/>
      <c r="BW61" s="690"/>
      <c r="BX61" s="691"/>
      <c r="BY61" s="691"/>
      <c r="BZ61" s="691"/>
      <c r="CA61" s="691"/>
      <c r="CB61" s="691"/>
      <c r="CC61" s="691"/>
      <c r="CD61" s="691"/>
      <c r="CE61" s="691"/>
      <c r="CF61" s="691"/>
      <c r="CG61" s="691"/>
      <c r="CH61" s="692"/>
    </row>
    <row r="62" spans="2:86" ht="22.5" customHeight="1">
      <c r="B62" s="486">
        <v>304</v>
      </c>
      <c r="C62" s="606"/>
      <c r="D62" s="317"/>
      <c r="E62" s="317"/>
      <c r="F62" s="317"/>
      <c r="G62" s="317"/>
      <c r="H62" s="317"/>
      <c r="I62" s="317"/>
      <c r="J62" s="426"/>
      <c r="K62" s="426"/>
      <c r="L62" s="607"/>
      <c r="M62" s="607"/>
      <c r="N62" s="607"/>
      <c r="O62" s="607"/>
      <c r="P62" s="607"/>
      <c r="Q62" s="607"/>
      <c r="R62" s="607"/>
      <c r="S62" s="209"/>
      <c r="T62" s="607"/>
      <c r="U62" s="607"/>
      <c r="V62" s="607"/>
      <c r="W62" s="607"/>
      <c r="X62" s="608"/>
      <c r="Y62" s="319"/>
      <c r="Z62" s="317"/>
      <c r="AA62" s="317"/>
      <c r="AB62" s="317"/>
      <c r="AC62" s="317"/>
      <c r="AD62" s="317"/>
      <c r="AE62" s="317"/>
      <c r="AF62" s="317"/>
      <c r="AG62" s="317"/>
      <c r="AH62" s="317"/>
      <c r="AI62" s="317"/>
      <c r="AJ62" s="320"/>
      <c r="AL62" s="330"/>
      <c r="AM62" s="330"/>
      <c r="AN62" s="330"/>
      <c r="AO62" s="330"/>
      <c r="AP62" s="330"/>
      <c r="AQ62" s="330"/>
      <c r="AR62" s="330"/>
      <c r="AS62" s="330"/>
      <c r="AT62" s="330"/>
      <c r="AU62" s="330"/>
      <c r="AV62" s="330"/>
      <c r="AW62" s="330"/>
      <c r="AX62" s="330"/>
      <c r="AY62" s="330"/>
      <c r="AZ62" s="330"/>
      <c r="BA62" s="330"/>
      <c r="BB62" s="330"/>
      <c r="BC62" s="330"/>
      <c r="BD62" s="330"/>
      <c r="BE62" s="330"/>
      <c r="BF62" s="330"/>
      <c r="BG62" s="330"/>
      <c r="BH62" s="330"/>
      <c r="BI62" s="330"/>
      <c r="BK62" s="575"/>
      <c r="BL62" s="576"/>
      <c r="BM62" s="702"/>
      <c r="BN62" s="703"/>
      <c r="BO62" s="704"/>
      <c r="BP62" s="696" t="str">
        <f>IF(COUNT(AL62:BI62)=0,"",ROUND(AVERAGE(AL62:BI62),1))</f>
        <v/>
      </c>
      <c r="BQ62" s="697"/>
      <c r="BR62" s="698"/>
      <c r="BS62" s="668"/>
      <c r="BT62" s="669"/>
      <c r="BU62" s="670"/>
      <c r="BW62" s="690"/>
      <c r="BX62" s="691"/>
      <c r="BY62" s="691"/>
      <c r="BZ62" s="691"/>
      <c r="CA62" s="691"/>
      <c r="CB62" s="691"/>
      <c r="CC62" s="691"/>
      <c r="CD62" s="691"/>
      <c r="CE62" s="691"/>
      <c r="CF62" s="691"/>
      <c r="CG62" s="691"/>
      <c r="CH62" s="692"/>
    </row>
    <row r="63" spans="2:86" ht="22.5" customHeight="1">
      <c r="B63" s="486">
        <v>305</v>
      </c>
      <c r="C63" s="606"/>
      <c r="D63" s="317"/>
      <c r="E63" s="317"/>
      <c r="F63" s="317"/>
      <c r="G63" s="317"/>
      <c r="H63" s="317"/>
      <c r="I63" s="317"/>
      <c r="J63" s="426"/>
      <c r="K63" s="426"/>
      <c r="L63" s="607"/>
      <c r="M63" s="607"/>
      <c r="N63" s="607"/>
      <c r="O63" s="607"/>
      <c r="P63" s="607"/>
      <c r="Q63" s="607"/>
      <c r="R63" s="607"/>
      <c r="S63" s="209"/>
      <c r="T63" s="607"/>
      <c r="U63" s="607"/>
      <c r="V63" s="607"/>
      <c r="W63" s="607"/>
      <c r="X63" s="608"/>
      <c r="Y63" s="319"/>
      <c r="Z63" s="317"/>
      <c r="AA63" s="317"/>
      <c r="AB63" s="317"/>
      <c r="AC63" s="317"/>
      <c r="AD63" s="317"/>
      <c r="AE63" s="317"/>
      <c r="AF63" s="317"/>
      <c r="AG63" s="317"/>
      <c r="AH63" s="317"/>
      <c r="AI63" s="317"/>
      <c r="AJ63" s="320"/>
      <c r="AY63" s="172"/>
      <c r="AZ63" s="172"/>
      <c r="BA63" s="172"/>
      <c r="BB63" s="168"/>
      <c r="BC63" s="168"/>
      <c r="BD63" s="168"/>
      <c r="BE63" s="168"/>
      <c r="BF63" s="169"/>
      <c r="BG63" s="169"/>
      <c r="BH63" s="169"/>
      <c r="BI63" s="169"/>
      <c r="BW63" s="690"/>
      <c r="BX63" s="691"/>
      <c r="BY63" s="691"/>
      <c r="BZ63" s="691"/>
      <c r="CA63" s="691"/>
      <c r="CB63" s="691"/>
      <c r="CC63" s="691"/>
      <c r="CD63" s="691"/>
      <c r="CE63" s="691"/>
      <c r="CF63" s="691"/>
      <c r="CG63" s="691"/>
      <c r="CH63" s="692"/>
    </row>
    <row r="64" spans="2:86" ht="22.5" customHeight="1">
      <c r="B64" s="486">
        <v>306</v>
      </c>
      <c r="C64" s="606"/>
      <c r="D64" s="317"/>
      <c r="E64" s="317"/>
      <c r="F64" s="317"/>
      <c r="G64" s="317"/>
      <c r="H64" s="317"/>
      <c r="I64" s="317"/>
      <c r="J64" s="426"/>
      <c r="K64" s="426"/>
      <c r="L64" s="607"/>
      <c r="M64" s="607"/>
      <c r="N64" s="607"/>
      <c r="O64" s="607"/>
      <c r="P64" s="607"/>
      <c r="Q64" s="607"/>
      <c r="R64" s="607"/>
      <c r="S64" s="209"/>
      <c r="T64" s="607"/>
      <c r="U64" s="607"/>
      <c r="V64" s="607"/>
      <c r="W64" s="607"/>
      <c r="X64" s="608"/>
      <c r="Y64" s="319"/>
      <c r="Z64" s="317"/>
      <c r="AA64" s="317"/>
      <c r="AB64" s="317"/>
      <c r="AC64" s="317"/>
      <c r="AD64" s="317"/>
      <c r="AE64" s="317"/>
      <c r="AF64" s="317"/>
      <c r="AG64" s="317"/>
      <c r="AH64" s="317"/>
      <c r="AI64" s="317"/>
      <c r="AJ64" s="320"/>
      <c r="AL64" s="182" t="s">
        <v>230</v>
      </c>
      <c r="AM64" s="182"/>
      <c r="AN64" s="182"/>
      <c r="AO64" s="182"/>
      <c r="AP64" s="182"/>
      <c r="AQ64" s="182"/>
      <c r="AR64" s="183"/>
      <c r="AS64" s="183"/>
      <c r="AT64" s="183"/>
      <c r="AU64" s="183"/>
      <c r="AV64" s="183"/>
      <c r="AW64" s="183"/>
      <c r="AX64" s="179"/>
      <c r="AY64" s="184"/>
      <c r="AZ64" s="184"/>
      <c r="BA64" s="184"/>
      <c r="BB64" s="185"/>
      <c r="BC64" s="185"/>
      <c r="BD64" s="185"/>
      <c r="BE64" s="185"/>
      <c r="BF64" s="186"/>
      <c r="BG64" s="186"/>
      <c r="BH64" s="186"/>
      <c r="BI64" s="186"/>
      <c r="BJ64" s="163"/>
      <c r="BK64" s="163"/>
      <c r="BL64" s="163"/>
      <c r="BM64" s="163"/>
      <c r="BN64" s="163"/>
      <c r="BO64" s="163"/>
      <c r="BP64" s="163"/>
      <c r="BQ64" s="163"/>
      <c r="BR64" s="163"/>
      <c r="BS64" s="163"/>
      <c r="BT64" s="163"/>
      <c r="BU64" s="163"/>
      <c r="BW64" s="690"/>
      <c r="BX64" s="691"/>
      <c r="BY64" s="691"/>
      <c r="BZ64" s="691"/>
      <c r="CA64" s="691"/>
      <c r="CB64" s="691"/>
      <c r="CC64" s="691"/>
      <c r="CD64" s="691"/>
      <c r="CE64" s="691"/>
      <c r="CF64" s="691"/>
      <c r="CG64" s="691"/>
      <c r="CH64" s="692"/>
    </row>
    <row r="65" spans="2:86" ht="22.5" customHeight="1">
      <c r="B65" s="486">
        <v>307</v>
      </c>
      <c r="C65" s="606"/>
      <c r="D65" s="317"/>
      <c r="E65" s="317"/>
      <c r="F65" s="317"/>
      <c r="G65" s="317"/>
      <c r="H65" s="317"/>
      <c r="I65" s="317"/>
      <c r="J65" s="426"/>
      <c r="K65" s="426"/>
      <c r="L65" s="607"/>
      <c r="M65" s="607"/>
      <c r="N65" s="607"/>
      <c r="O65" s="607"/>
      <c r="P65" s="607"/>
      <c r="Q65" s="607"/>
      <c r="R65" s="607"/>
      <c r="S65" s="209"/>
      <c r="T65" s="607"/>
      <c r="U65" s="607"/>
      <c r="V65" s="607"/>
      <c r="W65" s="607"/>
      <c r="X65" s="608"/>
      <c r="Y65" s="319"/>
      <c r="Z65" s="317"/>
      <c r="AA65" s="317"/>
      <c r="AB65" s="317"/>
      <c r="AC65" s="317"/>
      <c r="AD65" s="317"/>
      <c r="AE65" s="317"/>
      <c r="AF65" s="317"/>
      <c r="AG65" s="317"/>
      <c r="AH65" s="317"/>
      <c r="AI65" s="317"/>
      <c r="AJ65" s="320"/>
      <c r="AL65" s="600" t="s">
        <v>27</v>
      </c>
      <c r="AM65" s="600"/>
      <c r="AN65" s="600" t="s">
        <v>58</v>
      </c>
      <c r="AO65" s="600"/>
      <c r="AP65" s="600" t="s">
        <v>14</v>
      </c>
      <c r="AQ65" s="600"/>
      <c r="AR65" s="600" t="s">
        <v>22</v>
      </c>
      <c r="AS65" s="600"/>
      <c r="AT65" s="600" t="s">
        <v>1</v>
      </c>
      <c r="AU65" s="600"/>
      <c r="AV65" s="600" t="s">
        <v>18</v>
      </c>
      <c r="AW65" s="600"/>
      <c r="AX65" s="600" t="s">
        <v>28</v>
      </c>
      <c r="AY65" s="600"/>
      <c r="AZ65" s="600" t="s">
        <v>24</v>
      </c>
      <c r="BA65" s="600"/>
      <c r="BB65" s="600" t="s">
        <v>16</v>
      </c>
      <c r="BC65" s="600"/>
      <c r="BD65" s="600" t="s">
        <v>67</v>
      </c>
      <c r="BE65" s="600"/>
      <c r="BF65" s="600" t="s">
        <v>20</v>
      </c>
      <c r="BG65" s="600"/>
      <c r="BH65" s="600" t="s">
        <v>68</v>
      </c>
      <c r="BI65" s="600"/>
      <c r="BK65" s="658" t="s">
        <v>108</v>
      </c>
      <c r="BL65" s="326"/>
      <c r="BM65" s="699">
        <f>SUM(AL66:BI66)</f>
        <v>0</v>
      </c>
      <c r="BN65" s="700"/>
      <c r="BO65" s="701"/>
      <c r="BP65" s="327" t="s">
        <v>107</v>
      </c>
      <c r="BQ65" s="328"/>
      <c r="BR65" s="326"/>
      <c r="BS65" s="665"/>
      <c r="BT65" s="666"/>
      <c r="BU65" s="667"/>
      <c r="BW65" s="690"/>
      <c r="BX65" s="691"/>
      <c r="BY65" s="691"/>
      <c r="BZ65" s="691"/>
      <c r="CA65" s="691"/>
      <c r="CB65" s="691"/>
      <c r="CC65" s="691"/>
      <c r="CD65" s="691"/>
      <c r="CE65" s="691"/>
      <c r="CF65" s="691"/>
      <c r="CG65" s="691"/>
      <c r="CH65" s="692"/>
    </row>
    <row r="66" spans="2:86" ht="22.5" customHeight="1">
      <c r="B66" s="486">
        <v>308</v>
      </c>
      <c r="C66" s="606"/>
      <c r="D66" s="317"/>
      <c r="E66" s="317"/>
      <c r="F66" s="317"/>
      <c r="G66" s="317"/>
      <c r="H66" s="317"/>
      <c r="I66" s="317"/>
      <c r="J66" s="426"/>
      <c r="K66" s="426"/>
      <c r="L66" s="607"/>
      <c r="M66" s="607"/>
      <c r="N66" s="607"/>
      <c r="O66" s="607"/>
      <c r="P66" s="607"/>
      <c r="Q66" s="607"/>
      <c r="R66" s="607"/>
      <c r="S66" s="209"/>
      <c r="T66" s="607"/>
      <c r="U66" s="607"/>
      <c r="V66" s="607"/>
      <c r="W66" s="607"/>
      <c r="X66" s="608"/>
      <c r="Y66" s="319"/>
      <c r="Z66" s="317"/>
      <c r="AA66" s="317"/>
      <c r="AB66" s="317"/>
      <c r="AC66" s="317"/>
      <c r="AD66" s="317"/>
      <c r="AE66" s="317"/>
      <c r="AF66" s="317"/>
      <c r="AG66" s="317"/>
      <c r="AH66" s="317"/>
      <c r="AI66" s="317"/>
      <c r="AJ66" s="320"/>
      <c r="AL66" s="330"/>
      <c r="AM66" s="330"/>
      <c r="AN66" s="330"/>
      <c r="AO66" s="330"/>
      <c r="AP66" s="330"/>
      <c r="AQ66" s="330"/>
      <c r="AR66" s="330"/>
      <c r="AS66" s="330"/>
      <c r="AT66" s="330"/>
      <c r="AU66" s="330"/>
      <c r="AV66" s="330"/>
      <c r="AW66" s="330"/>
      <c r="AX66" s="330"/>
      <c r="AY66" s="330"/>
      <c r="AZ66" s="330"/>
      <c r="BA66" s="330"/>
      <c r="BB66" s="330"/>
      <c r="BC66" s="330"/>
      <c r="BD66" s="330"/>
      <c r="BE66" s="330"/>
      <c r="BF66" s="330"/>
      <c r="BG66" s="330"/>
      <c r="BH66" s="330"/>
      <c r="BI66" s="330"/>
      <c r="BK66" s="575"/>
      <c r="BL66" s="576"/>
      <c r="BM66" s="702"/>
      <c r="BN66" s="703"/>
      <c r="BO66" s="704"/>
      <c r="BP66" s="696" t="str">
        <f>IF(COUNT(AL66:BI66)=0,"",ROUND(AVERAGE(AL66:BI66),1))</f>
        <v/>
      </c>
      <c r="BQ66" s="697"/>
      <c r="BR66" s="698"/>
      <c r="BS66" s="668"/>
      <c r="BT66" s="669"/>
      <c r="BU66" s="670"/>
      <c r="BW66" s="693"/>
      <c r="BX66" s="694"/>
      <c r="BY66" s="694"/>
      <c r="BZ66" s="694"/>
      <c r="CA66" s="694"/>
      <c r="CB66" s="694"/>
      <c r="CC66" s="694"/>
      <c r="CD66" s="694"/>
      <c r="CE66" s="694"/>
      <c r="CF66" s="694"/>
      <c r="CG66" s="694"/>
      <c r="CH66" s="695"/>
    </row>
    <row r="67" spans="2:86" ht="22.5" customHeight="1">
      <c r="B67" s="486">
        <v>309</v>
      </c>
      <c r="C67" s="606"/>
      <c r="D67" s="317"/>
      <c r="E67" s="317"/>
      <c r="F67" s="317"/>
      <c r="G67" s="317"/>
      <c r="H67" s="317"/>
      <c r="I67" s="317"/>
      <c r="J67" s="426"/>
      <c r="K67" s="426"/>
      <c r="L67" s="607"/>
      <c r="M67" s="607"/>
      <c r="N67" s="607"/>
      <c r="O67" s="607"/>
      <c r="P67" s="607"/>
      <c r="Q67" s="607"/>
      <c r="R67" s="607"/>
      <c r="S67" s="209"/>
      <c r="T67" s="607"/>
      <c r="U67" s="607"/>
      <c r="V67" s="607"/>
      <c r="W67" s="607"/>
      <c r="X67" s="608"/>
      <c r="Y67" s="319"/>
      <c r="Z67" s="317"/>
      <c r="AA67" s="317"/>
      <c r="AB67" s="317"/>
      <c r="AC67" s="317"/>
      <c r="AD67" s="317"/>
      <c r="AE67" s="317"/>
      <c r="AF67" s="317"/>
      <c r="AG67" s="317"/>
      <c r="AH67" s="317"/>
      <c r="AI67" s="317"/>
      <c r="AJ67" s="320"/>
    </row>
    <row r="68" spans="2:86" ht="22.5" customHeight="1">
      <c r="B68" s="575">
        <v>310</v>
      </c>
      <c r="C68" s="705"/>
      <c r="D68" s="534"/>
      <c r="E68" s="534"/>
      <c r="F68" s="534"/>
      <c r="G68" s="534"/>
      <c r="H68" s="534"/>
      <c r="I68" s="534"/>
      <c r="J68" s="706"/>
      <c r="K68" s="706"/>
      <c r="L68" s="656"/>
      <c r="M68" s="656"/>
      <c r="N68" s="656"/>
      <c r="O68" s="656"/>
      <c r="P68" s="656"/>
      <c r="Q68" s="656"/>
      <c r="R68" s="656"/>
      <c r="S68" s="213"/>
      <c r="T68" s="656"/>
      <c r="U68" s="656"/>
      <c r="V68" s="656"/>
      <c r="W68" s="656"/>
      <c r="X68" s="657"/>
      <c r="Y68" s="707"/>
      <c r="Z68" s="534"/>
      <c r="AA68" s="534"/>
      <c r="AB68" s="534"/>
      <c r="AC68" s="534"/>
      <c r="AD68" s="534"/>
      <c r="AE68" s="534"/>
      <c r="AF68" s="534"/>
      <c r="AG68" s="534"/>
      <c r="AH68" s="534"/>
      <c r="AI68" s="534"/>
      <c r="AJ68" s="535"/>
    </row>
    <row r="70" spans="2:86" ht="22.5" customHeight="1">
      <c r="B70" s="181" t="s">
        <v>31</v>
      </c>
      <c r="C70" s="179"/>
      <c r="D70" s="179"/>
      <c r="E70" s="179"/>
      <c r="F70" s="179"/>
      <c r="G70" s="179"/>
      <c r="H70" s="179"/>
      <c r="I70" s="179"/>
      <c r="J70" s="179"/>
      <c r="K70" s="179"/>
      <c r="L70" s="179"/>
      <c r="M70" s="179"/>
      <c r="N70" s="179"/>
      <c r="O70" s="179"/>
      <c r="P70" s="179"/>
      <c r="Q70" s="179"/>
      <c r="R70" s="179"/>
      <c r="S70" s="179"/>
      <c r="T70" s="179"/>
      <c r="U70" s="179"/>
      <c r="V70" s="179"/>
      <c r="W70" s="179"/>
      <c r="X70" s="179"/>
      <c r="Y70" s="179"/>
      <c r="Z70" s="179"/>
      <c r="AA70" s="179"/>
    </row>
    <row r="71" spans="2:86" ht="22.5" customHeight="1">
      <c r="B71" s="406" t="s">
        <v>0</v>
      </c>
      <c r="C71" s="406"/>
      <c r="D71" s="406"/>
      <c r="E71" s="406"/>
      <c r="F71" s="406"/>
      <c r="G71" s="406"/>
      <c r="H71" s="406"/>
      <c r="I71" s="406"/>
      <c r="J71" s="406"/>
      <c r="K71" s="406"/>
      <c r="L71" s="346" t="s">
        <v>30</v>
      </c>
      <c r="M71" s="343"/>
      <c r="N71" s="343"/>
      <c r="O71" s="343"/>
      <c r="P71" s="343"/>
      <c r="Q71" s="343"/>
      <c r="R71" s="343"/>
      <c r="S71" s="343"/>
      <c r="T71" s="343"/>
      <c r="U71" s="343"/>
      <c r="V71" s="343"/>
      <c r="W71" s="343"/>
      <c r="X71" s="343"/>
      <c r="Y71" s="343"/>
      <c r="Z71" s="343"/>
      <c r="AA71" s="345"/>
    </row>
    <row r="72" spans="2:86" ht="22.5" customHeight="1">
      <c r="B72" s="166" t="s">
        <v>228</v>
      </c>
      <c r="C72" s="429" t="s">
        <v>5</v>
      </c>
      <c r="D72" s="429"/>
      <c r="E72" s="429"/>
      <c r="F72" s="430" t="s">
        <v>8</v>
      </c>
      <c r="G72" s="430"/>
      <c r="H72" s="430"/>
      <c r="I72" s="430"/>
      <c r="J72" s="430"/>
      <c r="K72" s="430"/>
      <c r="L72" s="431" t="s">
        <v>12</v>
      </c>
      <c r="M72" s="432"/>
      <c r="N72" s="433" t="s">
        <v>11</v>
      </c>
      <c r="O72" s="434"/>
      <c r="P72" s="435"/>
      <c r="Q72" s="436"/>
      <c r="R72" s="436"/>
      <c r="S72" s="437"/>
      <c r="T72" s="431" t="s">
        <v>12</v>
      </c>
      <c r="U72" s="432"/>
      <c r="V72" s="433"/>
      <c r="W72" s="434"/>
      <c r="X72" s="435"/>
      <c r="Y72" s="436"/>
      <c r="Z72" s="436"/>
      <c r="AA72" s="438"/>
    </row>
    <row r="73" spans="2:86" ht="22.5" customHeight="1">
      <c r="B73" s="166" t="s">
        <v>228</v>
      </c>
      <c r="C73" s="429"/>
      <c r="D73" s="429"/>
      <c r="E73" s="429"/>
      <c r="F73" s="430" t="s">
        <v>7</v>
      </c>
      <c r="G73" s="430"/>
      <c r="H73" s="430"/>
      <c r="I73" s="430"/>
      <c r="J73" s="430"/>
      <c r="K73" s="430"/>
      <c r="L73" s="431" t="s">
        <v>12</v>
      </c>
      <c r="M73" s="432"/>
      <c r="N73" s="433" t="s">
        <v>11</v>
      </c>
      <c r="O73" s="434"/>
      <c r="P73" s="435"/>
      <c r="Q73" s="436"/>
      <c r="R73" s="436"/>
      <c r="S73" s="437"/>
      <c r="T73" s="431" t="s">
        <v>12</v>
      </c>
      <c r="U73" s="432"/>
      <c r="V73" s="433"/>
      <c r="W73" s="434"/>
      <c r="X73" s="435"/>
      <c r="Y73" s="436"/>
      <c r="Z73" s="436"/>
      <c r="AA73" s="438"/>
    </row>
    <row r="74" spans="2:86" ht="22.5" customHeight="1">
      <c r="B74" s="166" t="s">
        <v>228</v>
      </c>
      <c r="C74" s="429"/>
      <c r="D74" s="429"/>
      <c r="E74" s="429"/>
      <c r="F74" s="430" t="s">
        <v>9</v>
      </c>
      <c r="G74" s="430"/>
      <c r="H74" s="430"/>
      <c r="I74" s="430"/>
      <c r="J74" s="430"/>
      <c r="K74" s="430"/>
      <c r="L74" s="431" t="s">
        <v>12</v>
      </c>
      <c r="M74" s="432"/>
      <c r="N74" s="433" t="s">
        <v>15</v>
      </c>
      <c r="O74" s="434"/>
      <c r="P74" s="205"/>
      <c r="Q74" s="465" t="s">
        <v>17</v>
      </c>
      <c r="R74" s="465"/>
      <c r="S74" s="205"/>
      <c r="T74" s="431" t="s">
        <v>13</v>
      </c>
      <c r="U74" s="432"/>
      <c r="V74" s="433" t="s">
        <v>19</v>
      </c>
      <c r="W74" s="434"/>
      <c r="X74" s="206"/>
      <c r="Y74" s="465" t="s">
        <v>21</v>
      </c>
      <c r="Z74" s="465"/>
      <c r="AA74" s="207"/>
    </row>
    <row r="75" spans="2:86" ht="22.5" customHeight="1">
      <c r="B75" s="166" t="s">
        <v>228</v>
      </c>
      <c r="C75" s="429"/>
      <c r="D75" s="429"/>
      <c r="E75" s="429"/>
      <c r="F75" s="430" t="s">
        <v>6</v>
      </c>
      <c r="G75" s="430"/>
      <c r="H75" s="430"/>
      <c r="I75" s="430"/>
      <c r="J75" s="430"/>
      <c r="K75" s="430"/>
      <c r="L75" s="431" t="s">
        <v>12</v>
      </c>
      <c r="M75" s="432"/>
      <c r="N75" s="433" t="s">
        <v>23</v>
      </c>
      <c r="O75" s="434"/>
      <c r="P75" s="435"/>
      <c r="Q75" s="436"/>
      <c r="R75" s="436"/>
      <c r="S75" s="437"/>
      <c r="T75" s="431" t="s">
        <v>13</v>
      </c>
      <c r="U75" s="432"/>
      <c r="V75" s="433" t="s">
        <v>25</v>
      </c>
      <c r="W75" s="434"/>
      <c r="X75" s="435"/>
      <c r="Y75" s="436"/>
      <c r="Z75" s="436"/>
      <c r="AA75" s="438"/>
    </row>
    <row r="76" spans="2:86" ht="22.5" customHeight="1">
      <c r="B76" s="166" t="s">
        <v>228</v>
      </c>
      <c r="C76" s="429"/>
      <c r="D76" s="429"/>
      <c r="E76" s="429"/>
      <c r="F76" s="461"/>
      <c r="G76" s="461"/>
      <c r="H76" s="461"/>
      <c r="I76" s="461"/>
      <c r="J76" s="461"/>
      <c r="K76" s="461"/>
      <c r="L76" s="431" t="s">
        <v>12</v>
      </c>
      <c r="M76" s="432"/>
      <c r="N76" s="433"/>
      <c r="O76" s="434"/>
      <c r="P76" s="435"/>
      <c r="Q76" s="436"/>
      <c r="R76" s="436"/>
      <c r="S76" s="437"/>
      <c r="T76" s="431" t="s">
        <v>12</v>
      </c>
      <c r="U76" s="432"/>
      <c r="V76" s="433"/>
      <c r="W76" s="434"/>
      <c r="X76" s="435"/>
      <c r="Y76" s="436"/>
      <c r="Z76" s="436"/>
      <c r="AA76" s="438"/>
    </row>
    <row r="77" spans="2:86" ht="22.5" customHeight="1">
      <c r="B77" s="166" t="s">
        <v>228</v>
      </c>
      <c r="C77" s="466" t="s">
        <v>10</v>
      </c>
      <c r="D77" s="466"/>
      <c r="E77" s="466"/>
      <c r="F77" s="466"/>
      <c r="G77" s="466"/>
      <c r="H77" s="466"/>
      <c r="I77" s="466"/>
      <c r="J77" s="466"/>
      <c r="K77" s="466"/>
      <c r="L77" s="472" t="s">
        <v>26</v>
      </c>
      <c r="M77" s="472"/>
      <c r="N77" s="472"/>
      <c r="O77" s="472"/>
      <c r="P77" s="217" t="s">
        <v>724</v>
      </c>
      <c r="Q77" s="218" t="s">
        <v>724</v>
      </c>
      <c r="R77" s="218" t="s">
        <v>724</v>
      </c>
      <c r="S77" s="218" t="s">
        <v>724</v>
      </c>
      <c r="T77" s="218">
        <v>5</v>
      </c>
      <c r="U77" s="218">
        <v>6</v>
      </c>
      <c r="V77" s="218">
        <v>7</v>
      </c>
      <c r="W77" s="218">
        <v>8</v>
      </c>
      <c r="X77" s="218">
        <v>9</v>
      </c>
      <c r="Y77" s="218">
        <v>10</v>
      </c>
      <c r="Z77" s="218">
        <v>11</v>
      </c>
      <c r="AA77" s="219">
        <v>12</v>
      </c>
    </row>
    <row r="78" spans="2:86" ht="22.5" customHeight="1">
      <c r="B78" s="166" t="s">
        <v>228</v>
      </c>
      <c r="C78" s="466" t="s">
        <v>2</v>
      </c>
      <c r="D78" s="466"/>
      <c r="E78" s="466"/>
      <c r="F78" s="466"/>
      <c r="G78" s="466"/>
      <c r="H78" s="466"/>
      <c r="I78" s="466"/>
      <c r="J78" s="466"/>
      <c r="K78" s="466"/>
      <c r="L78" s="431" t="s">
        <v>13</v>
      </c>
      <c r="M78" s="432"/>
      <c r="N78" s="433" t="s">
        <v>27</v>
      </c>
      <c r="O78" s="434"/>
      <c r="P78" s="435" t="s">
        <v>267</v>
      </c>
      <c r="Q78" s="436"/>
      <c r="R78" s="436"/>
      <c r="S78" s="437"/>
      <c r="T78" s="431" t="s">
        <v>13</v>
      </c>
      <c r="U78" s="432"/>
      <c r="V78" s="433" t="s">
        <v>29</v>
      </c>
      <c r="W78" s="434"/>
      <c r="X78" s="435"/>
      <c r="Y78" s="436"/>
      <c r="Z78" s="436"/>
      <c r="AA78" s="438"/>
    </row>
    <row r="79" spans="2:86" ht="22.5" customHeight="1">
      <c r="B79" s="166" t="s">
        <v>228</v>
      </c>
      <c r="C79" s="466" t="s">
        <v>3</v>
      </c>
      <c r="D79" s="466"/>
      <c r="E79" s="466"/>
      <c r="F79" s="466"/>
      <c r="G79" s="466"/>
      <c r="H79" s="466"/>
      <c r="I79" s="466"/>
      <c r="J79" s="466"/>
      <c r="K79" s="466"/>
      <c r="L79" s="477" t="s">
        <v>252</v>
      </c>
      <c r="M79" s="477"/>
      <c r="N79" s="477"/>
      <c r="O79" s="477"/>
      <c r="P79" s="435"/>
      <c r="Q79" s="436"/>
      <c r="R79" s="436"/>
      <c r="S79" s="437"/>
      <c r="T79" s="455" t="s">
        <v>253</v>
      </c>
      <c r="U79" s="456"/>
      <c r="V79" s="456"/>
      <c r="W79" s="456"/>
      <c r="X79" s="456"/>
      <c r="Y79" s="456"/>
      <c r="Z79" s="456"/>
      <c r="AA79" s="457"/>
    </row>
    <row r="80" spans="2:86" ht="22.5" customHeight="1">
      <c r="B80" s="166" t="s">
        <v>228</v>
      </c>
      <c r="C80" s="466" t="s">
        <v>126</v>
      </c>
      <c r="D80" s="466"/>
      <c r="E80" s="466"/>
      <c r="F80" s="466"/>
      <c r="G80" s="466"/>
      <c r="H80" s="466"/>
      <c r="I80" s="466"/>
      <c r="J80" s="466"/>
      <c r="K80" s="466"/>
      <c r="L80" s="431" t="s">
        <v>36</v>
      </c>
      <c r="M80" s="432"/>
      <c r="N80" s="433" t="s">
        <v>245</v>
      </c>
      <c r="O80" s="434"/>
      <c r="P80" s="435"/>
      <c r="Q80" s="436"/>
      <c r="R80" s="436"/>
      <c r="S80" s="437"/>
      <c r="T80" s="431" t="s">
        <v>37</v>
      </c>
      <c r="U80" s="432"/>
      <c r="V80" s="433" t="s">
        <v>245</v>
      </c>
      <c r="W80" s="434"/>
      <c r="X80" s="435"/>
      <c r="Y80" s="436"/>
      <c r="Z80" s="436"/>
      <c r="AA80" s="438"/>
    </row>
    <row r="81" spans="2:63" ht="22.5" customHeight="1">
      <c r="B81" s="166" t="s">
        <v>228</v>
      </c>
      <c r="C81" s="466" t="s">
        <v>4</v>
      </c>
      <c r="D81" s="466"/>
      <c r="E81" s="466"/>
      <c r="F81" s="466"/>
      <c r="G81" s="466"/>
      <c r="H81" s="466"/>
      <c r="I81" s="466"/>
      <c r="J81" s="466"/>
      <c r="K81" s="466"/>
      <c r="L81" s="483"/>
      <c r="M81" s="484"/>
      <c r="N81" s="484"/>
      <c r="O81" s="484"/>
      <c r="P81" s="484"/>
      <c r="Q81" s="484"/>
      <c r="R81" s="484"/>
      <c r="S81" s="484"/>
      <c r="T81" s="484"/>
      <c r="U81" s="484"/>
      <c r="V81" s="484"/>
      <c r="W81" s="484"/>
      <c r="X81" s="484"/>
      <c r="Y81" s="484"/>
      <c r="Z81" s="484"/>
      <c r="AA81" s="485"/>
    </row>
    <row r="83" spans="2:63" ht="22.5" customHeight="1">
      <c r="B83" s="179" t="s">
        <v>40</v>
      </c>
      <c r="C83" s="179"/>
      <c r="D83" s="179"/>
      <c r="E83" s="179"/>
      <c r="F83" s="179"/>
      <c r="G83" s="179"/>
      <c r="H83" s="179"/>
      <c r="I83" s="179"/>
      <c r="J83" s="179"/>
      <c r="K83" s="179"/>
      <c r="L83" s="179"/>
      <c r="M83" s="179"/>
      <c r="N83" s="179"/>
      <c r="O83" s="183"/>
      <c r="P83" s="179"/>
      <c r="Q83" s="179"/>
      <c r="R83" s="179"/>
      <c r="S83" s="179"/>
      <c r="T83" s="179"/>
      <c r="U83" s="179"/>
      <c r="V83" s="179"/>
      <c r="W83" s="179"/>
      <c r="X83" s="179"/>
      <c r="Y83" s="179"/>
      <c r="Z83" s="179"/>
      <c r="AA83" s="179"/>
    </row>
    <row r="84" spans="2:63" ht="22.5" customHeight="1">
      <c r="B84" s="342" t="s">
        <v>48</v>
      </c>
      <c r="C84" s="343"/>
      <c r="D84" s="344"/>
      <c r="E84" s="544" t="s">
        <v>49</v>
      </c>
      <c r="F84" s="545"/>
      <c r="G84" s="546"/>
      <c r="H84" s="547" t="s">
        <v>113</v>
      </c>
      <c r="I84" s="548"/>
      <c r="J84" s="548" t="s">
        <v>114</v>
      </c>
      <c r="K84" s="549"/>
      <c r="L84" s="544" t="s">
        <v>116</v>
      </c>
      <c r="M84" s="545"/>
      <c r="N84" s="545"/>
      <c r="O84" s="545"/>
      <c r="P84" s="545"/>
      <c r="Q84" s="545"/>
      <c r="R84" s="545"/>
      <c r="S84" s="545"/>
      <c r="T84" s="545"/>
      <c r="U84" s="545"/>
      <c r="V84" s="545"/>
      <c r="W84" s="545"/>
      <c r="X84" s="545"/>
      <c r="Y84" s="545"/>
      <c r="Z84" s="545"/>
      <c r="AA84" s="546"/>
    </row>
    <row r="85" spans="2:63" ht="22.5" customHeight="1">
      <c r="B85" s="512"/>
      <c r="C85" s="513"/>
      <c r="D85" s="514"/>
      <c r="E85" s="518"/>
      <c r="F85" s="519"/>
      <c r="G85" s="520"/>
      <c r="H85" s="524" t="str" cm="1">
        <f t="array" ref="H85">IF(SUM(COUNTIF(BF3:BF32,{"月給","常時給"}))=0,"",
IF(SUMPRODUCT((BF3:BF32={"月給","常時給"})*(BR3:BR32="●"))/SUM(COUNTIF(BF3:BF32,{"月給","常時給"}))&gt;=35%,"〇","×"))</f>
        <v>×</v>
      </c>
      <c r="I85" s="525"/>
      <c r="J85" s="525" t="str" cm="1">
        <f t="array" ref="J85">IFERROR(
  IF(
    SUMPRODUCT((BF3:BF32={"月給","常時給"})*(BR3:BR32="●"))/
    SUM(COUNTIF(BF3:BF32,{"月給","常時給"}))&gt;=25%,
    "〇",
    "×"
  ),
"")</f>
        <v>×</v>
      </c>
      <c r="K85" s="528"/>
      <c r="L85" s="838"/>
      <c r="M85" s="744"/>
      <c r="N85" s="744"/>
      <c r="O85" s="744"/>
      <c r="P85" s="744"/>
      <c r="Q85" s="744"/>
      <c r="R85" s="744"/>
      <c r="S85" s="744"/>
      <c r="T85" s="744"/>
      <c r="U85" s="744"/>
      <c r="V85" s="744"/>
      <c r="W85" s="744"/>
      <c r="X85" s="744"/>
      <c r="Y85" s="744"/>
      <c r="Z85" s="744"/>
      <c r="AA85" s="745"/>
    </row>
    <row r="86" spans="2:63" ht="22.5" customHeight="1">
      <c r="B86" s="515"/>
      <c r="C86" s="516"/>
      <c r="D86" s="517"/>
      <c r="E86" s="521"/>
      <c r="F86" s="522"/>
      <c r="G86" s="523"/>
      <c r="H86" s="526"/>
      <c r="I86" s="527"/>
      <c r="J86" s="527"/>
      <c r="K86" s="529"/>
      <c r="L86" s="746"/>
      <c r="M86" s="747"/>
      <c r="N86" s="747"/>
      <c r="O86" s="747"/>
      <c r="P86" s="747"/>
      <c r="Q86" s="747"/>
      <c r="R86" s="747"/>
      <c r="S86" s="747"/>
      <c r="T86" s="747"/>
      <c r="U86" s="747"/>
      <c r="V86" s="747"/>
      <c r="W86" s="747"/>
      <c r="X86" s="747"/>
      <c r="Y86" s="747"/>
      <c r="Z86" s="747"/>
      <c r="AA86" s="748"/>
    </row>
    <row r="88" spans="2:63" ht="22.5" customHeight="1">
      <c r="B88" s="725" t="s">
        <v>792</v>
      </c>
      <c r="C88" s="725"/>
      <c r="D88" s="725"/>
      <c r="E88" s="725"/>
      <c r="F88" s="725" t="s">
        <v>793</v>
      </c>
      <c r="G88" s="725"/>
      <c r="H88" s="725"/>
      <c r="I88" s="725"/>
      <c r="J88" s="725" t="s">
        <v>794</v>
      </c>
      <c r="K88" s="725"/>
      <c r="L88" s="725"/>
      <c r="M88" s="725"/>
      <c r="N88" s="729" t="s">
        <v>806</v>
      </c>
      <c r="O88" s="730"/>
      <c r="P88" s="730"/>
      <c r="Q88" s="730"/>
      <c r="R88" s="730"/>
      <c r="S88" s="730"/>
      <c r="T88" s="730"/>
      <c r="U88" s="730"/>
      <c r="V88" s="730"/>
      <c r="W88" s="730"/>
      <c r="X88" s="730"/>
      <c r="Y88" s="730"/>
      <c r="Z88" s="730"/>
      <c r="AA88" s="730"/>
      <c r="AB88" s="730"/>
      <c r="AC88" s="730"/>
      <c r="AD88" s="730"/>
      <c r="AE88" s="730"/>
      <c r="AF88" s="730"/>
      <c r="AG88" s="730"/>
      <c r="AH88" s="730"/>
      <c r="AI88" s="730"/>
      <c r="AJ88" s="730"/>
      <c r="AK88" s="730"/>
      <c r="AL88" s="730"/>
      <c r="AM88" s="730"/>
      <c r="AN88" s="730"/>
      <c r="AO88" s="730"/>
      <c r="AP88" s="730"/>
      <c r="AQ88" s="730"/>
      <c r="AR88" s="730"/>
      <c r="AS88" s="730"/>
      <c r="AT88" s="731"/>
      <c r="AU88" s="725"/>
      <c r="AV88" s="725"/>
      <c r="AW88" s="725"/>
      <c r="AX88" s="725"/>
      <c r="AY88" s="725"/>
      <c r="AZ88" s="725"/>
      <c r="BA88" s="725"/>
      <c r="BB88" s="725"/>
      <c r="BC88" s="725"/>
      <c r="BD88" s="725"/>
      <c r="BE88" s="725"/>
      <c r="BF88" s="725"/>
      <c r="BG88" s="725"/>
      <c r="BH88" s="725"/>
      <c r="BI88" s="725"/>
      <c r="BJ88" s="725"/>
      <c r="BK88" s="725"/>
    </row>
    <row r="89" spans="2:63" ht="22.5" customHeight="1">
      <c r="B89" s="727" t="s">
        <v>795</v>
      </c>
      <c r="C89" s="727"/>
      <c r="D89" s="727"/>
      <c r="E89" s="727"/>
      <c r="F89" s="465" t="s">
        <v>796</v>
      </c>
      <c r="G89" s="465"/>
      <c r="H89" s="465"/>
      <c r="I89" s="465"/>
      <c r="J89" s="726" t="s">
        <v>861</v>
      </c>
      <c r="K89" s="726"/>
      <c r="L89" s="726"/>
      <c r="M89" s="726"/>
      <c r="N89" s="732" t="s">
        <v>860</v>
      </c>
      <c r="O89" s="733"/>
      <c r="P89" s="733"/>
      <c r="Q89" s="733"/>
      <c r="R89" s="733"/>
      <c r="S89" s="733"/>
      <c r="T89" s="733"/>
      <c r="U89" s="733"/>
      <c r="V89" s="733"/>
      <c r="W89" s="733"/>
      <c r="X89" s="733"/>
      <c r="Y89" s="733"/>
      <c r="Z89" s="733"/>
      <c r="AA89" s="733"/>
      <c r="AB89" s="733"/>
      <c r="AC89" s="733"/>
      <c r="AD89" s="733"/>
      <c r="AE89" s="733"/>
      <c r="AF89" s="733"/>
      <c r="AG89" s="733"/>
      <c r="AH89" s="733"/>
      <c r="AI89" s="733"/>
      <c r="AJ89" s="733"/>
      <c r="AK89" s="733"/>
      <c r="AL89" s="733"/>
      <c r="AM89" s="733"/>
      <c r="AN89" s="733"/>
      <c r="AO89" s="733"/>
      <c r="AP89" s="733"/>
      <c r="AQ89" s="733"/>
      <c r="AR89" s="733"/>
      <c r="AS89" s="733"/>
      <c r="AT89" s="734"/>
      <c r="AU89" s="726"/>
      <c r="AV89" s="726"/>
      <c r="AW89" s="726"/>
      <c r="AX89" s="726"/>
      <c r="AY89" s="726"/>
      <c r="AZ89" s="726"/>
      <c r="BA89" s="726"/>
      <c r="BB89" s="726"/>
      <c r="BC89" s="726"/>
      <c r="BD89" s="726"/>
      <c r="BE89" s="726"/>
      <c r="BF89" s="726"/>
      <c r="BG89" s="726"/>
      <c r="BH89" s="726"/>
      <c r="BI89" s="726"/>
      <c r="BJ89" s="726"/>
      <c r="BK89" s="726"/>
    </row>
    <row r="90" spans="2:63" ht="22.5" customHeight="1">
      <c r="B90" s="727" t="s">
        <v>804</v>
      </c>
      <c r="C90" s="727"/>
      <c r="D90" s="727"/>
      <c r="E90" s="727"/>
      <c r="F90" s="465" t="s">
        <v>817</v>
      </c>
      <c r="G90" s="465"/>
      <c r="H90" s="465"/>
      <c r="I90" s="465"/>
      <c r="J90" s="726" t="s">
        <v>833</v>
      </c>
      <c r="K90" s="726"/>
      <c r="L90" s="726"/>
      <c r="M90" s="726"/>
      <c r="N90" s="732" t="s">
        <v>841</v>
      </c>
      <c r="O90" s="733"/>
      <c r="P90" s="733"/>
      <c r="Q90" s="733"/>
      <c r="R90" s="733"/>
      <c r="S90" s="733"/>
      <c r="T90" s="733"/>
      <c r="U90" s="733"/>
      <c r="V90" s="733"/>
      <c r="W90" s="733"/>
      <c r="X90" s="733"/>
      <c r="Y90" s="733"/>
      <c r="Z90" s="733"/>
      <c r="AA90" s="733"/>
      <c r="AB90" s="733"/>
      <c r="AC90" s="733"/>
      <c r="AD90" s="733"/>
      <c r="AE90" s="733"/>
      <c r="AF90" s="733"/>
      <c r="AG90" s="733"/>
      <c r="AH90" s="733"/>
      <c r="AI90" s="733"/>
      <c r="AJ90" s="733"/>
      <c r="AK90" s="733"/>
      <c r="AL90" s="733"/>
      <c r="AM90" s="733"/>
      <c r="AN90" s="733"/>
      <c r="AO90" s="733"/>
      <c r="AP90" s="733"/>
      <c r="AQ90" s="733"/>
      <c r="AR90" s="733"/>
      <c r="AS90" s="733"/>
      <c r="AT90" s="734"/>
      <c r="AU90" s="726"/>
      <c r="AV90" s="726"/>
      <c r="AW90" s="726"/>
      <c r="AX90" s="726"/>
      <c r="AY90" s="726"/>
      <c r="AZ90" s="726"/>
      <c r="BA90" s="726"/>
      <c r="BB90" s="726"/>
      <c r="BC90" s="726"/>
      <c r="BD90" s="726"/>
      <c r="BE90" s="726"/>
      <c r="BF90" s="726"/>
      <c r="BG90" s="726"/>
      <c r="BH90" s="726"/>
      <c r="BI90" s="726"/>
      <c r="BJ90" s="726"/>
      <c r="BK90" s="726"/>
    </row>
    <row r="91" spans="2:63" ht="22.5" customHeight="1">
      <c r="B91" s="727" t="s">
        <v>807</v>
      </c>
      <c r="C91" s="727"/>
      <c r="D91" s="727"/>
      <c r="E91" s="727"/>
      <c r="F91" s="465" t="s">
        <v>859</v>
      </c>
      <c r="G91" s="465"/>
      <c r="H91" s="465"/>
      <c r="I91" s="465"/>
      <c r="J91" s="726" t="s">
        <v>856</v>
      </c>
      <c r="K91" s="726"/>
      <c r="L91" s="726"/>
      <c r="M91" s="726"/>
      <c r="N91" s="732" t="s">
        <v>841</v>
      </c>
      <c r="O91" s="733"/>
      <c r="P91" s="733"/>
      <c r="Q91" s="733"/>
      <c r="R91" s="733"/>
      <c r="S91" s="733"/>
      <c r="T91" s="733"/>
      <c r="U91" s="733"/>
      <c r="V91" s="733"/>
      <c r="W91" s="733"/>
      <c r="X91" s="733"/>
      <c r="Y91" s="733"/>
      <c r="Z91" s="733"/>
      <c r="AA91" s="733"/>
      <c r="AB91" s="733"/>
      <c r="AC91" s="733"/>
      <c r="AD91" s="733"/>
      <c r="AE91" s="733"/>
      <c r="AF91" s="733"/>
      <c r="AG91" s="733"/>
      <c r="AH91" s="733"/>
      <c r="AI91" s="733"/>
      <c r="AJ91" s="733"/>
      <c r="AK91" s="733"/>
      <c r="AL91" s="733"/>
      <c r="AM91" s="733"/>
      <c r="AN91" s="733"/>
      <c r="AO91" s="733"/>
      <c r="AP91" s="733"/>
      <c r="AQ91" s="733"/>
      <c r="AR91" s="733"/>
      <c r="AS91" s="733"/>
      <c r="AT91" s="734"/>
      <c r="AU91" s="726"/>
      <c r="AV91" s="726"/>
      <c r="AW91" s="726"/>
      <c r="AX91" s="726"/>
      <c r="AY91" s="726"/>
      <c r="AZ91" s="726"/>
      <c r="BA91" s="726"/>
      <c r="BB91" s="726"/>
      <c r="BC91" s="726"/>
      <c r="BD91" s="726"/>
      <c r="BE91" s="726"/>
      <c r="BF91" s="726"/>
      <c r="BG91" s="726"/>
      <c r="BH91" s="726"/>
      <c r="BI91" s="726"/>
      <c r="BJ91" s="726"/>
      <c r="BK91" s="726"/>
    </row>
    <row r="92" spans="2:63" ht="22.5" customHeight="1">
      <c r="B92" s="727" t="s">
        <v>808</v>
      </c>
      <c r="C92" s="727"/>
      <c r="D92" s="727"/>
      <c r="E92" s="727"/>
      <c r="F92" s="465" t="s">
        <v>857</v>
      </c>
      <c r="G92" s="465"/>
      <c r="H92" s="465"/>
      <c r="I92" s="465"/>
      <c r="J92" s="726" t="s">
        <v>856</v>
      </c>
      <c r="K92" s="726"/>
      <c r="L92" s="726"/>
      <c r="M92" s="726"/>
      <c r="N92" s="732" t="s">
        <v>858</v>
      </c>
      <c r="O92" s="733"/>
      <c r="P92" s="733"/>
      <c r="Q92" s="733"/>
      <c r="R92" s="733"/>
      <c r="S92" s="733"/>
      <c r="T92" s="733"/>
      <c r="U92" s="733"/>
      <c r="V92" s="733"/>
      <c r="W92" s="733"/>
      <c r="X92" s="733"/>
      <c r="Y92" s="733"/>
      <c r="Z92" s="733"/>
      <c r="AA92" s="733"/>
      <c r="AB92" s="733"/>
      <c r="AC92" s="733"/>
      <c r="AD92" s="733"/>
      <c r="AE92" s="733"/>
      <c r="AF92" s="733"/>
      <c r="AG92" s="733"/>
      <c r="AH92" s="733"/>
      <c r="AI92" s="733"/>
      <c r="AJ92" s="733"/>
      <c r="AK92" s="733"/>
      <c r="AL92" s="733"/>
      <c r="AM92" s="733"/>
      <c r="AN92" s="733"/>
      <c r="AO92" s="733"/>
      <c r="AP92" s="733"/>
      <c r="AQ92" s="733"/>
      <c r="AR92" s="733"/>
      <c r="AS92" s="733"/>
      <c r="AT92" s="734"/>
      <c r="AU92" s="726"/>
      <c r="AV92" s="726"/>
      <c r="AW92" s="726"/>
      <c r="AX92" s="726"/>
      <c r="AY92" s="726"/>
      <c r="AZ92" s="726"/>
      <c r="BA92" s="726"/>
      <c r="BB92" s="726"/>
      <c r="BC92" s="726"/>
      <c r="BD92" s="726"/>
      <c r="BE92" s="726"/>
      <c r="BF92" s="726"/>
      <c r="BG92" s="726"/>
      <c r="BH92" s="726"/>
      <c r="BI92" s="726"/>
      <c r="BJ92" s="726"/>
      <c r="BK92" s="726"/>
    </row>
    <row r="93" spans="2:63" ht="22.5" customHeight="1">
      <c r="B93" s="727" t="s">
        <v>799</v>
      </c>
      <c r="C93" s="727"/>
      <c r="D93" s="727"/>
      <c r="E93" s="727"/>
      <c r="F93" s="465" t="s">
        <v>854</v>
      </c>
      <c r="G93" s="465"/>
      <c r="H93" s="465"/>
      <c r="I93" s="465"/>
      <c r="J93" s="726" t="s">
        <v>838</v>
      </c>
      <c r="K93" s="726"/>
      <c r="L93" s="726"/>
      <c r="M93" s="726"/>
      <c r="N93" s="732" t="s">
        <v>855</v>
      </c>
      <c r="O93" s="733"/>
      <c r="P93" s="733"/>
      <c r="Q93" s="733"/>
      <c r="R93" s="733"/>
      <c r="S93" s="733"/>
      <c r="T93" s="733"/>
      <c r="U93" s="733"/>
      <c r="V93" s="733"/>
      <c r="W93" s="733"/>
      <c r="X93" s="733"/>
      <c r="Y93" s="733"/>
      <c r="Z93" s="733"/>
      <c r="AA93" s="733"/>
      <c r="AB93" s="733"/>
      <c r="AC93" s="733"/>
      <c r="AD93" s="733"/>
      <c r="AE93" s="733"/>
      <c r="AF93" s="733"/>
      <c r="AG93" s="733"/>
      <c r="AH93" s="733"/>
      <c r="AI93" s="733"/>
      <c r="AJ93" s="733"/>
      <c r="AK93" s="733"/>
      <c r="AL93" s="733"/>
      <c r="AM93" s="733"/>
      <c r="AN93" s="733"/>
      <c r="AO93" s="733"/>
      <c r="AP93" s="733"/>
      <c r="AQ93" s="733"/>
      <c r="AR93" s="733"/>
      <c r="AS93" s="733"/>
      <c r="AT93" s="734"/>
      <c r="AU93" s="726"/>
      <c r="AV93" s="726"/>
      <c r="AW93" s="726"/>
      <c r="AX93" s="726"/>
      <c r="AY93" s="726"/>
      <c r="AZ93" s="726"/>
      <c r="BA93" s="726"/>
      <c r="BB93" s="726"/>
      <c r="BC93" s="726"/>
      <c r="BD93" s="726"/>
      <c r="BE93" s="726"/>
      <c r="BF93" s="726"/>
      <c r="BG93" s="726"/>
      <c r="BH93" s="726"/>
      <c r="BI93" s="726"/>
      <c r="BJ93" s="726"/>
      <c r="BK93" s="726"/>
    </row>
    <row r="94" spans="2:63" ht="22.5" customHeight="1">
      <c r="B94" s="715" t="s">
        <v>791</v>
      </c>
      <c r="C94" s="716"/>
      <c r="D94" s="716"/>
      <c r="E94" s="717"/>
      <c r="F94" s="718" t="s">
        <v>798</v>
      </c>
      <c r="G94" s="433"/>
      <c r="H94" s="433"/>
      <c r="I94" s="434"/>
      <c r="J94" s="719" t="s">
        <v>847</v>
      </c>
      <c r="K94" s="720"/>
      <c r="L94" s="720"/>
      <c r="M94" s="721"/>
      <c r="N94" s="732" t="s">
        <v>853</v>
      </c>
      <c r="O94" s="733"/>
      <c r="P94" s="733"/>
      <c r="Q94" s="733"/>
      <c r="R94" s="733"/>
      <c r="S94" s="733"/>
      <c r="T94" s="733"/>
      <c r="U94" s="733"/>
      <c r="V94" s="733"/>
      <c r="W94" s="733"/>
      <c r="X94" s="733"/>
      <c r="Y94" s="733"/>
      <c r="Z94" s="733"/>
      <c r="AA94" s="733"/>
      <c r="AB94" s="733"/>
      <c r="AC94" s="733"/>
      <c r="AD94" s="733"/>
      <c r="AE94" s="733"/>
      <c r="AF94" s="733"/>
      <c r="AG94" s="733"/>
      <c r="AH94" s="733"/>
      <c r="AI94" s="733"/>
      <c r="AJ94" s="733"/>
      <c r="AK94" s="733"/>
      <c r="AL94" s="733"/>
      <c r="AM94" s="733"/>
      <c r="AN94" s="733"/>
      <c r="AO94" s="733"/>
      <c r="AP94" s="733"/>
      <c r="AQ94" s="733"/>
      <c r="AR94" s="733"/>
      <c r="AS94" s="733"/>
      <c r="AT94" s="734"/>
      <c r="AU94" s="726"/>
      <c r="AV94" s="726"/>
      <c r="AW94" s="726"/>
      <c r="AX94" s="726"/>
      <c r="AY94" s="726"/>
      <c r="AZ94" s="726"/>
      <c r="BA94" s="726"/>
      <c r="BB94" s="726"/>
      <c r="BC94" s="726"/>
      <c r="BD94" s="726"/>
      <c r="BE94" s="726"/>
      <c r="BF94" s="726"/>
      <c r="BG94" s="726"/>
      <c r="BH94" s="726"/>
      <c r="BI94" s="726"/>
      <c r="BJ94" s="726"/>
      <c r="BK94" s="726"/>
    </row>
    <row r="95" spans="2:63" ht="22.5" customHeight="1">
      <c r="B95" s="715" t="s">
        <v>801</v>
      </c>
      <c r="C95" s="716"/>
      <c r="D95" s="716"/>
      <c r="E95" s="717"/>
      <c r="F95" s="718" t="s">
        <v>849</v>
      </c>
      <c r="G95" s="433"/>
      <c r="H95" s="433"/>
      <c r="I95" s="434"/>
      <c r="J95" s="719" t="s">
        <v>840</v>
      </c>
      <c r="K95" s="720"/>
      <c r="L95" s="720"/>
      <c r="M95" s="721"/>
      <c r="N95" s="732" t="s">
        <v>850</v>
      </c>
      <c r="O95" s="733"/>
      <c r="P95" s="733"/>
      <c r="Q95" s="733"/>
      <c r="R95" s="733"/>
      <c r="S95" s="733"/>
      <c r="T95" s="733"/>
      <c r="U95" s="733"/>
      <c r="V95" s="733"/>
      <c r="W95" s="733"/>
      <c r="X95" s="733"/>
      <c r="Y95" s="733"/>
      <c r="Z95" s="733"/>
      <c r="AA95" s="733"/>
      <c r="AB95" s="733"/>
      <c r="AC95" s="733"/>
      <c r="AD95" s="733"/>
      <c r="AE95" s="733"/>
      <c r="AF95" s="733"/>
      <c r="AG95" s="733"/>
      <c r="AH95" s="733"/>
      <c r="AI95" s="733"/>
      <c r="AJ95" s="733"/>
      <c r="AK95" s="733"/>
      <c r="AL95" s="733"/>
      <c r="AM95" s="733"/>
      <c r="AN95" s="733"/>
      <c r="AO95" s="733"/>
      <c r="AP95" s="733"/>
      <c r="AQ95" s="733"/>
      <c r="AR95" s="733"/>
      <c r="AS95" s="733"/>
      <c r="AT95" s="734"/>
      <c r="AU95" s="726"/>
      <c r="AV95" s="726"/>
      <c r="AW95" s="726"/>
      <c r="AX95" s="726"/>
      <c r="AY95" s="726"/>
      <c r="AZ95" s="726"/>
      <c r="BA95" s="726"/>
      <c r="BB95" s="726"/>
      <c r="BC95" s="726"/>
      <c r="BD95" s="726"/>
      <c r="BE95" s="726"/>
      <c r="BF95" s="726"/>
      <c r="BG95" s="726"/>
      <c r="BH95" s="726"/>
      <c r="BI95" s="726"/>
      <c r="BJ95" s="726"/>
      <c r="BK95" s="726"/>
    </row>
    <row r="96" spans="2:63" ht="22.5" customHeight="1">
      <c r="B96" s="715" t="s">
        <v>802</v>
      </c>
      <c r="C96" s="716"/>
      <c r="D96" s="716"/>
      <c r="E96" s="717"/>
      <c r="F96" s="718"/>
      <c r="G96" s="433"/>
      <c r="H96" s="433"/>
      <c r="I96" s="434"/>
      <c r="J96" s="719"/>
      <c r="K96" s="720"/>
      <c r="L96" s="720"/>
      <c r="M96" s="721"/>
      <c r="N96" s="732" t="s">
        <v>852</v>
      </c>
      <c r="O96" s="733"/>
      <c r="P96" s="733"/>
      <c r="Q96" s="733"/>
      <c r="R96" s="733"/>
      <c r="S96" s="733"/>
      <c r="T96" s="733"/>
      <c r="U96" s="733"/>
      <c r="V96" s="733"/>
      <c r="W96" s="733"/>
      <c r="X96" s="733"/>
      <c r="Y96" s="733"/>
      <c r="Z96" s="733"/>
      <c r="AA96" s="733"/>
      <c r="AB96" s="733"/>
      <c r="AC96" s="733"/>
      <c r="AD96" s="733"/>
      <c r="AE96" s="733"/>
      <c r="AF96" s="733"/>
      <c r="AG96" s="733"/>
      <c r="AH96" s="733"/>
      <c r="AI96" s="733"/>
      <c r="AJ96" s="733"/>
      <c r="AK96" s="733"/>
      <c r="AL96" s="733"/>
      <c r="AM96" s="733"/>
      <c r="AN96" s="733"/>
      <c r="AO96" s="733"/>
      <c r="AP96" s="733"/>
      <c r="AQ96" s="733"/>
      <c r="AR96" s="733"/>
      <c r="AS96" s="733"/>
      <c r="AT96" s="734"/>
      <c r="AU96" s="726"/>
      <c r="AV96" s="726"/>
      <c r="AW96" s="726"/>
      <c r="AX96" s="726"/>
      <c r="AY96" s="726"/>
      <c r="AZ96" s="726"/>
      <c r="BA96" s="726"/>
      <c r="BB96" s="726"/>
      <c r="BC96" s="726"/>
      <c r="BD96" s="726"/>
      <c r="BE96" s="726"/>
      <c r="BF96" s="726"/>
      <c r="BG96" s="726"/>
      <c r="BH96" s="726"/>
      <c r="BI96" s="726"/>
      <c r="BJ96" s="726"/>
      <c r="BK96" s="726"/>
    </row>
    <row r="97" spans="2:21" ht="22.5" customHeight="1">
      <c r="O97" s="891" t="s">
        <v>924</v>
      </c>
      <c r="P97" s="891"/>
      <c r="Q97" s="891"/>
      <c r="T97" s="161" t="s">
        <v>926</v>
      </c>
    </row>
    <row r="98" spans="2:21" ht="22.5" customHeight="1">
      <c r="B98" s="892" t="s">
        <v>925</v>
      </c>
      <c r="C98" s="892"/>
      <c r="D98" s="892"/>
      <c r="E98" s="892"/>
      <c r="G98" s="235" t="s">
        <v>927</v>
      </c>
      <c r="O98" s="283" t="str" cm="1">
        <f t="array" ref="O98:O117">[3]人員配置【入力用】!C13:C32</f>
        <v>岩本　麻里</v>
      </c>
      <c r="P98" s="235" cm="1">
        <f t="array" ref="P98:P117">[3]人員配置【入力用】!D13:D32</f>
        <v>4</v>
      </c>
      <c r="Q98" s="235" cm="1">
        <f t="array" ref="Q98:Q117">[3]人員配置【入力用】!E13:E32</f>
        <v>30</v>
      </c>
      <c r="T98" s="284">
        <f>SUM(_xlfn.ANCHORARRAY(Q98))</f>
        <v>573</v>
      </c>
    </row>
    <row r="99" spans="2:21" ht="22.5" customHeight="1">
      <c r="B99" s="235">
        <f>[3]管理用シート!EO69</f>
        <v>3</v>
      </c>
      <c r="C99" s="235">
        <f>[3]管理用シート!ES69</f>
        <v>4</v>
      </c>
      <c r="D99" s="235">
        <f>[3]管理用シート!EW69</f>
        <v>5</v>
      </c>
      <c r="E99" s="235">
        <f>[3]管理用シート!FA69</f>
        <v>6</v>
      </c>
      <c r="G99" s="235"/>
      <c r="O99" s="283" t="str">
        <v>波多　野元子</v>
      </c>
      <c r="P99" s="235">
        <v>4</v>
      </c>
      <c r="Q99" s="235">
        <v>30</v>
      </c>
    </row>
    <row r="100" spans="2:21" ht="22.5" customHeight="1">
      <c r="B100" s="235">
        <f>[3]管理用シート!EO70</f>
        <v>164</v>
      </c>
      <c r="C100" s="235">
        <f>[3]管理用シート!ES70</f>
        <v>266</v>
      </c>
      <c r="D100" s="235">
        <f>[3]管理用シート!EW70</f>
        <v>164</v>
      </c>
      <c r="E100" s="235">
        <f>[3]管理用シート!FA70</f>
        <v>2</v>
      </c>
      <c r="G100" s="235">
        <f>SUM(B100:E100)</f>
        <v>596</v>
      </c>
      <c r="O100" s="283" t="str">
        <v>中澤　育子</v>
      </c>
      <c r="P100" s="235">
        <v>3</v>
      </c>
      <c r="Q100" s="235">
        <v>30</v>
      </c>
      <c r="T100" s="161" t="s">
        <v>928</v>
      </c>
    </row>
    <row r="101" spans="2:21" ht="22.5" customHeight="1">
      <c r="O101" s="283" t="str">
        <v>井村　正幸</v>
      </c>
      <c r="P101" s="235">
        <v>4</v>
      </c>
      <c r="Q101" s="235">
        <v>30</v>
      </c>
      <c r="T101" s="893">
        <f>AVERAGE(_xlfn.ANCHORARRAY(P98))</f>
        <v>3.95</v>
      </c>
      <c r="U101" s="893"/>
    </row>
    <row r="102" spans="2:21" ht="22.5" customHeight="1">
      <c r="B102" s="892" t="s">
        <v>929</v>
      </c>
      <c r="C102" s="892"/>
      <c r="D102" s="892"/>
      <c r="E102" s="892"/>
      <c r="O102" s="283" t="str">
        <v>河合夢生</v>
      </c>
      <c r="P102" s="235">
        <v>4</v>
      </c>
      <c r="Q102" s="235">
        <v>19</v>
      </c>
    </row>
    <row r="103" spans="2:21" ht="22.5" customHeight="1">
      <c r="B103" s="235" cm="1">
        <f t="array" ref="B103:E103">CHOOSE({1,2,3,4},
  [3]管理用シート!EO69,
  [3]管理用シート!ES69,
  [3]管理用シート!EW69,
  [3]管理用シート!FA69
)</f>
        <v>3</v>
      </c>
      <c r="C103" s="235">
        <v>4</v>
      </c>
      <c r="D103" s="235">
        <v>5</v>
      </c>
      <c r="E103" s="235">
        <v>6</v>
      </c>
      <c r="O103" s="283" t="str">
        <v>辻村　啓輔</v>
      </c>
      <c r="P103" s="235">
        <v>3</v>
      </c>
      <c r="Q103" s="235">
        <v>30</v>
      </c>
    </row>
    <row r="104" spans="2:21" ht="22.5" customHeight="1">
      <c r="B104" s="235" cm="1">
        <f t="array" ref="B104:E104">CHOOSE({1,2,3,4},
  [3]管理用シート!EO70,
  [3]管理用シート!ES70,
  [3]管理用シート!EW70,
  [3]管理用シート!FA70
)</f>
        <v>164</v>
      </c>
      <c r="C104" s="235">
        <v>266</v>
      </c>
      <c r="D104" s="235">
        <v>164</v>
      </c>
      <c r="E104" s="235">
        <v>2</v>
      </c>
      <c r="O104" s="283" t="str">
        <v>後藤　早香</v>
      </c>
      <c r="P104" s="235">
        <v>4</v>
      </c>
      <c r="Q104" s="235">
        <v>30</v>
      </c>
    </row>
    <row r="105" spans="2:21" ht="22.5" customHeight="1">
      <c r="O105" s="283" t="str">
        <v>笹ケ瀬　満広</v>
      </c>
      <c r="P105" s="235">
        <v>4</v>
      </c>
      <c r="Q105" s="235">
        <v>30</v>
      </c>
    </row>
    <row r="106" spans="2:21" ht="22.5" customHeight="1">
      <c r="O106" s="283" t="str">
        <v>平山　千栄</v>
      </c>
      <c r="P106" s="235">
        <v>5</v>
      </c>
      <c r="Q106" s="235">
        <v>30</v>
      </c>
    </row>
    <row r="107" spans="2:21" ht="22.5" customHeight="1">
      <c r="O107" s="283" t="str">
        <v>石野　晴康</v>
      </c>
      <c r="P107" s="235">
        <v>4</v>
      </c>
      <c r="Q107" s="235">
        <v>30</v>
      </c>
    </row>
    <row r="108" spans="2:21" ht="22.5" customHeight="1">
      <c r="O108" s="283" t="str">
        <v>髙崎かおり</v>
      </c>
      <c r="P108" s="235">
        <v>5</v>
      </c>
      <c r="Q108" s="235">
        <v>30</v>
      </c>
    </row>
    <row r="109" spans="2:21" ht="22.5" customHeight="1">
      <c r="O109" s="283" t="str">
        <v>藤原裕二</v>
      </c>
      <c r="P109" s="235">
        <v>5</v>
      </c>
      <c r="Q109" s="235">
        <v>30</v>
      </c>
    </row>
    <row r="110" spans="2:21" ht="22.5" customHeight="1">
      <c r="O110" s="283" t="str">
        <v>髙井宗樹</v>
      </c>
      <c r="P110" s="235">
        <v>5</v>
      </c>
      <c r="Q110" s="235">
        <v>30</v>
      </c>
    </row>
    <row r="111" spans="2:21" ht="22.5" customHeight="1">
      <c r="O111" s="283" t="str">
        <v>渡邊正英</v>
      </c>
      <c r="P111" s="235">
        <v>5</v>
      </c>
      <c r="Q111" s="235">
        <v>30</v>
      </c>
    </row>
    <row r="112" spans="2:21" ht="22.5" customHeight="1">
      <c r="O112" s="283" t="str">
        <v>奥野昭男</v>
      </c>
      <c r="P112" s="235">
        <v>3</v>
      </c>
      <c r="Q112" s="235">
        <v>30</v>
      </c>
    </row>
    <row r="113" spans="15:17" ht="22.5" customHeight="1">
      <c r="O113" s="283" t="str">
        <v>栗田燎伍</v>
      </c>
      <c r="P113" s="235">
        <v>3</v>
      </c>
      <c r="Q113" s="235">
        <v>26</v>
      </c>
    </row>
    <row r="114" spans="15:17" ht="22.5" customHeight="1">
      <c r="O114" s="283" t="str">
        <v>名倉宏美</v>
      </c>
      <c r="P114" s="235">
        <v>4</v>
      </c>
      <c r="Q114" s="235">
        <v>30</v>
      </c>
    </row>
    <row r="115" spans="15:17" ht="22.5" customHeight="1">
      <c r="O115" s="283" t="str">
        <v>鈴木健吾</v>
      </c>
      <c r="P115" s="235">
        <v>4</v>
      </c>
      <c r="Q115" s="235">
        <v>30</v>
      </c>
    </row>
    <row r="116" spans="15:17" ht="22.5" customHeight="1">
      <c r="O116" s="283" t="str">
        <v>森下綾香</v>
      </c>
      <c r="P116" s="235">
        <v>3</v>
      </c>
      <c r="Q116" s="235">
        <v>30</v>
      </c>
    </row>
    <row r="117" spans="15:17" ht="22.5" customHeight="1">
      <c r="O117" s="283" t="str">
        <v>大坪偉久子</v>
      </c>
      <c r="P117" s="235">
        <v>3</v>
      </c>
      <c r="Q117" s="235">
        <v>18</v>
      </c>
    </row>
    <row r="118" spans="15:17" ht="22.5" customHeight="1">
      <c r="O118" s="282"/>
    </row>
  </sheetData>
  <mergeCells count="1177">
    <mergeCell ref="O97:Q97"/>
    <mergeCell ref="B98:E98"/>
    <mergeCell ref="T101:U101"/>
    <mergeCell ref="B102:E102"/>
    <mergeCell ref="B34:E34"/>
    <mergeCell ref="B93:E93"/>
    <mergeCell ref="F93:I93"/>
    <mergeCell ref="J93:M93"/>
    <mergeCell ref="N93:AT93"/>
    <mergeCell ref="AU93:BK93"/>
    <mergeCell ref="B94:E94"/>
    <mergeCell ref="F94:I94"/>
    <mergeCell ref="J94:M94"/>
    <mergeCell ref="N94:AT94"/>
    <mergeCell ref="AU94:BK94"/>
    <mergeCell ref="B95:E95"/>
    <mergeCell ref="F95:I95"/>
    <mergeCell ref="J95:M95"/>
    <mergeCell ref="N95:AT95"/>
    <mergeCell ref="AU95:BK95"/>
    <mergeCell ref="B96:E96"/>
    <mergeCell ref="F96:I96"/>
    <mergeCell ref="J96:M96"/>
    <mergeCell ref="N96:AT96"/>
    <mergeCell ref="AU96:BK96"/>
    <mergeCell ref="AU88:BK88"/>
    <mergeCell ref="B89:E89"/>
    <mergeCell ref="F89:I89"/>
    <mergeCell ref="J89:M89"/>
    <mergeCell ref="N89:AT89"/>
    <mergeCell ref="AU89:BK89"/>
    <mergeCell ref="B90:E90"/>
    <mergeCell ref="F90:I90"/>
    <mergeCell ref="J90:M90"/>
    <mergeCell ref="N90:AT90"/>
    <mergeCell ref="AU90:BK90"/>
    <mergeCell ref="B91:E91"/>
    <mergeCell ref="F91:I91"/>
    <mergeCell ref="J91:M91"/>
    <mergeCell ref="N91:AT91"/>
    <mergeCell ref="AU91:BK91"/>
    <mergeCell ref="B92:E92"/>
    <mergeCell ref="F92:I92"/>
    <mergeCell ref="J92:M92"/>
    <mergeCell ref="N92:AT92"/>
    <mergeCell ref="AU92:BK92"/>
    <mergeCell ref="B30:E31"/>
    <mergeCell ref="F30:I30"/>
    <mergeCell ref="Y30:AA30"/>
    <mergeCell ref="F31:I31"/>
    <mergeCell ref="Y31:AA31"/>
    <mergeCell ref="F32:I32"/>
    <mergeCell ref="Y32:AA32"/>
    <mergeCell ref="B88:E88"/>
    <mergeCell ref="F88:I88"/>
    <mergeCell ref="J88:M88"/>
    <mergeCell ref="N88:AT88"/>
    <mergeCell ref="J31:L31"/>
    <mergeCell ref="M31:O31"/>
    <mergeCell ref="P31:R31"/>
    <mergeCell ref="S31:U31"/>
    <mergeCell ref="V31:X31"/>
    <mergeCell ref="J32:L32"/>
    <mergeCell ref="M32:O32"/>
    <mergeCell ref="P32:R32"/>
    <mergeCell ref="S32:U32"/>
    <mergeCell ref="V32:X32"/>
    <mergeCell ref="AD68:AE68"/>
    <mergeCell ref="AF68:AJ68"/>
    <mergeCell ref="Y61:AC61"/>
    <mergeCell ref="AD61:AE61"/>
    <mergeCell ref="AT58:AU58"/>
    <mergeCell ref="AR57:AS57"/>
    <mergeCell ref="AT57:AU57"/>
    <mergeCell ref="B59:C59"/>
    <mergeCell ref="D59:I59"/>
    <mergeCell ref="J59:K59"/>
    <mergeCell ref="L59:R59"/>
    <mergeCell ref="J27:L27"/>
    <mergeCell ref="M27:O27"/>
    <mergeCell ref="P27:R27"/>
    <mergeCell ref="S27:U27"/>
    <mergeCell ref="V27:X27"/>
    <mergeCell ref="J28:L28"/>
    <mergeCell ref="M28:O28"/>
    <mergeCell ref="P28:R28"/>
    <mergeCell ref="S28:U28"/>
    <mergeCell ref="V28:X28"/>
    <mergeCell ref="Y66:AC66"/>
    <mergeCell ref="AR66:AS66"/>
    <mergeCell ref="B62:C62"/>
    <mergeCell ref="D62:I62"/>
    <mergeCell ref="J62:K62"/>
    <mergeCell ref="L62:R62"/>
    <mergeCell ref="T62:X62"/>
    <mergeCell ref="J58:K58"/>
    <mergeCell ref="Y26:AA26"/>
    <mergeCell ref="B27:E29"/>
    <mergeCell ref="F27:I27"/>
    <mergeCell ref="Y27:AA27"/>
    <mergeCell ref="F28:I28"/>
    <mergeCell ref="Y28:AA28"/>
    <mergeCell ref="F29:I29"/>
    <mergeCell ref="Y29:AA29"/>
    <mergeCell ref="J29:L29"/>
    <mergeCell ref="M29:O29"/>
    <mergeCell ref="P29:R29"/>
    <mergeCell ref="B25:F25"/>
    <mergeCell ref="G25:I25"/>
    <mergeCell ref="J25:L25"/>
    <mergeCell ref="M25:O25"/>
    <mergeCell ref="P25:R25"/>
    <mergeCell ref="S25:U25"/>
    <mergeCell ref="V25:X25"/>
    <mergeCell ref="J26:L26"/>
    <mergeCell ref="M26:O26"/>
    <mergeCell ref="P26:R26"/>
    <mergeCell ref="S26:U26"/>
    <mergeCell ref="V26:X26"/>
    <mergeCell ref="B26:I26"/>
    <mergeCell ref="J23:L23"/>
    <mergeCell ref="M23:O23"/>
    <mergeCell ref="P23:R23"/>
    <mergeCell ref="S23:U23"/>
    <mergeCell ref="V23:X23"/>
    <mergeCell ref="B24:F24"/>
    <mergeCell ref="G24:I24"/>
    <mergeCell ref="J24:L24"/>
    <mergeCell ref="M24:O24"/>
    <mergeCell ref="P24:R24"/>
    <mergeCell ref="S24:U24"/>
    <mergeCell ref="V24:X24"/>
    <mergeCell ref="B21:F21"/>
    <mergeCell ref="G21:I21"/>
    <mergeCell ref="J21:L21"/>
    <mergeCell ref="M21:O21"/>
    <mergeCell ref="P21:R21"/>
    <mergeCell ref="S21:U21"/>
    <mergeCell ref="V21:X21"/>
    <mergeCell ref="B22:F22"/>
    <mergeCell ref="G22:I22"/>
    <mergeCell ref="J22:L22"/>
    <mergeCell ref="M22:O22"/>
    <mergeCell ref="P22:R22"/>
    <mergeCell ref="S22:U22"/>
    <mergeCell ref="V22:X22"/>
    <mergeCell ref="T66:X66"/>
    <mergeCell ref="AF66:AJ66"/>
    <mergeCell ref="B19:F19"/>
    <mergeCell ref="G19:I19"/>
    <mergeCell ref="J19:L19"/>
    <mergeCell ref="M19:O19"/>
    <mergeCell ref="P19:R19"/>
    <mergeCell ref="S19:U19"/>
    <mergeCell ref="V19:X19"/>
    <mergeCell ref="B20:F20"/>
    <mergeCell ref="G20:I20"/>
    <mergeCell ref="J20:L20"/>
    <mergeCell ref="M20:O20"/>
    <mergeCell ref="P20:R20"/>
    <mergeCell ref="S20:U20"/>
    <mergeCell ref="V20:X20"/>
    <mergeCell ref="B17:F17"/>
    <mergeCell ref="G17:I17"/>
    <mergeCell ref="J17:L17"/>
    <mergeCell ref="M17:O17"/>
    <mergeCell ref="P17:R17"/>
    <mergeCell ref="S17:U17"/>
    <mergeCell ref="V17:X17"/>
    <mergeCell ref="B18:F18"/>
    <mergeCell ref="G18:I18"/>
    <mergeCell ref="J18:L18"/>
    <mergeCell ref="M18:O18"/>
    <mergeCell ref="P18:R18"/>
    <mergeCell ref="S18:U18"/>
    <mergeCell ref="V18:X18"/>
    <mergeCell ref="B23:F23"/>
    <mergeCell ref="G23:I23"/>
    <mergeCell ref="BS65:BU66"/>
    <mergeCell ref="BP61:BR61"/>
    <mergeCell ref="B68:C68"/>
    <mergeCell ref="D68:I68"/>
    <mergeCell ref="J68:K68"/>
    <mergeCell ref="L68:R68"/>
    <mergeCell ref="T68:X68"/>
    <mergeCell ref="Y68:AC68"/>
    <mergeCell ref="AX65:AY65"/>
    <mergeCell ref="AZ65:BA65"/>
    <mergeCell ref="BB65:BC65"/>
    <mergeCell ref="BD65:BE65"/>
    <mergeCell ref="BF65:BG65"/>
    <mergeCell ref="BH65:BI65"/>
    <mergeCell ref="AL65:AM65"/>
    <mergeCell ref="AN65:AO65"/>
    <mergeCell ref="AP65:AQ65"/>
    <mergeCell ref="AR65:AS65"/>
    <mergeCell ref="AT65:AU65"/>
    <mergeCell ref="AV65:AW65"/>
    <mergeCell ref="B67:C67"/>
    <mergeCell ref="D67:I67"/>
    <mergeCell ref="J67:K67"/>
    <mergeCell ref="L67:R67"/>
    <mergeCell ref="T67:X67"/>
    <mergeCell ref="Y67:AC67"/>
    <mergeCell ref="AD67:AE67"/>
    <mergeCell ref="AF67:AJ67"/>
    <mergeCell ref="B66:C66"/>
    <mergeCell ref="D66:I66"/>
    <mergeCell ref="J66:K66"/>
    <mergeCell ref="L66:R66"/>
    <mergeCell ref="Y62:AC62"/>
    <mergeCell ref="AD62:AE62"/>
    <mergeCell ref="AF62:AJ62"/>
    <mergeCell ref="BK65:BL66"/>
    <mergeCell ref="AL66:AM66"/>
    <mergeCell ref="AN66:AO66"/>
    <mergeCell ref="AP66:AQ66"/>
    <mergeCell ref="AD66:AE66"/>
    <mergeCell ref="BP66:BR66"/>
    <mergeCell ref="BM65:BO66"/>
    <mergeCell ref="BF66:BG66"/>
    <mergeCell ref="BH66:BI66"/>
    <mergeCell ref="AT66:AU66"/>
    <mergeCell ref="AV66:AW66"/>
    <mergeCell ref="AX66:AY66"/>
    <mergeCell ref="AZ66:BA66"/>
    <mergeCell ref="BB66:BC66"/>
    <mergeCell ref="BD66:BE66"/>
    <mergeCell ref="AL62:AM62"/>
    <mergeCell ref="AN62:AO62"/>
    <mergeCell ref="AP62:AQ62"/>
    <mergeCell ref="AR62:AS62"/>
    <mergeCell ref="AT62:AU62"/>
    <mergeCell ref="BM61:BO62"/>
    <mergeCell ref="AD64:AE64"/>
    <mergeCell ref="AZ61:BA61"/>
    <mergeCell ref="BB61:BC61"/>
    <mergeCell ref="BD61:BE61"/>
    <mergeCell ref="BF61:BG61"/>
    <mergeCell ref="BH61:BI61"/>
    <mergeCell ref="BK61:BL62"/>
    <mergeCell ref="BH62:BI62"/>
    <mergeCell ref="AD65:AE65"/>
    <mergeCell ref="AF65:AJ65"/>
    <mergeCell ref="AV62:AW62"/>
    <mergeCell ref="AX62:AY62"/>
    <mergeCell ref="AZ62:BA62"/>
    <mergeCell ref="BB62:BC62"/>
    <mergeCell ref="BD62:BE62"/>
    <mergeCell ref="BP65:BR65"/>
    <mergeCell ref="AN61:AO61"/>
    <mergeCell ref="AP61:AQ61"/>
    <mergeCell ref="AR61:AS61"/>
    <mergeCell ref="AT61:AU61"/>
    <mergeCell ref="AV61:AW61"/>
    <mergeCell ref="AX61:AY61"/>
    <mergeCell ref="BW60:CH66"/>
    <mergeCell ref="B63:C63"/>
    <mergeCell ref="D63:I63"/>
    <mergeCell ref="J63:K63"/>
    <mergeCell ref="L63:R63"/>
    <mergeCell ref="T63:X63"/>
    <mergeCell ref="Y63:AC63"/>
    <mergeCell ref="AD63:AE63"/>
    <mergeCell ref="AF63:AJ63"/>
    <mergeCell ref="AL61:AM61"/>
    <mergeCell ref="BS61:BU62"/>
    <mergeCell ref="B64:C64"/>
    <mergeCell ref="D64:I64"/>
    <mergeCell ref="J64:K64"/>
    <mergeCell ref="L64:R64"/>
    <mergeCell ref="T64:X64"/>
    <mergeCell ref="BP62:BR62"/>
    <mergeCell ref="B65:C65"/>
    <mergeCell ref="D65:I65"/>
    <mergeCell ref="J65:K65"/>
    <mergeCell ref="L65:R65"/>
    <mergeCell ref="T65:X65"/>
    <mergeCell ref="Y65:AC65"/>
    <mergeCell ref="BF62:BG62"/>
    <mergeCell ref="AF64:AJ64"/>
    <mergeCell ref="B61:C61"/>
    <mergeCell ref="D61:I61"/>
    <mergeCell ref="J61:K61"/>
    <mergeCell ref="L61:R61"/>
    <mergeCell ref="T61:X61"/>
    <mergeCell ref="AF61:AJ61"/>
    <mergeCell ref="Y64:AC64"/>
    <mergeCell ref="BS57:BU58"/>
    <mergeCell ref="B60:C60"/>
    <mergeCell ref="D60:I60"/>
    <mergeCell ref="J60:K60"/>
    <mergeCell ref="L60:R60"/>
    <mergeCell ref="T60:X60"/>
    <mergeCell ref="Y60:AC60"/>
    <mergeCell ref="AX57:AY57"/>
    <mergeCell ref="AZ57:BA57"/>
    <mergeCell ref="BB57:BC57"/>
    <mergeCell ref="BD57:BE57"/>
    <mergeCell ref="BF57:BG57"/>
    <mergeCell ref="BH57:BI57"/>
    <mergeCell ref="AL57:AM57"/>
    <mergeCell ref="AN57:AO57"/>
    <mergeCell ref="AP57:AQ57"/>
    <mergeCell ref="AV57:AW57"/>
    <mergeCell ref="BF58:BG58"/>
    <mergeCell ref="AD60:AE60"/>
    <mergeCell ref="AF60:AJ60"/>
    <mergeCell ref="AL58:AM58"/>
    <mergeCell ref="AN58:AO58"/>
    <mergeCell ref="AP58:AQ58"/>
    <mergeCell ref="AR58:AS58"/>
    <mergeCell ref="B58:C58"/>
    <mergeCell ref="D58:I58"/>
    <mergeCell ref="BM53:BO54"/>
    <mergeCell ref="BP53:BR53"/>
    <mergeCell ref="AD58:AE58"/>
    <mergeCell ref="AF58:AJ58"/>
    <mergeCell ref="BB54:BC54"/>
    <mergeCell ref="BD54:BE54"/>
    <mergeCell ref="BF54:BG54"/>
    <mergeCell ref="AF56:AJ56"/>
    <mergeCell ref="AL54:AM54"/>
    <mergeCell ref="AV58:AW58"/>
    <mergeCell ref="AN54:AO54"/>
    <mergeCell ref="AP54:AQ54"/>
    <mergeCell ref="AR54:AS54"/>
    <mergeCell ref="AT54:AU54"/>
    <mergeCell ref="T59:X59"/>
    <mergeCell ref="Y59:AC59"/>
    <mergeCell ref="AD59:AE59"/>
    <mergeCell ref="AF59:AJ59"/>
    <mergeCell ref="L58:R58"/>
    <mergeCell ref="T58:X58"/>
    <mergeCell ref="Y58:AC58"/>
    <mergeCell ref="BP57:BR57"/>
    <mergeCell ref="BM57:BO58"/>
    <mergeCell ref="BH54:BI54"/>
    <mergeCell ref="AT53:AU53"/>
    <mergeCell ref="AV53:AW53"/>
    <mergeCell ref="AX53:AY53"/>
    <mergeCell ref="BP54:BR54"/>
    <mergeCell ref="BK57:BL58"/>
    <mergeCell ref="BH58:BI58"/>
    <mergeCell ref="BP58:BR58"/>
    <mergeCell ref="AX58:AY58"/>
    <mergeCell ref="AZ58:BA58"/>
    <mergeCell ref="BB58:BC58"/>
    <mergeCell ref="BD58:BE58"/>
    <mergeCell ref="B57:C57"/>
    <mergeCell ref="D57:I57"/>
    <mergeCell ref="J57:K57"/>
    <mergeCell ref="L57:R57"/>
    <mergeCell ref="T57:X57"/>
    <mergeCell ref="Y57:AC57"/>
    <mergeCell ref="AD57:AE57"/>
    <mergeCell ref="AF57:AJ57"/>
    <mergeCell ref="AV54:AW54"/>
    <mergeCell ref="AX54:AY54"/>
    <mergeCell ref="AZ54:BA54"/>
    <mergeCell ref="B53:C53"/>
    <mergeCell ref="D53:I53"/>
    <mergeCell ref="J53:K53"/>
    <mergeCell ref="L53:R53"/>
    <mergeCell ref="T53:X53"/>
    <mergeCell ref="Y53:AC53"/>
    <mergeCell ref="AD53:AE53"/>
    <mergeCell ref="J54:K54"/>
    <mergeCell ref="L54:R54"/>
    <mergeCell ref="T54:X54"/>
    <mergeCell ref="BW52:CH57"/>
    <mergeCell ref="B55:C55"/>
    <mergeCell ref="D55:I55"/>
    <mergeCell ref="J55:K55"/>
    <mergeCell ref="L55:R55"/>
    <mergeCell ref="T55:X55"/>
    <mergeCell ref="Y55:AC55"/>
    <mergeCell ref="AD55:AE55"/>
    <mergeCell ref="AF55:AJ55"/>
    <mergeCell ref="AL53:AM53"/>
    <mergeCell ref="BS53:BU54"/>
    <mergeCell ref="B56:C56"/>
    <mergeCell ref="D56:I56"/>
    <mergeCell ref="J56:K56"/>
    <mergeCell ref="L56:R56"/>
    <mergeCell ref="T56:X56"/>
    <mergeCell ref="Y56:AC56"/>
    <mergeCell ref="AD56:AE56"/>
    <mergeCell ref="AZ53:BA53"/>
    <mergeCell ref="BB53:BC53"/>
    <mergeCell ref="BD53:BE53"/>
    <mergeCell ref="BF53:BG53"/>
    <mergeCell ref="BH53:BI53"/>
    <mergeCell ref="BK53:BL54"/>
    <mergeCell ref="B52:C52"/>
    <mergeCell ref="D52:I52"/>
    <mergeCell ref="AF53:AJ53"/>
    <mergeCell ref="B54:C54"/>
    <mergeCell ref="D54:I54"/>
    <mergeCell ref="AN53:AO53"/>
    <mergeCell ref="AP53:AQ53"/>
    <mergeCell ref="AR53:AS53"/>
    <mergeCell ref="B51:C51"/>
    <mergeCell ref="D51:I51"/>
    <mergeCell ref="B50:C50"/>
    <mergeCell ref="D50:I50"/>
    <mergeCell ref="AD52:AE52"/>
    <mergeCell ref="AF52:AJ52"/>
    <mergeCell ref="AL50:AM50"/>
    <mergeCell ref="J52:K52"/>
    <mergeCell ref="L52:R52"/>
    <mergeCell ref="T52:X52"/>
    <mergeCell ref="AD50:AE50"/>
    <mergeCell ref="AF50:AJ50"/>
    <mergeCell ref="J51:K51"/>
    <mergeCell ref="L51:R51"/>
    <mergeCell ref="T51:X51"/>
    <mergeCell ref="Y51:AC51"/>
    <mergeCell ref="AD51:AE51"/>
    <mergeCell ref="J50:K50"/>
    <mergeCell ref="L50:R50"/>
    <mergeCell ref="T50:X50"/>
    <mergeCell ref="Y50:AC50"/>
    <mergeCell ref="Y52:AC52"/>
    <mergeCell ref="Y54:AC54"/>
    <mergeCell ref="AD54:AE54"/>
    <mergeCell ref="AF54:AJ54"/>
    <mergeCell ref="BW49:CH49"/>
    <mergeCell ref="AV49:AW49"/>
    <mergeCell ref="AX49:AY49"/>
    <mergeCell ref="AZ49:BA49"/>
    <mergeCell ref="BB49:BC49"/>
    <mergeCell ref="BD49:BE49"/>
    <mergeCell ref="BF49:BG49"/>
    <mergeCell ref="AF51:AJ51"/>
    <mergeCell ref="BH49:BI49"/>
    <mergeCell ref="BK49:BL50"/>
    <mergeCell ref="BM49:BO50"/>
    <mergeCell ref="BP49:BR49"/>
    <mergeCell ref="BS49:BU50"/>
    <mergeCell ref="BF50:BG50"/>
    <mergeCell ref="BH50:BI50"/>
    <mergeCell ref="BP50:BR50"/>
    <mergeCell ref="AV50:AW50"/>
    <mergeCell ref="AX50:AY50"/>
    <mergeCell ref="AZ50:BA50"/>
    <mergeCell ref="BB50:BC50"/>
    <mergeCell ref="BD50:BE50"/>
    <mergeCell ref="AL49:AM49"/>
    <mergeCell ref="AN49:AO49"/>
    <mergeCell ref="AP49:AQ49"/>
    <mergeCell ref="AR49:AS49"/>
    <mergeCell ref="AT49:AU49"/>
    <mergeCell ref="AN50:AO50"/>
    <mergeCell ref="AP50:AQ50"/>
    <mergeCell ref="AT50:AU50"/>
    <mergeCell ref="AR50:AS50"/>
    <mergeCell ref="BW46:CH46"/>
    <mergeCell ref="B49:C49"/>
    <mergeCell ref="D49:I49"/>
    <mergeCell ref="J49:K49"/>
    <mergeCell ref="L49:R49"/>
    <mergeCell ref="T49:X49"/>
    <mergeCell ref="Y49:AC49"/>
    <mergeCell ref="AD49:AE49"/>
    <mergeCell ref="AF49:AJ49"/>
    <mergeCell ref="BW47:CH47"/>
    <mergeCell ref="AZ46:BA46"/>
    <mergeCell ref="BB46:BC46"/>
    <mergeCell ref="BD46:BE46"/>
    <mergeCell ref="BF46:BG46"/>
    <mergeCell ref="BH46:BI46"/>
    <mergeCell ref="BP46:BR46"/>
    <mergeCell ref="AN46:AO46"/>
    <mergeCell ref="AP46:AQ46"/>
    <mergeCell ref="AR46:AS46"/>
    <mergeCell ref="AT46:AU46"/>
    <mergeCell ref="AV46:AW46"/>
    <mergeCell ref="AX46:AY46"/>
    <mergeCell ref="Y47:AC47"/>
    <mergeCell ref="B46:C46"/>
    <mergeCell ref="D46:I46"/>
    <mergeCell ref="J46:K46"/>
    <mergeCell ref="L46:R46"/>
    <mergeCell ref="T46:X46"/>
    <mergeCell ref="Y46:AC46"/>
    <mergeCell ref="AD46:AE46"/>
    <mergeCell ref="AF46:AJ46"/>
    <mergeCell ref="BW48:CH48"/>
    <mergeCell ref="BW45:CH45"/>
    <mergeCell ref="B48:C48"/>
    <mergeCell ref="D48:I48"/>
    <mergeCell ref="J48:K48"/>
    <mergeCell ref="L48:R48"/>
    <mergeCell ref="T48:X48"/>
    <mergeCell ref="Y48:AC48"/>
    <mergeCell ref="AD48:AE48"/>
    <mergeCell ref="AF48:AJ48"/>
    <mergeCell ref="AL46:AM46"/>
    <mergeCell ref="BF45:BG45"/>
    <mergeCell ref="BH45:BI45"/>
    <mergeCell ref="BK45:BL46"/>
    <mergeCell ref="BM45:BO46"/>
    <mergeCell ref="BP45:BR45"/>
    <mergeCell ref="BS45:BU46"/>
    <mergeCell ref="AT45:AU45"/>
    <mergeCell ref="AV45:AW45"/>
    <mergeCell ref="AX45:AY45"/>
    <mergeCell ref="AZ45:BA45"/>
    <mergeCell ref="BB45:BC45"/>
    <mergeCell ref="BD45:BE45"/>
    <mergeCell ref="AD47:AE47"/>
    <mergeCell ref="AF47:AJ47"/>
    <mergeCell ref="AN45:AO45"/>
    <mergeCell ref="AP45:AQ45"/>
    <mergeCell ref="AR45:AS45"/>
    <mergeCell ref="B47:C47"/>
    <mergeCell ref="D47:I47"/>
    <mergeCell ref="J47:K47"/>
    <mergeCell ref="L47:R47"/>
    <mergeCell ref="T47:X47"/>
    <mergeCell ref="AL45:AM45"/>
    <mergeCell ref="BB42:BC42"/>
    <mergeCell ref="BD42:BE42"/>
    <mergeCell ref="BF42:BG42"/>
    <mergeCell ref="AF44:AJ44"/>
    <mergeCell ref="AL42:AM42"/>
    <mergeCell ref="AN42:AO42"/>
    <mergeCell ref="AP42:AQ42"/>
    <mergeCell ref="AR42:AS42"/>
    <mergeCell ref="AT42:AU42"/>
    <mergeCell ref="B45:C45"/>
    <mergeCell ref="D45:I45"/>
    <mergeCell ref="J45:K45"/>
    <mergeCell ref="L45:R45"/>
    <mergeCell ref="T45:X45"/>
    <mergeCell ref="Y45:AC45"/>
    <mergeCell ref="AD45:AE45"/>
    <mergeCell ref="AV42:AW42"/>
    <mergeCell ref="AX42:AY42"/>
    <mergeCell ref="AF45:AJ45"/>
    <mergeCell ref="BQ41:BU41"/>
    <mergeCell ref="B44:C44"/>
    <mergeCell ref="D44:I44"/>
    <mergeCell ref="J44:K44"/>
    <mergeCell ref="L44:R44"/>
    <mergeCell ref="T44:X44"/>
    <mergeCell ref="Y44:AC44"/>
    <mergeCell ref="AD44:AE44"/>
    <mergeCell ref="AV41:AW41"/>
    <mergeCell ref="AX41:AY41"/>
    <mergeCell ref="AZ41:BA41"/>
    <mergeCell ref="BB41:BC41"/>
    <mergeCell ref="BD41:BE41"/>
    <mergeCell ref="BF41:BG41"/>
    <mergeCell ref="AF43:AJ43"/>
    <mergeCell ref="AL41:AM41"/>
    <mergeCell ref="AN41:AO41"/>
    <mergeCell ref="AP41:AQ41"/>
    <mergeCell ref="AR41:AS41"/>
    <mergeCell ref="AT41:AU41"/>
    <mergeCell ref="BH42:BI42"/>
    <mergeCell ref="BK42:BP42"/>
    <mergeCell ref="BQ42:BU42"/>
    <mergeCell ref="AZ42:BA42"/>
    <mergeCell ref="B43:C43"/>
    <mergeCell ref="D43:I43"/>
    <mergeCell ref="J43:K43"/>
    <mergeCell ref="L43:R43"/>
    <mergeCell ref="T43:X43"/>
    <mergeCell ref="Y43:AC43"/>
    <mergeCell ref="AD43:AE43"/>
    <mergeCell ref="BH41:BI41"/>
    <mergeCell ref="BK41:BP41"/>
    <mergeCell ref="BQ39:BU39"/>
    <mergeCell ref="B42:C42"/>
    <mergeCell ref="D42:I42"/>
    <mergeCell ref="J42:K42"/>
    <mergeCell ref="L42:R42"/>
    <mergeCell ref="T42:X42"/>
    <mergeCell ref="Y42:AC42"/>
    <mergeCell ref="AD42:AE42"/>
    <mergeCell ref="AF42:AJ42"/>
    <mergeCell ref="BK40:BP40"/>
    <mergeCell ref="BQ40:BU40"/>
    <mergeCell ref="BH38:BI38"/>
    <mergeCell ref="BK38:BP38"/>
    <mergeCell ref="BQ38:BU38"/>
    <mergeCell ref="B41:C41"/>
    <mergeCell ref="D41:I41"/>
    <mergeCell ref="J41:K41"/>
    <mergeCell ref="L41:R41"/>
    <mergeCell ref="T41:X41"/>
    <mergeCell ref="Y41:AC41"/>
    <mergeCell ref="AD41:AE41"/>
    <mergeCell ref="AV38:AW38"/>
    <mergeCell ref="AX38:AY38"/>
    <mergeCell ref="AZ38:BA38"/>
    <mergeCell ref="BB38:BC38"/>
    <mergeCell ref="BD38:BE38"/>
    <mergeCell ref="BF38:BG38"/>
    <mergeCell ref="AF40:AJ40"/>
    <mergeCell ref="AL38:AM38"/>
    <mergeCell ref="AN38:AO38"/>
    <mergeCell ref="AP38:AQ38"/>
    <mergeCell ref="AR38:AS38"/>
    <mergeCell ref="AT38:AU38"/>
    <mergeCell ref="AF41:AJ41"/>
    <mergeCell ref="BK39:BP39"/>
    <mergeCell ref="B40:C40"/>
    <mergeCell ref="D40:I40"/>
    <mergeCell ref="J40:K40"/>
    <mergeCell ref="L40:R40"/>
    <mergeCell ref="T40:X40"/>
    <mergeCell ref="Y40:AC40"/>
    <mergeCell ref="AD40:AE40"/>
    <mergeCell ref="AV37:AW37"/>
    <mergeCell ref="AX37:AY37"/>
    <mergeCell ref="AF39:AJ39"/>
    <mergeCell ref="AL37:AM37"/>
    <mergeCell ref="AN37:AO37"/>
    <mergeCell ref="AP37:AQ37"/>
    <mergeCell ref="AR37:AS37"/>
    <mergeCell ref="AT37:AU37"/>
    <mergeCell ref="B39:C39"/>
    <mergeCell ref="D39:I39"/>
    <mergeCell ref="J39:K39"/>
    <mergeCell ref="L39:R39"/>
    <mergeCell ref="T39:X39"/>
    <mergeCell ref="Y39:AC39"/>
    <mergeCell ref="AD39:AE39"/>
    <mergeCell ref="B38:I38"/>
    <mergeCell ref="J38:K38"/>
    <mergeCell ref="L38:R38"/>
    <mergeCell ref="S38:X38"/>
    <mergeCell ref="Y38:AC38"/>
    <mergeCell ref="AD38:AE38"/>
    <mergeCell ref="BQ37:BU37"/>
    <mergeCell ref="AZ37:BA37"/>
    <mergeCell ref="BB37:BC37"/>
    <mergeCell ref="BD37:BE37"/>
    <mergeCell ref="BF37:BG37"/>
    <mergeCell ref="BR32:BS32"/>
    <mergeCell ref="BT32:BU32"/>
    <mergeCell ref="AC33:AD33"/>
    <mergeCell ref="AE33:AH33"/>
    <mergeCell ref="AI33:AL33"/>
    <mergeCell ref="AM33:AP33"/>
    <mergeCell ref="AQ33:AT33"/>
    <mergeCell ref="AU33:AX33"/>
    <mergeCell ref="AE32:AH32"/>
    <mergeCell ref="AI32:AL32"/>
    <mergeCell ref="AM32:AP32"/>
    <mergeCell ref="AQ32:AT32"/>
    <mergeCell ref="AU32:AX32"/>
    <mergeCell ref="AY32:BB32"/>
    <mergeCell ref="BL33:BN34"/>
    <mergeCell ref="BO33:BR34"/>
    <mergeCell ref="BS33:BU34"/>
    <mergeCell ref="AF38:AJ38"/>
    <mergeCell ref="BK36:BP36"/>
    <mergeCell ref="BQ36:BU36"/>
    <mergeCell ref="M33:O33"/>
    <mergeCell ref="P33:R33"/>
    <mergeCell ref="S33:U33"/>
    <mergeCell ref="V33:X33"/>
    <mergeCell ref="BF31:BG31"/>
    <mergeCell ref="BH31:BK31"/>
    <mergeCell ref="BR31:BS31"/>
    <mergeCell ref="BT31:BU31"/>
    <mergeCell ref="B85:D86"/>
    <mergeCell ref="E85:G86"/>
    <mergeCell ref="H85:I86"/>
    <mergeCell ref="J85:K86"/>
    <mergeCell ref="L85:AA86"/>
    <mergeCell ref="AC32:AD32"/>
    <mergeCell ref="AE31:AH31"/>
    <mergeCell ref="AI31:AL31"/>
    <mergeCell ref="AM31:AP31"/>
    <mergeCell ref="AQ31:AT31"/>
    <mergeCell ref="AU31:AX31"/>
    <mergeCell ref="AY31:BB31"/>
    <mergeCell ref="B84:D84"/>
    <mergeCell ref="E84:G84"/>
    <mergeCell ref="H84:I84"/>
    <mergeCell ref="J84:K84"/>
    <mergeCell ref="L84:AA84"/>
    <mergeCell ref="AC31:AD31"/>
    <mergeCell ref="AY33:BB33"/>
    <mergeCell ref="BH37:BI37"/>
    <mergeCell ref="BK37:BP37"/>
    <mergeCell ref="B37:U37"/>
    <mergeCell ref="V37:X37"/>
    <mergeCell ref="Y37:AG37"/>
    <mergeCell ref="AH37:AJ37"/>
    <mergeCell ref="BF32:BG32"/>
    <mergeCell ref="BH32:BK32"/>
    <mergeCell ref="AC30:AD30"/>
    <mergeCell ref="AE30:AF30"/>
    <mergeCell ref="AG30:AH30"/>
    <mergeCell ref="AI30:AJ30"/>
    <mergeCell ref="AK30:AL30"/>
    <mergeCell ref="AO29:AP29"/>
    <mergeCell ref="AQ29:AR29"/>
    <mergeCell ref="AS29:AT29"/>
    <mergeCell ref="AU29:AV29"/>
    <mergeCell ref="AW29:AX29"/>
    <mergeCell ref="AY29:AZ29"/>
    <mergeCell ref="AC29:AD29"/>
    <mergeCell ref="AE29:AF29"/>
    <mergeCell ref="AG29:AH29"/>
    <mergeCell ref="AI29:AJ29"/>
    <mergeCell ref="AK29:AL29"/>
    <mergeCell ref="AM29:AN29"/>
    <mergeCell ref="G33:I33"/>
    <mergeCell ref="J33:L33"/>
    <mergeCell ref="S29:U29"/>
    <mergeCell ref="V29:X29"/>
    <mergeCell ref="J30:L30"/>
    <mergeCell ref="M30:O30"/>
    <mergeCell ref="P30:R30"/>
    <mergeCell ref="S30:U30"/>
    <mergeCell ref="V30:X30"/>
    <mergeCell ref="C81:K81"/>
    <mergeCell ref="L81:AA81"/>
    <mergeCell ref="AC28:AD28"/>
    <mergeCell ref="AE28:AF28"/>
    <mergeCell ref="AG28:AH28"/>
    <mergeCell ref="AI28:AJ28"/>
    <mergeCell ref="AK28:AL28"/>
    <mergeCell ref="AS27:AT27"/>
    <mergeCell ref="AU27:AV27"/>
    <mergeCell ref="AW27:AX27"/>
    <mergeCell ref="AY27:AZ27"/>
    <mergeCell ref="BA27:BB27"/>
    <mergeCell ref="BF27:BG27"/>
    <mergeCell ref="AG27:AH27"/>
    <mergeCell ref="AI27:AJ27"/>
    <mergeCell ref="AK27:AL27"/>
    <mergeCell ref="AI26:AJ26"/>
    <mergeCell ref="AY30:AZ30"/>
    <mergeCell ref="BA30:BB30"/>
    <mergeCell ref="AM27:AN27"/>
    <mergeCell ref="AO27:AP27"/>
    <mergeCell ref="AQ27:AR27"/>
    <mergeCell ref="AY28:AZ28"/>
    <mergeCell ref="BA28:BB28"/>
    <mergeCell ref="BF28:BG28"/>
    <mergeCell ref="AM28:AN28"/>
    <mergeCell ref="AO28:AP28"/>
    <mergeCell ref="AQ28:AR28"/>
    <mergeCell ref="AS28:AT28"/>
    <mergeCell ref="AU28:AV28"/>
    <mergeCell ref="AW28:AX28"/>
    <mergeCell ref="BF30:BG30"/>
    <mergeCell ref="C80:K80"/>
    <mergeCell ref="L80:M80"/>
    <mergeCell ref="N80:O80"/>
    <mergeCell ref="P80:S80"/>
    <mergeCell ref="T80:U80"/>
    <mergeCell ref="V80:W80"/>
    <mergeCell ref="X80:AA80"/>
    <mergeCell ref="AC27:AD27"/>
    <mergeCell ref="AE27:AF27"/>
    <mergeCell ref="AW26:AX26"/>
    <mergeCell ref="AY26:AZ26"/>
    <mergeCell ref="BA26:BB26"/>
    <mergeCell ref="BF26:BG26"/>
    <mergeCell ref="BH26:BK26"/>
    <mergeCell ref="BR26:BS26"/>
    <mergeCell ref="AK26:AL26"/>
    <mergeCell ref="C77:K77"/>
    <mergeCell ref="L77:O77"/>
    <mergeCell ref="AM26:AN26"/>
    <mergeCell ref="AO26:AP26"/>
    <mergeCell ref="AQ26:AR26"/>
    <mergeCell ref="AS26:AT26"/>
    <mergeCell ref="AU26:AV26"/>
    <mergeCell ref="BH27:BK27"/>
    <mergeCell ref="BR27:BS27"/>
    <mergeCell ref="BH28:BK28"/>
    <mergeCell ref="BR28:BS28"/>
    <mergeCell ref="BH30:BK30"/>
    <mergeCell ref="BR30:BS30"/>
    <mergeCell ref="AM30:AN30"/>
    <mergeCell ref="AO30:AP30"/>
    <mergeCell ref="AQ30:AR30"/>
    <mergeCell ref="C78:K78"/>
    <mergeCell ref="L78:M78"/>
    <mergeCell ref="N78:O78"/>
    <mergeCell ref="P78:S78"/>
    <mergeCell ref="T78:U78"/>
    <mergeCell ref="V78:W78"/>
    <mergeCell ref="X78:AA78"/>
    <mergeCell ref="AC25:AD26"/>
    <mergeCell ref="AE25:AH25"/>
    <mergeCell ref="BH25:BK25"/>
    <mergeCell ref="BR25:BS25"/>
    <mergeCell ref="BT25:BU25"/>
    <mergeCell ref="C79:K79"/>
    <mergeCell ref="L79:O79"/>
    <mergeCell ref="P79:S79"/>
    <mergeCell ref="T79:AA79"/>
    <mergeCell ref="AE26:AF26"/>
    <mergeCell ref="AG26:AH26"/>
    <mergeCell ref="AI25:AL25"/>
    <mergeCell ref="AM25:AP25"/>
    <mergeCell ref="AQ25:AT25"/>
    <mergeCell ref="AU25:AX25"/>
    <mergeCell ref="AY25:BB25"/>
    <mergeCell ref="BF25:BG25"/>
    <mergeCell ref="BT26:BU26"/>
    <mergeCell ref="BT27:BU27"/>
    <mergeCell ref="BT28:BU28"/>
    <mergeCell ref="BT30:BU30"/>
    <mergeCell ref="AS30:AT30"/>
    <mergeCell ref="AU30:AV30"/>
    <mergeCell ref="AW30:AX30"/>
    <mergeCell ref="BA29:BB29"/>
    <mergeCell ref="BR22:BS22"/>
    <mergeCell ref="BT22:BU22"/>
    <mergeCell ref="F76:K76"/>
    <mergeCell ref="L76:M76"/>
    <mergeCell ref="N76:O76"/>
    <mergeCell ref="P76:S76"/>
    <mergeCell ref="T76:U76"/>
    <mergeCell ref="V76:W76"/>
    <mergeCell ref="AK22:AM22"/>
    <mergeCell ref="AN22:AP22"/>
    <mergeCell ref="AQ22:AS22"/>
    <mergeCell ref="AT22:AV22"/>
    <mergeCell ref="AW22:AY22"/>
    <mergeCell ref="AZ22:BB22"/>
    <mergeCell ref="X76:AA76"/>
    <mergeCell ref="BF23:BG23"/>
    <mergeCell ref="BH23:BK23"/>
    <mergeCell ref="BR23:BS23"/>
    <mergeCell ref="BT23:BU23"/>
    <mergeCell ref="F75:K75"/>
    <mergeCell ref="L75:M75"/>
    <mergeCell ref="N75:O75"/>
    <mergeCell ref="P75:S75"/>
    <mergeCell ref="T75:U75"/>
    <mergeCell ref="BF24:BG24"/>
    <mergeCell ref="BH24:BK24"/>
    <mergeCell ref="BR24:BS24"/>
    <mergeCell ref="BT24:BU24"/>
    <mergeCell ref="BF29:BG29"/>
    <mergeCell ref="BH29:BK29"/>
    <mergeCell ref="BR29:BS29"/>
    <mergeCell ref="BT29:BU29"/>
    <mergeCell ref="BH21:BK21"/>
    <mergeCell ref="BF22:BG22"/>
    <mergeCell ref="BH22:BK22"/>
    <mergeCell ref="V75:W75"/>
    <mergeCell ref="X75:AA75"/>
    <mergeCell ref="AG22:AJ22"/>
    <mergeCell ref="AQ21:AS21"/>
    <mergeCell ref="BH18:BK18"/>
    <mergeCell ref="BR20:BS20"/>
    <mergeCell ref="BT20:BU20"/>
    <mergeCell ref="F74:K74"/>
    <mergeCell ref="L74:M74"/>
    <mergeCell ref="N74:O74"/>
    <mergeCell ref="Q74:R74"/>
    <mergeCell ref="T74:U74"/>
    <mergeCell ref="V74:W74"/>
    <mergeCell ref="Y74:Z74"/>
    <mergeCell ref="AG21:AJ21"/>
    <mergeCell ref="AQ20:AS20"/>
    <mergeCell ref="AT20:AV20"/>
    <mergeCell ref="AW20:AY20"/>
    <mergeCell ref="AZ20:BB20"/>
    <mergeCell ref="BF20:BG20"/>
    <mergeCell ref="BH20:BK20"/>
    <mergeCell ref="AK21:AM21"/>
    <mergeCell ref="AN21:AP21"/>
    <mergeCell ref="BR21:BS21"/>
    <mergeCell ref="BT21:BU21"/>
    <mergeCell ref="AT21:AV21"/>
    <mergeCell ref="AW21:AY21"/>
    <mergeCell ref="AZ21:BB21"/>
    <mergeCell ref="BF21:BG21"/>
    <mergeCell ref="BR18:BS18"/>
    <mergeCell ref="BT18:BU18"/>
    <mergeCell ref="C72:E76"/>
    <mergeCell ref="F72:K72"/>
    <mergeCell ref="L72:M72"/>
    <mergeCell ref="N72:O72"/>
    <mergeCell ref="P72:S72"/>
    <mergeCell ref="T72:U72"/>
    <mergeCell ref="BR19:BS19"/>
    <mergeCell ref="BT19:BU19"/>
    <mergeCell ref="F73:K73"/>
    <mergeCell ref="L73:M73"/>
    <mergeCell ref="N73:O73"/>
    <mergeCell ref="P73:S73"/>
    <mergeCell ref="T73:U73"/>
    <mergeCell ref="V73:W73"/>
    <mergeCell ref="X73:AA73"/>
    <mergeCell ref="AG20:AJ20"/>
    <mergeCell ref="AQ19:AS19"/>
    <mergeCell ref="AT19:AV19"/>
    <mergeCell ref="AW19:AY19"/>
    <mergeCell ref="AZ19:BB19"/>
    <mergeCell ref="BF19:BG19"/>
    <mergeCell ref="BH19:BK19"/>
    <mergeCell ref="V72:W72"/>
    <mergeCell ref="X72:AA72"/>
    <mergeCell ref="AC19:AF22"/>
    <mergeCell ref="AG19:AJ19"/>
    <mergeCell ref="AK19:AM19"/>
    <mergeCell ref="AN19:AP19"/>
    <mergeCell ref="AK20:AM20"/>
    <mergeCell ref="AN20:AP20"/>
    <mergeCell ref="BR16:BS16"/>
    <mergeCell ref="BT16:BU16"/>
    <mergeCell ref="AC17:AF18"/>
    <mergeCell ref="AG17:AJ17"/>
    <mergeCell ref="AK17:AM17"/>
    <mergeCell ref="AN17:AP17"/>
    <mergeCell ref="AQ17:AS17"/>
    <mergeCell ref="BT17:BU17"/>
    <mergeCell ref="B71:K71"/>
    <mergeCell ref="L71:AA71"/>
    <mergeCell ref="AG18:AJ18"/>
    <mergeCell ref="AK18:AM18"/>
    <mergeCell ref="AN18:AP18"/>
    <mergeCell ref="AQ18:AS18"/>
    <mergeCell ref="AT18:AV18"/>
    <mergeCell ref="AW18:AY18"/>
    <mergeCell ref="AZ18:BB18"/>
    <mergeCell ref="AT17:AV17"/>
    <mergeCell ref="AW17:AY17"/>
    <mergeCell ref="AZ17:BB17"/>
    <mergeCell ref="BF17:BG17"/>
    <mergeCell ref="BH17:BK17"/>
    <mergeCell ref="BR17:BS17"/>
    <mergeCell ref="BF18:BG18"/>
    <mergeCell ref="AC16:AJ16"/>
    <mergeCell ref="AK16:AM16"/>
    <mergeCell ref="AN16:AP16"/>
    <mergeCell ref="AQ16:AS16"/>
    <mergeCell ref="AT16:AV16"/>
    <mergeCell ref="AW16:AY16"/>
    <mergeCell ref="AZ16:BB16"/>
    <mergeCell ref="BF16:BG16"/>
    <mergeCell ref="BH16:BK16"/>
    <mergeCell ref="BH14:BK14"/>
    <mergeCell ref="BR14:BS14"/>
    <mergeCell ref="BT14:BU14"/>
    <mergeCell ref="B15:F15"/>
    <mergeCell ref="G15:I15"/>
    <mergeCell ref="J15:L15"/>
    <mergeCell ref="M15:O15"/>
    <mergeCell ref="P15:R15"/>
    <mergeCell ref="S15:U15"/>
    <mergeCell ref="V15:W15"/>
    <mergeCell ref="X15:AA15"/>
    <mergeCell ref="BF15:BG15"/>
    <mergeCell ref="BH15:BK15"/>
    <mergeCell ref="BR15:BS15"/>
    <mergeCell ref="BT15:BU15"/>
    <mergeCell ref="B13:F13"/>
    <mergeCell ref="G13:I13"/>
    <mergeCell ref="J13:L13"/>
    <mergeCell ref="M13:O13"/>
    <mergeCell ref="P13:R13"/>
    <mergeCell ref="S13:U13"/>
    <mergeCell ref="BR13:BS13"/>
    <mergeCell ref="BT13:BU13"/>
    <mergeCell ref="B14:F14"/>
    <mergeCell ref="G14:I14"/>
    <mergeCell ref="J14:L14"/>
    <mergeCell ref="M14:O14"/>
    <mergeCell ref="P14:R14"/>
    <mergeCell ref="S14:U14"/>
    <mergeCell ref="AC14:AJ14"/>
    <mergeCell ref="AK14:AL14"/>
    <mergeCell ref="AN14:BB14"/>
    <mergeCell ref="BF14:BG14"/>
    <mergeCell ref="BT11:BU11"/>
    <mergeCell ref="B12:F12"/>
    <mergeCell ref="G12:I12"/>
    <mergeCell ref="J12:L12"/>
    <mergeCell ref="M12:O12"/>
    <mergeCell ref="P12:R12"/>
    <mergeCell ref="S12:U12"/>
    <mergeCell ref="AC12:AJ12"/>
    <mergeCell ref="AK12:AL12"/>
    <mergeCell ref="AN12:BB12"/>
    <mergeCell ref="AC11:AJ11"/>
    <mergeCell ref="AK11:AL11"/>
    <mergeCell ref="AN11:BB11"/>
    <mergeCell ref="BF11:BG11"/>
    <mergeCell ref="BH11:BK11"/>
    <mergeCell ref="BR11:BS11"/>
    <mergeCell ref="BF12:BG12"/>
    <mergeCell ref="BH12:BK12"/>
    <mergeCell ref="BR12:BS12"/>
    <mergeCell ref="BT12:BU12"/>
    <mergeCell ref="B11:F11"/>
    <mergeCell ref="G11:I11"/>
    <mergeCell ref="J11:L11"/>
    <mergeCell ref="M11:O11"/>
    <mergeCell ref="P11:R11"/>
    <mergeCell ref="V14:X14"/>
    <mergeCell ref="Y14:AA14"/>
    <mergeCell ref="S11:U11"/>
    <mergeCell ref="AC13:AJ13"/>
    <mergeCell ref="AK13:AL13"/>
    <mergeCell ref="B8:F8"/>
    <mergeCell ref="G8:I8"/>
    <mergeCell ref="J8:L8"/>
    <mergeCell ref="M8:O8"/>
    <mergeCell ref="P8:R8"/>
    <mergeCell ref="B10:F10"/>
    <mergeCell ref="G10:I10"/>
    <mergeCell ref="J10:L10"/>
    <mergeCell ref="M10:O10"/>
    <mergeCell ref="P10:R10"/>
    <mergeCell ref="S10:U10"/>
    <mergeCell ref="BF9:BG9"/>
    <mergeCell ref="BH9:BK9"/>
    <mergeCell ref="BR9:BS9"/>
    <mergeCell ref="BT9:BU9"/>
    <mergeCell ref="AC10:AJ10"/>
    <mergeCell ref="AK10:AM10"/>
    <mergeCell ref="AN10:BB10"/>
    <mergeCell ref="BF10:BG10"/>
    <mergeCell ref="BH10:BK10"/>
    <mergeCell ref="BR10:BS10"/>
    <mergeCell ref="BT10:BU10"/>
    <mergeCell ref="B9:F9"/>
    <mergeCell ref="G9:I9"/>
    <mergeCell ref="J9:L9"/>
    <mergeCell ref="M9:O9"/>
    <mergeCell ref="P9:R9"/>
    <mergeCell ref="BH8:BK8"/>
    <mergeCell ref="BR8:BS8"/>
    <mergeCell ref="BT8:BU8"/>
    <mergeCell ref="B4:F4"/>
    <mergeCell ref="G4:I4"/>
    <mergeCell ref="BF6:BG6"/>
    <mergeCell ref="AM7:AN7"/>
    <mergeCell ref="AQ7:AR7"/>
    <mergeCell ref="AS7:AT7"/>
    <mergeCell ref="AU7:AV7"/>
    <mergeCell ref="AC7:AD7"/>
    <mergeCell ref="AE7:AF7"/>
    <mergeCell ref="AG7:AH7"/>
    <mergeCell ref="AI7:AJ7"/>
    <mergeCell ref="AK7:AL7"/>
    <mergeCell ref="BH6:BK6"/>
    <mergeCell ref="BR6:BS6"/>
    <mergeCell ref="BT6:BU6"/>
    <mergeCell ref="B7:F7"/>
    <mergeCell ref="G7:I7"/>
    <mergeCell ref="J7:L7"/>
    <mergeCell ref="M7:O7"/>
    <mergeCell ref="P7:R7"/>
    <mergeCell ref="S7:U7"/>
    <mergeCell ref="B6:F6"/>
    <mergeCell ref="G6:I6"/>
    <mergeCell ref="J6:L6"/>
    <mergeCell ref="M6:O6"/>
    <mergeCell ref="P6:R6"/>
    <mergeCell ref="S6:U6"/>
    <mergeCell ref="BA7:BB7"/>
    <mergeCell ref="BF7:BG7"/>
    <mergeCell ref="BH7:BK7"/>
    <mergeCell ref="BR7:BS7"/>
    <mergeCell ref="BT7:BU7"/>
    <mergeCell ref="B3:F3"/>
    <mergeCell ref="G3:I3"/>
    <mergeCell ref="J3:L3"/>
    <mergeCell ref="M3:O3"/>
    <mergeCell ref="P3:R3"/>
    <mergeCell ref="S3:U3"/>
    <mergeCell ref="A1:C1"/>
    <mergeCell ref="G1:H1"/>
    <mergeCell ref="AA1:AB1"/>
    <mergeCell ref="BA1:BB1"/>
    <mergeCell ref="BC1:BE1"/>
    <mergeCell ref="BF1:BJ1"/>
    <mergeCell ref="BF3:BG3"/>
    <mergeCell ref="BH3:BK3"/>
    <mergeCell ref="BR3:BS3"/>
    <mergeCell ref="BT3:BU3"/>
    <mergeCell ref="BH5:BK5"/>
    <mergeCell ref="BR5:BS5"/>
    <mergeCell ref="BT5:BU5"/>
    <mergeCell ref="AK5:AL5"/>
    <mergeCell ref="AM5:AN5"/>
    <mergeCell ref="AQ5:AR5"/>
    <mergeCell ref="AS5:AT5"/>
    <mergeCell ref="AU5:AV5"/>
    <mergeCell ref="AW5:AX5"/>
    <mergeCell ref="B5:F5"/>
    <mergeCell ref="G5:I5"/>
    <mergeCell ref="J5:L5"/>
    <mergeCell ref="M5:O5"/>
    <mergeCell ref="P5:R5"/>
    <mergeCell ref="S5:U5"/>
    <mergeCell ref="AY4:AZ4"/>
    <mergeCell ref="CA1:CH1"/>
    <mergeCell ref="BE2:BK2"/>
    <mergeCell ref="BR2:BS2"/>
    <mergeCell ref="BT2:BU2"/>
    <mergeCell ref="BA4:BB4"/>
    <mergeCell ref="BF4:BG4"/>
    <mergeCell ref="AC4:AD4"/>
    <mergeCell ref="AE4:AF4"/>
    <mergeCell ref="AG4:AH4"/>
    <mergeCell ref="AI4:AJ4"/>
    <mergeCell ref="AC5:AD5"/>
    <mergeCell ref="AE5:AF5"/>
    <mergeCell ref="AG5:AH5"/>
    <mergeCell ref="AI5:AJ5"/>
    <mergeCell ref="AY5:AZ5"/>
    <mergeCell ref="BA5:BB5"/>
    <mergeCell ref="AM8:AN8"/>
    <mergeCell ref="AQ8:AR8"/>
    <mergeCell ref="AS8:AT8"/>
    <mergeCell ref="AU8:AV8"/>
    <mergeCell ref="AW8:AX8"/>
    <mergeCell ref="AY8:AZ8"/>
    <mergeCell ref="AC8:AD8"/>
    <mergeCell ref="AE8:AF8"/>
    <mergeCell ref="AG8:AH8"/>
    <mergeCell ref="AI8:AJ8"/>
    <mergeCell ref="AK8:AL8"/>
    <mergeCell ref="BF5:BG5"/>
    <mergeCell ref="AW7:AX7"/>
    <mergeCell ref="AY7:AZ7"/>
    <mergeCell ref="BA8:BB8"/>
    <mergeCell ref="BF8:BG8"/>
    <mergeCell ref="V3:X3"/>
    <mergeCell ref="Y3:AA3"/>
    <mergeCell ref="V4:X4"/>
    <mergeCell ref="Y4:AA4"/>
    <mergeCell ref="S4:U4"/>
    <mergeCell ref="V5:X5"/>
    <mergeCell ref="Y5:AA5"/>
    <mergeCell ref="V6:X6"/>
    <mergeCell ref="Y6:AA6"/>
    <mergeCell ref="V7:X7"/>
    <mergeCell ref="Y7:AA7"/>
    <mergeCell ref="V8:X8"/>
    <mergeCell ref="Y8:AA8"/>
    <mergeCell ref="V9:X9"/>
    <mergeCell ref="Y9:AA9"/>
    <mergeCell ref="V10:X10"/>
    <mergeCell ref="Y10:AA10"/>
    <mergeCell ref="S8:U8"/>
    <mergeCell ref="S9:U9"/>
    <mergeCell ref="J4:L4"/>
    <mergeCell ref="M4:O4"/>
    <mergeCell ref="P4:R4"/>
    <mergeCell ref="BH4:BK4"/>
    <mergeCell ref="BR4:BS4"/>
    <mergeCell ref="BT4:BU4"/>
    <mergeCell ref="AK4:AL4"/>
    <mergeCell ref="AM4:AN4"/>
    <mergeCell ref="AQ4:AR4"/>
    <mergeCell ref="AS4:AT4"/>
    <mergeCell ref="AU4:AV4"/>
    <mergeCell ref="AW4:AX4"/>
    <mergeCell ref="V11:X11"/>
    <mergeCell ref="Y11:AA11"/>
    <mergeCell ref="AN13:BB13"/>
    <mergeCell ref="BF13:BG13"/>
    <mergeCell ref="BH13:BK13"/>
    <mergeCell ref="V12:X12"/>
    <mergeCell ref="Y12:AA12"/>
    <mergeCell ref="V13:X13"/>
    <mergeCell ref="Y13:AA13"/>
  </mergeCells>
  <phoneticPr fontId="2"/>
  <conditionalFormatting sqref="G15:U15">
    <cfRule type="cellIs" dxfId="112" priority="26" operator="lessThan">
      <formula>700000</formula>
    </cfRule>
  </conditionalFormatting>
  <conditionalFormatting sqref="G23:U23">
    <cfRule type="cellIs" dxfId="111" priority="13" operator="between">
      <formula>0.95</formula>
      <formula>0.9</formula>
    </cfRule>
    <cfRule type="cellIs" dxfId="110" priority="14" operator="lessThan">
      <formula>0.9</formula>
    </cfRule>
  </conditionalFormatting>
  <conditionalFormatting sqref="G20:X22">
    <cfRule type="cellIs" dxfId="109" priority="9" operator="between">
      <formula>0.95</formula>
      <formula>0.9</formula>
    </cfRule>
    <cfRule type="cellIs" dxfId="108" priority="10" operator="lessThan">
      <formula>0.9</formula>
    </cfRule>
  </conditionalFormatting>
  <conditionalFormatting sqref="G24:X24">
    <cfRule type="cellIs" dxfId="107" priority="21" operator="lessThan">
      <formula>0.4</formula>
    </cfRule>
    <cfRule type="cellIs" dxfId="106" priority="22" operator="lessThan">
      <formula>0.5</formula>
    </cfRule>
  </conditionalFormatting>
  <conditionalFormatting sqref="G6:AA6">
    <cfRule type="cellIs" dxfId="105" priority="1" operator="between">
      <formula>0.95</formula>
      <formula>0.9</formula>
    </cfRule>
    <cfRule type="cellIs" dxfId="104" priority="6" operator="lessThan">
      <formula>0.9</formula>
    </cfRule>
  </conditionalFormatting>
  <conditionalFormatting sqref="G8:AA8">
    <cfRule type="cellIs" dxfId="103" priority="4" operator="lessThan">
      <formula>0.4</formula>
    </cfRule>
    <cfRule type="cellIs" dxfId="102" priority="5" operator="lessThan">
      <formula>0.5</formula>
    </cfRule>
  </conditionalFormatting>
  <conditionalFormatting sqref="G10:AA10">
    <cfRule type="cellIs" dxfId="101" priority="3" operator="lessThan">
      <formula>0.9</formula>
    </cfRule>
  </conditionalFormatting>
  <conditionalFormatting sqref="G12:AA12">
    <cfRule type="expression" dxfId="100" priority="2">
      <formula>AND(G12&lt;&gt;"",G12&gt;0.3)</formula>
    </cfRule>
  </conditionalFormatting>
  <conditionalFormatting sqref="G14:AA14">
    <cfRule type="containsBlanks" dxfId="99" priority="7">
      <formula>LEN(TRIM(G14))=0</formula>
    </cfRule>
  </conditionalFormatting>
  <conditionalFormatting sqref="J27:AA31">
    <cfRule type="containsBlanks" dxfId="98" priority="8">
      <formula>LEN(TRIM(J27))=0</formula>
    </cfRule>
  </conditionalFormatting>
  <conditionalFormatting sqref="P77:AA77">
    <cfRule type="cellIs" dxfId="97" priority="35" operator="equal">
      <formula>"完"</formula>
    </cfRule>
  </conditionalFormatting>
  <conditionalFormatting sqref="AH37:AJ37">
    <cfRule type="cellIs" dxfId="96" priority="33" operator="equal">
      <formula>"Ⅱ算定済"</formula>
    </cfRule>
    <cfRule type="cellIs" dxfId="95" priority="34" operator="equal">
      <formula>"Ⅰ算定済"</formula>
    </cfRule>
  </conditionalFormatting>
  <conditionalFormatting sqref="BF3:BU32 P77:AA77 AH37:AJ37 AC5:AN5 AQ5:BB5 AC8:AN8 AQ8:BB8 AC11:BB14 AK17:BB21 AE27:BB29 AE32:BB32 BK37:BP42 AL38:BI38 D39:AJ68 AL42:BI42 BW45:CH49 AL46:BI46 AL50:BI50 AL54:BI54 AL58:BI58 AL62:BI62 AL66:BI66 P72:S73 P74 S74 X74 AA74 P75:S75 X75:AA75 X78:AA78 P78:S80 X80:AA80 L81:AA81 B85:G86 L85:AA86">
    <cfRule type="containsBlanks" dxfId="94" priority="37">
      <formula>LEN(TRIM(B3))=0</formula>
    </cfRule>
  </conditionalFormatting>
  <conditionalFormatting sqref="BL3:BQ32">
    <cfRule type="cellIs" dxfId="93" priority="36" operator="equal">
      <formula>"完"</formula>
    </cfRule>
  </conditionalFormatting>
  <dataValidations count="23">
    <dataValidation type="list" allowBlank="1" showInputMessage="1" showErrorMessage="1" sqref="Y39:AC68" xr:uid="{4C843D83-3C74-4593-AB6F-49AE9B7712E4}">
      <formula1>"重度支援Ⅰ,重度支援Ⅱ"</formula1>
    </dataValidation>
    <dataValidation type="list" allowBlank="1" showInputMessage="1" showErrorMessage="1" sqref="BK37:BP42" xr:uid="{271FB865-21DA-447C-9FCC-B56DA1C9D698}">
      <formula1>"転倒・転落,誤嚥・窒息,誤薬,行方不明,他害,利用者同士トラブル,自傷,入浴事故,医療急変,その他"</formula1>
    </dataValidation>
    <dataValidation type="list" allowBlank="1" showInputMessage="1" showErrorMessage="1" sqref="AH37:AJ37" xr:uid="{ADF74F1F-E247-4D6E-830E-01B9C8A30626}">
      <formula1>"Ⅰ算定済,Ⅱ算定済"</formula1>
    </dataValidation>
    <dataValidation type="list" allowBlank="1" showInputMessage="1" showErrorMessage="1" sqref="S39:S68" xr:uid="{96D2BE3B-EF26-4FE7-A700-0751DC045C85}">
      <formula1>"◎,○,△,➡"</formula1>
    </dataValidation>
    <dataValidation type="list" allowBlank="1" showInputMessage="1" showErrorMessage="1" sqref="J39:K68" xr:uid="{349B3281-CB9B-48D3-A63B-1B1B20FCFD58}">
      <formula1>"6,5,4,3,2,1,なし"</formula1>
    </dataValidation>
    <dataValidation type="list" allowBlank="1" showInputMessage="1" showErrorMessage="1" sqref="AA77" xr:uid="{0A6C9823-B00F-44A6-A0DD-3C0EBC03E773}">
      <formula1>"12,完"</formula1>
    </dataValidation>
    <dataValidation type="list" allowBlank="1" showInputMessage="1" showErrorMessage="1" sqref="Z77" xr:uid="{042BA13F-D4D6-41A3-986A-17E70E750D7F}">
      <formula1>"11,完"</formula1>
    </dataValidation>
    <dataValidation type="list" allowBlank="1" showInputMessage="1" showErrorMessage="1" sqref="Y77" xr:uid="{1D05CDDE-8865-4F6D-B5F7-134A4CBE3515}">
      <formula1>"10,完"</formula1>
    </dataValidation>
    <dataValidation type="list" allowBlank="1" showInputMessage="1" showErrorMessage="1" sqref="X77" xr:uid="{045E3CE7-60E2-4688-B5E3-64A88BD99C24}">
      <formula1>"9,完"</formula1>
    </dataValidation>
    <dataValidation type="list" allowBlank="1" showInputMessage="1" showErrorMessage="1" sqref="W77" xr:uid="{480671D8-ABAB-43FB-A37A-E42A910E52EC}">
      <formula1>"8,完"</formula1>
    </dataValidation>
    <dataValidation type="list" allowBlank="1" showInputMessage="1" showErrorMessage="1" sqref="V77" xr:uid="{95069656-ED3C-4712-8662-C07DF3E5923A}">
      <formula1>"7,完"</formula1>
    </dataValidation>
    <dataValidation type="list" allowBlank="1" showInputMessage="1" showErrorMessage="1" sqref="U77" xr:uid="{EF5BB68B-E6E8-46BD-B367-34616D08A75B}">
      <formula1>"6,完"</formula1>
    </dataValidation>
    <dataValidation type="list" allowBlank="1" showInputMessage="1" showErrorMessage="1" sqref="T77" xr:uid="{BC3FA060-EECE-41A7-9216-2A74DC0DFD02}">
      <formula1>"5,完"</formula1>
    </dataValidation>
    <dataValidation type="list" allowBlank="1" showInputMessage="1" showErrorMessage="1" sqref="S77" xr:uid="{34FF8155-7AC7-493A-A3A4-9E6E2BB66624}">
      <formula1>"4,完"</formula1>
    </dataValidation>
    <dataValidation type="list" allowBlank="1" showInputMessage="1" showErrorMessage="1" sqref="R77" xr:uid="{CC451F63-3510-4FF4-8088-BC4F761870F2}">
      <formula1>"3,完"</formula1>
    </dataValidation>
    <dataValidation type="list" allowBlank="1" showInputMessage="1" showErrorMessage="1" sqref="Q77" xr:uid="{5B09C4F5-AEDF-44D7-9610-EAA8F143BC98}">
      <formula1>"2,完"</formula1>
    </dataValidation>
    <dataValidation type="list" allowBlank="1" showInputMessage="1" showErrorMessage="1" sqref="P77" xr:uid="{50CCCD22-D29F-4484-945A-D5C065163E9C}">
      <formula1>"1,完"</formula1>
    </dataValidation>
    <dataValidation type="list" allowBlank="1" showInputMessage="1" showErrorMessage="1" sqref="X80:AA80 BT3:BT32 P72:S73 P74 S74 P75:S76 X75:AA76 AA74 X74 X72:AA73 X78:AA78 P78:S80 BR3:BR32" xr:uid="{79B1EBCC-2D23-47BD-8AB7-2414AC461E91}">
      <formula1>"●"</formula1>
    </dataValidation>
    <dataValidation type="list" allowBlank="1" showInputMessage="1" showErrorMessage="1" sqref="BF3:BG32" xr:uid="{6005199D-A75E-4903-8ADF-83478081038E}">
      <formula1>"時給,常時給,月給"</formula1>
    </dataValidation>
    <dataValidation type="list" allowBlank="1" showInputMessage="1" showErrorMessage="1" sqref="AM11:AM14" xr:uid="{640FB6EE-81C3-454A-9AB2-4E1DB66B6E7B}">
      <formula1>"週,月"</formula1>
    </dataValidation>
    <dataValidation type="list" allowBlank="1" showInputMessage="1" showErrorMessage="1" sqref="AD39:AE68" xr:uid="{F3928B5A-AE58-46C1-9D76-476D9288DFDA}">
      <formula1>"済"</formula1>
    </dataValidation>
    <dataValidation type="list" allowBlank="1" showInputMessage="1" showErrorMessage="1" sqref="B85:D86" xr:uid="{B147C091-432E-4AD2-9AFB-00BB22501BC1}">
      <formula1>"Ⅰ,Ⅱ,Ⅲ"</formula1>
    </dataValidation>
    <dataValidation type="list" allowBlank="1" showInputMessage="1" showErrorMessage="1" sqref="BL3:BQ32" xr:uid="{2128135A-350D-489E-8033-214AAEF36A72}">
      <formula1>"完"</formula1>
    </dataValidation>
  </dataValidations>
  <hyperlinks>
    <hyperlink ref="BX6" r:id="rId1" xr:uid="{5035B91E-3BCA-43A8-83D8-0ABE7429DE3E}"/>
    <hyperlink ref="B19:F19" r:id="rId2" display="利用日数" xr:uid="{C9FDC8BE-E3BF-4AF9-AEFE-F02190DFB3E5}"/>
    <hyperlink ref="B21:F21" r:id="rId3" display="利用日数(予定 ) " xr:uid="{62E9F91A-56FC-49D2-AE32-5B442ECB8E39}"/>
    <hyperlink ref="B9:F9" r:id="rId4" display="..\04.サビ管_ラシエル\03. ご入居者利用状況一覧\気賀⑤.xlsx" xr:uid="{BC967316-9BF5-4140-B119-E811FAA8A962}"/>
    <hyperlink ref="AC16:AJ16" r:id="rId5" display="常勤換算法・夜勤含む（/所定労働）" xr:uid="{04FFE24A-5044-4BF1-929B-C2C5A864FDAD}"/>
    <hyperlink ref="B30:E31" r:id="rId6" display="派遣時間数" xr:uid="{E567E5C4-395D-427A-A286-EE635423B353}"/>
    <hyperlink ref="B23:F23" r:id="rId7" display="短期稼働日数" xr:uid="{F9862ACB-246C-43E8-A0F9-3DD4D1FE2B28}"/>
  </hyperlinks>
  <printOptions horizontalCentered="1" verticalCentered="1"/>
  <pageMargins left="0.11811023622047245" right="0.11811023622047245" top="0.15748031496062992" bottom="0.15748031496062992" header="0" footer="0"/>
  <pageSetup paperSize="9" scale="25" orientation="landscape" r:id="rId8"/>
  <drawing r:id="rId9"/>
  <legacyDrawing r:id="rId10"/>
  <mc:AlternateContent xmlns:mc="http://schemas.openxmlformats.org/markup-compatibility/2006">
    <mc:Choice Requires="x14">
      <controls>
        <mc:AlternateContent xmlns:mc="http://schemas.openxmlformats.org/markup-compatibility/2006">
          <mc:Choice Requires="x14">
            <control shapeId="23574" r:id="rId11" name="TaskCheck_BW3">
              <controlPr defaultSize="0" autoFill="0" autoLine="0" autoPict="0">
                <anchor moveWithCells="1">
                  <from>
                    <xdr:col>74</xdr:col>
                    <xdr:colOff>19050</xdr:colOff>
                    <xdr:row>2</xdr:row>
                    <xdr:rowOff>12700</xdr:rowOff>
                  </from>
                  <to>
                    <xdr:col>75</xdr:col>
                    <xdr:colOff>50800</xdr:colOff>
                    <xdr:row>2</xdr:row>
                    <xdr:rowOff>273050</xdr:rowOff>
                  </to>
                </anchor>
              </controlPr>
            </control>
          </mc:Choice>
        </mc:AlternateContent>
        <mc:AlternateContent xmlns:mc="http://schemas.openxmlformats.org/markup-compatibility/2006">
          <mc:Choice Requires="x14">
            <control shapeId="23575" r:id="rId12" name="TaskCheck_BW4">
              <controlPr defaultSize="0" autoFill="0" autoLine="0" autoPict="0">
                <anchor moveWithCells="1">
                  <from>
                    <xdr:col>74</xdr:col>
                    <xdr:colOff>19050</xdr:colOff>
                    <xdr:row>3</xdr:row>
                    <xdr:rowOff>12700</xdr:rowOff>
                  </from>
                  <to>
                    <xdr:col>75</xdr:col>
                    <xdr:colOff>50800</xdr:colOff>
                    <xdr:row>3</xdr:row>
                    <xdr:rowOff>273050</xdr:rowOff>
                  </to>
                </anchor>
              </controlPr>
            </control>
          </mc:Choice>
        </mc:AlternateContent>
        <mc:AlternateContent xmlns:mc="http://schemas.openxmlformats.org/markup-compatibility/2006">
          <mc:Choice Requires="x14">
            <control shapeId="23576" r:id="rId13" name="TaskCheck_BW5">
              <controlPr defaultSize="0" autoFill="0" autoLine="0" autoPict="0">
                <anchor moveWithCells="1">
                  <from>
                    <xdr:col>74</xdr:col>
                    <xdr:colOff>19050</xdr:colOff>
                    <xdr:row>4</xdr:row>
                    <xdr:rowOff>12700</xdr:rowOff>
                  </from>
                  <to>
                    <xdr:col>75</xdr:col>
                    <xdr:colOff>50800</xdr:colOff>
                    <xdr:row>4</xdr:row>
                    <xdr:rowOff>273050</xdr:rowOff>
                  </to>
                </anchor>
              </controlPr>
            </control>
          </mc:Choice>
        </mc:AlternateContent>
        <mc:AlternateContent xmlns:mc="http://schemas.openxmlformats.org/markup-compatibility/2006">
          <mc:Choice Requires="x14">
            <control shapeId="23577" r:id="rId14" name="TaskCheck_BW6">
              <controlPr defaultSize="0" autoFill="0" autoLine="0" autoPict="0">
                <anchor moveWithCells="1">
                  <from>
                    <xdr:col>74</xdr:col>
                    <xdr:colOff>19050</xdr:colOff>
                    <xdr:row>5</xdr:row>
                    <xdr:rowOff>12700</xdr:rowOff>
                  </from>
                  <to>
                    <xdr:col>75</xdr:col>
                    <xdr:colOff>50800</xdr:colOff>
                    <xdr:row>5</xdr:row>
                    <xdr:rowOff>273050</xdr:rowOff>
                  </to>
                </anchor>
              </controlPr>
            </control>
          </mc:Choice>
        </mc:AlternateContent>
        <mc:AlternateContent xmlns:mc="http://schemas.openxmlformats.org/markup-compatibility/2006">
          <mc:Choice Requires="x14">
            <control shapeId="23578" r:id="rId15" name="TaskCheck_BW7">
              <controlPr defaultSize="0" autoFill="0" autoLine="0" autoPict="0">
                <anchor moveWithCells="1">
                  <from>
                    <xdr:col>74</xdr:col>
                    <xdr:colOff>19050</xdr:colOff>
                    <xdr:row>6</xdr:row>
                    <xdr:rowOff>12700</xdr:rowOff>
                  </from>
                  <to>
                    <xdr:col>75</xdr:col>
                    <xdr:colOff>50800</xdr:colOff>
                    <xdr:row>6</xdr:row>
                    <xdr:rowOff>273050</xdr:rowOff>
                  </to>
                </anchor>
              </controlPr>
            </control>
          </mc:Choice>
        </mc:AlternateContent>
        <mc:AlternateContent xmlns:mc="http://schemas.openxmlformats.org/markup-compatibility/2006">
          <mc:Choice Requires="x14">
            <control shapeId="23579" r:id="rId16" name="TaskCheck_BW8">
              <controlPr defaultSize="0" autoFill="0" autoLine="0" autoPict="0">
                <anchor moveWithCells="1">
                  <from>
                    <xdr:col>74</xdr:col>
                    <xdr:colOff>19050</xdr:colOff>
                    <xdr:row>7</xdr:row>
                    <xdr:rowOff>12700</xdr:rowOff>
                  </from>
                  <to>
                    <xdr:col>75</xdr:col>
                    <xdr:colOff>50800</xdr:colOff>
                    <xdr:row>7</xdr:row>
                    <xdr:rowOff>273050</xdr:rowOff>
                  </to>
                </anchor>
              </controlPr>
            </control>
          </mc:Choice>
        </mc:AlternateContent>
        <mc:AlternateContent xmlns:mc="http://schemas.openxmlformats.org/markup-compatibility/2006">
          <mc:Choice Requires="x14">
            <control shapeId="23580" r:id="rId17" name="TaskCheck_BW9">
              <controlPr defaultSize="0" autoFill="0" autoLine="0" autoPict="0">
                <anchor moveWithCells="1">
                  <from>
                    <xdr:col>74</xdr:col>
                    <xdr:colOff>19050</xdr:colOff>
                    <xdr:row>8</xdr:row>
                    <xdr:rowOff>12700</xdr:rowOff>
                  </from>
                  <to>
                    <xdr:col>75</xdr:col>
                    <xdr:colOff>50800</xdr:colOff>
                    <xdr:row>8</xdr:row>
                    <xdr:rowOff>273050</xdr:rowOff>
                  </to>
                </anchor>
              </controlPr>
            </control>
          </mc:Choice>
        </mc:AlternateContent>
        <mc:AlternateContent xmlns:mc="http://schemas.openxmlformats.org/markup-compatibility/2006">
          <mc:Choice Requires="x14">
            <control shapeId="23581" r:id="rId18" name="TaskCheck_BW10">
              <controlPr defaultSize="0" autoFill="0" autoLine="0" autoPict="0">
                <anchor moveWithCells="1">
                  <from>
                    <xdr:col>74</xdr:col>
                    <xdr:colOff>19050</xdr:colOff>
                    <xdr:row>9</xdr:row>
                    <xdr:rowOff>12700</xdr:rowOff>
                  </from>
                  <to>
                    <xdr:col>75</xdr:col>
                    <xdr:colOff>50800</xdr:colOff>
                    <xdr:row>9</xdr:row>
                    <xdr:rowOff>273050</xdr:rowOff>
                  </to>
                </anchor>
              </controlPr>
            </control>
          </mc:Choice>
        </mc:AlternateContent>
        <mc:AlternateContent xmlns:mc="http://schemas.openxmlformats.org/markup-compatibility/2006">
          <mc:Choice Requires="x14">
            <control shapeId="23582" r:id="rId19" name="TaskCheck_BW11">
              <controlPr defaultSize="0" autoFill="0" autoLine="0" autoPict="0">
                <anchor moveWithCells="1">
                  <from>
                    <xdr:col>74</xdr:col>
                    <xdr:colOff>19050</xdr:colOff>
                    <xdr:row>10</xdr:row>
                    <xdr:rowOff>12700</xdr:rowOff>
                  </from>
                  <to>
                    <xdr:col>75</xdr:col>
                    <xdr:colOff>50800</xdr:colOff>
                    <xdr:row>10</xdr:row>
                    <xdr:rowOff>273050</xdr:rowOff>
                  </to>
                </anchor>
              </controlPr>
            </control>
          </mc:Choice>
        </mc:AlternateContent>
        <mc:AlternateContent xmlns:mc="http://schemas.openxmlformats.org/markup-compatibility/2006">
          <mc:Choice Requires="x14">
            <control shapeId="23583" r:id="rId20" name="TaskCheck_BW12">
              <controlPr defaultSize="0" autoFill="0" autoLine="0" autoPict="0">
                <anchor moveWithCells="1">
                  <from>
                    <xdr:col>74</xdr:col>
                    <xdr:colOff>19050</xdr:colOff>
                    <xdr:row>11</xdr:row>
                    <xdr:rowOff>12700</xdr:rowOff>
                  </from>
                  <to>
                    <xdr:col>75</xdr:col>
                    <xdr:colOff>50800</xdr:colOff>
                    <xdr:row>11</xdr:row>
                    <xdr:rowOff>273050</xdr:rowOff>
                  </to>
                </anchor>
              </controlPr>
            </control>
          </mc:Choice>
        </mc:AlternateContent>
        <mc:AlternateContent xmlns:mc="http://schemas.openxmlformats.org/markup-compatibility/2006">
          <mc:Choice Requires="x14">
            <control shapeId="23584" r:id="rId21" name="TaskCheck_BW13">
              <controlPr defaultSize="0" autoFill="0" autoLine="0" autoPict="0">
                <anchor moveWithCells="1">
                  <from>
                    <xdr:col>74</xdr:col>
                    <xdr:colOff>19050</xdr:colOff>
                    <xdr:row>12</xdr:row>
                    <xdr:rowOff>12700</xdr:rowOff>
                  </from>
                  <to>
                    <xdr:col>75</xdr:col>
                    <xdr:colOff>50800</xdr:colOff>
                    <xdr:row>12</xdr:row>
                    <xdr:rowOff>273050</xdr:rowOff>
                  </to>
                </anchor>
              </controlPr>
            </control>
          </mc:Choice>
        </mc:AlternateContent>
        <mc:AlternateContent xmlns:mc="http://schemas.openxmlformats.org/markup-compatibility/2006">
          <mc:Choice Requires="x14">
            <control shapeId="23585" r:id="rId22" name="TaskCheck_BW14">
              <controlPr defaultSize="0" autoFill="0" autoLine="0" autoPict="0">
                <anchor moveWithCells="1">
                  <from>
                    <xdr:col>74</xdr:col>
                    <xdr:colOff>19050</xdr:colOff>
                    <xdr:row>13</xdr:row>
                    <xdr:rowOff>12700</xdr:rowOff>
                  </from>
                  <to>
                    <xdr:col>75</xdr:col>
                    <xdr:colOff>50800</xdr:colOff>
                    <xdr:row>13</xdr:row>
                    <xdr:rowOff>273050</xdr:rowOff>
                  </to>
                </anchor>
              </controlPr>
            </control>
          </mc:Choice>
        </mc:AlternateContent>
        <mc:AlternateContent xmlns:mc="http://schemas.openxmlformats.org/markup-compatibility/2006">
          <mc:Choice Requires="x14">
            <control shapeId="23586" r:id="rId23" name="TaskCheck_BW15">
              <controlPr defaultSize="0" autoFill="0" autoLine="0" autoPict="0">
                <anchor moveWithCells="1">
                  <from>
                    <xdr:col>74</xdr:col>
                    <xdr:colOff>19050</xdr:colOff>
                    <xdr:row>14</xdr:row>
                    <xdr:rowOff>12700</xdr:rowOff>
                  </from>
                  <to>
                    <xdr:col>75</xdr:col>
                    <xdr:colOff>50800</xdr:colOff>
                    <xdr:row>14</xdr:row>
                    <xdr:rowOff>273050</xdr:rowOff>
                  </to>
                </anchor>
              </controlPr>
            </control>
          </mc:Choice>
        </mc:AlternateContent>
        <mc:AlternateContent xmlns:mc="http://schemas.openxmlformats.org/markup-compatibility/2006">
          <mc:Choice Requires="x14">
            <control shapeId="23587" r:id="rId24" name="TaskCheck_BW16">
              <controlPr defaultSize="0" autoFill="0" autoLine="0" autoPict="0">
                <anchor moveWithCells="1">
                  <from>
                    <xdr:col>74</xdr:col>
                    <xdr:colOff>19050</xdr:colOff>
                    <xdr:row>15</xdr:row>
                    <xdr:rowOff>12700</xdr:rowOff>
                  </from>
                  <to>
                    <xdr:col>75</xdr:col>
                    <xdr:colOff>50800</xdr:colOff>
                    <xdr:row>15</xdr:row>
                    <xdr:rowOff>273050</xdr:rowOff>
                  </to>
                </anchor>
              </controlPr>
            </control>
          </mc:Choice>
        </mc:AlternateContent>
        <mc:AlternateContent xmlns:mc="http://schemas.openxmlformats.org/markup-compatibility/2006">
          <mc:Choice Requires="x14">
            <control shapeId="23588" r:id="rId25" name="TaskCheck_BW19">
              <controlPr defaultSize="0" autoFill="0" autoLine="0" autoPict="0">
                <anchor moveWithCells="1">
                  <from>
                    <xdr:col>74</xdr:col>
                    <xdr:colOff>19050</xdr:colOff>
                    <xdr:row>18</xdr:row>
                    <xdr:rowOff>12700</xdr:rowOff>
                  </from>
                  <to>
                    <xdr:col>75</xdr:col>
                    <xdr:colOff>50800</xdr:colOff>
                    <xdr:row>18</xdr:row>
                    <xdr:rowOff>273050</xdr:rowOff>
                  </to>
                </anchor>
              </controlPr>
            </control>
          </mc:Choice>
        </mc:AlternateContent>
        <mc:AlternateContent xmlns:mc="http://schemas.openxmlformats.org/markup-compatibility/2006">
          <mc:Choice Requires="x14">
            <control shapeId="23589" r:id="rId26" name="TaskCheck_BW20">
              <controlPr defaultSize="0" autoFill="0" autoLine="0" autoPict="0">
                <anchor moveWithCells="1">
                  <from>
                    <xdr:col>74</xdr:col>
                    <xdr:colOff>19050</xdr:colOff>
                    <xdr:row>19</xdr:row>
                    <xdr:rowOff>12700</xdr:rowOff>
                  </from>
                  <to>
                    <xdr:col>75</xdr:col>
                    <xdr:colOff>50800</xdr:colOff>
                    <xdr:row>19</xdr:row>
                    <xdr:rowOff>273050</xdr:rowOff>
                  </to>
                </anchor>
              </controlPr>
            </control>
          </mc:Choice>
        </mc:AlternateContent>
        <mc:AlternateContent xmlns:mc="http://schemas.openxmlformats.org/markup-compatibility/2006">
          <mc:Choice Requires="x14">
            <control shapeId="23590" r:id="rId27" name="TaskCheck_BW21">
              <controlPr defaultSize="0" autoFill="0" autoLine="0" autoPict="0">
                <anchor moveWithCells="1">
                  <from>
                    <xdr:col>74</xdr:col>
                    <xdr:colOff>19050</xdr:colOff>
                    <xdr:row>20</xdr:row>
                    <xdr:rowOff>12700</xdr:rowOff>
                  </from>
                  <to>
                    <xdr:col>75</xdr:col>
                    <xdr:colOff>50800</xdr:colOff>
                    <xdr:row>20</xdr:row>
                    <xdr:rowOff>273050</xdr:rowOff>
                  </to>
                </anchor>
              </controlPr>
            </control>
          </mc:Choice>
        </mc:AlternateContent>
        <mc:AlternateContent xmlns:mc="http://schemas.openxmlformats.org/markup-compatibility/2006">
          <mc:Choice Requires="x14">
            <control shapeId="23591" r:id="rId28" name="TaskCheck_BW22">
              <controlPr defaultSize="0" autoFill="0" autoLine="0" autoPict="0">
                <anchor moveWithCells="1">
                  <from>
                    <xdr:col>74</xdr:col>
                    <xdr:colOff>19050</xdr:colOff>
                    <xdr:row>21</xdr:row>
                    <xdr:rowOff>12700</xdr:rowOff>
                  </from>
                  <to>
                    <xdr:col>75</xdr:col>
                    <xdr:colOff>50800</xdr:colOff>
                    <xdr:row>21</xdr:row>
                    <xdr:rowOff>273050</xdr:rowOff>
                  </to>
                </anchor>
              </controlPr>
            </control>
          </mc:Choice>
        </mc:AlternateContent>
        <mc:AlternateContent xmlns:mc="http://schemas.openxmlformats.org/markup-compatibility/2006">
          <mc:Choice Requires="x14">
            <control shapeId="23592" r:id="rId29" name="TaskCheck_BW23">
              <controlPr defaultSize="0" autoFill="0" autoLine="0" autoPict="0">
                <anchor moveWithCells="1">
                  <from>
                    <xdr:col>74</xdr:col>
                    <xdr:colOff>19050</xdr:colOff>
                    <xdr:row>22</xdr:row>
                    <xdr:rowOff>12700</xdr:rowOff>
                  </from>
                  <to>
                    <xdr:col>75</xdr:col>
                    <xdr:colOff>50800</xdr:colOff>
                    <xdr:row>22</xdr:row>
                    <xdr:rowOff>273050</xdr:rowOff>
                  </to>
                </anchor>
              </controlPr>
            </control>
          </mc:Choice>
        </mc:AlternateContent>
        <mc:AlternateContent xmlns:mc="http://schemas.openxmlformats.org/markup-compatibility/2006">
          <mc:Choice Requires="x14">
            <control shapeId="23593" r:id="rId30" name="TaskCheck_BW24">
              <controlPr defaultSize="0" autoFill="0" autoLine="0" autoPict="0">
                <anchor moveWithCells="1">
                  <from>
                    <xdr:col>74</xdr:col>
                    <xdr:colOff>19050</xdr:colOff>
                    <xdr:row>23</xdr:row>
                    <xdr:rowOff>12700</xdr:rowOff>
                  </from>
                  <to>
                    <xdr:col>75</xdr:col>
                    <xdr:colOff>50800</xdr:colOff>
                    <xdr:row>23</xdr:row>
                    <xdr:rowOff>273050</xdr:rowOff>
                  </to>
                </anchor>
              </controlPr>
            </control>
          </mc:Choice>
        </mc:AlternateContent>
        <mc:AlternateContent xmlns:mc="http://schemas.openxmlformats.org/markup-compatibility/2006">
          <mc:Choice Requires="x14">
            <control shapeId="23594" r:id="rId31" name="TaskCheck_BW25">
              <controlPr defaultSize="0" autoFill="0" autoLine="0" autoPict="0">
                <anchor moveWithCells="1">
                  <from>
                    <xdr:col>74</xdr:col>
                    <xdr:colOff>19050</xdr:colOff>
                    <xdr:row>24</xdr:row>
                    <xdr:rowOff>12700</xdr:rowOff>
                  </from>
                  <to>
                    <xdr:col>75</xdr:col>
                    <xdr:colOff>50800</xdr:colOff>
                    <xdr:row>24</xdr:row>
                    <xdr:rowOff>273050</xdr:rowOff>
                  </to>
                </anchor>
              </controlPr>
            </control>
          </mc:Choice>
        </mc:AlternateContent>
        <mc:AlternateContent xmlns:mc="http://schemas.openxmlformats.org/markup-compatibility/2006">
          <mc:Choice Requires="x14">
            <control shapeId="23595" r:id="rId32" name="TaskCheck_BW26">
              <controlPr defaultSize="0" autoFill="0" autoLine="0" autoPict="0">
                <anchor moveWithCells="1">
                  <from>
                    <xdr:col>74</xdr:col>
                    <xdr:colOff>19050</xdr:colOff>
                    <xdr:row>25</xdr:row>
                    <xdr:rowOff>12700</xdr:rowOff>
                  </from>
                  <to>
                    <xdr:col>75</xdr:col>
                    <xdr:colOff>50800</xdr:colOff>
                    <xdr:row>25</xdr:row>
                    <xdr:rowOff>273050</xdr:rowOff>
                  </to>
                </anchor>
              </controlPr>
            </control>
          </mc:Choice>
        </mc:AlternateContent>
        <mc:AlternateContent xmlns:mc="http://schemas.openxmlformats.org/markup-compatibility/2006">
          <mc:Choice Requires="x14">
            <control shapeId="23596" r:id="rId33" name="TaskCheck_BW27">
              <controlPr defaultSize="0" autoFill="0" autoLine="0" autoPict="0">
                <anchor moveWithCells="1">
                  <from>
                    <xdr:col>74</xdr:col>
                    <xdr:colOff>19050</xdr:colOff>
                    <xdr:row>26</xdr:row>
                    <xdr:rowOff>12700</xdr:rowOff>
                  </from>
                  <to>
                    <xdr:col>75</xdr:col>
                    <xdr:colOff>50800</xdr:colOff>
                    <xdr:row>26</xdr:row>
                    <xdr:rowOff>273050</xdr:rowOff>
                  </to>
                </anchor>
              </controlPr>
            </control>
          </mc:Choice>
        </mc:AlternateContent>
        <mc:AlternateContent xmlns:mc="http://schemas.openxmlformats.org/markup-compatibility/2006">
          <mc:Choice Requires="x14">
            <control shapeId="23597" r:id="rId34" name="TaskCheck_BW28">
              <controlPr defaultSize="0" autoFill="0" autoLine="0" autoPict="0">
                <anchor moveWithCells="1">
                  <from>
                    <xdr:col>74</xdr:col>
                    <xdr:colOff>19050</xdr:colOff>
                    <xdr:row>27</xdr:row>
                    <xdr:rowOff>12700</xdr:rowOff>
                  </from>
                  <to>
                    <xdr:col>75</xdr:col>
                    <xdr:colOff>50800</xdr:colOff>
                    <xdr:row>27</xdr:row>
                    <xdr:rowOff>273050</xdr:rowOff>
                  </to>
                </anchor>
              </controlPr>
            </control>
          </mc:Choice>
        </mc:AlternateContent>
        <mc:AlternateContent xmlns:mc="http://schemas.openxmlformats.org/markup-compatibility/2006">
          <mc:Choice Requires="x14">
            <control shapeId="23598" r:id="rId35" name="TaskCheck_BW29">
              <controlPr defaultSize="0" autoFill="0" autoLine="0" autoPict="0">
                <anchor moveWithCells="1">
                  <from>
                    <xdr:col>74</xdr:col>
                    <xdr:colOff>19050</xdr:colOff>
                    <xdr:row>28</xdr:row>
                    <xdr:rowOff>12700</xdr:rowOff>
                  </from>
                  <to>
                    <xdr:col>75</xdr:col>
                    <xdr:colOff>50800</xdr:colOff>
                    <xdr:row>28</xdr:row>
                    <xdr:rowOff>273050</xdr:rowOff>
                  </to>
                </anchor>
              </controlPr>
            </control>
          </mc:Choice>
        </mc:AlternateContent>
        <mc:AlternateContent xmlns:mc="http://schemas.openxmlformats.org/markup-compatibility/2006">
          <mc:Choice Requires="x14">
            <control shapeId="23599" r:id="rId36" name="TaskCheck_BW30">
              <controlPr defaultSize="0" autoFill="0" autoLine="0" autoPict="0">
                <anchor moveWithCells="1">
                  <from>
                    <xdr:col>74</xdr:col>
                    <xdr:colOff>19050</xdr:colOff>
                    <xdr:row>29</xdr:row>
                    <xdr:rowOff>12700</xdr:rowOff>
                  </from>
                  <to>
                    <xdr:col>75</xdr:col>
                    <xdr:colOff>50800</xdr:colOff>
                    <xdr:row>29</xdr:row>
                    <xdr:rowOff>273050</xdr:rowOff>
                  </to>
                </anchor>
              </controlPr>
            </control>
          </mc:Choice>
        </mc:AlternateContent>
        <mc:AlternateContent xmlns:mc="http://schemas.openxmlformats.org/markup-compatibility/2006">
          <mc:Choice Requires="x14">
            <control shapeId="23600" r:id="rId37" name="TaskCheck_BW31">
              <controlPr defaultSize="0" autoFill="0" autoLine="0" autoPict="0">
                <anchor moveWithCells="1">
                  <from>
                    <xdr:col>74</xdr:col>
                    <xdr:colOff>19050</xdr:colOff>
                    <xdr:row>30</xdr:row>
                    <xdr:rowOff>12700</xdr:rowOff>
                  </from>
                  <to>
                    <xdr:col>75</xdr:col>
                    <xdr:colOff>50800</xdr:colOff>
                    <xdr:row>30</xdr:row>
                    <xdr:rowOff>273050</xdr:rowOff>
                  </to>
                </anchor>
              </controlPr>
            </control>
          </mc:Choice>
        </mc:AlternateContent>
        <mc:AlternateContent xmlns:mc="http://schemas.openxmlformats.org/markup-compatibility/2006">
          <mc:Choice Requires="x14">
            <control shapeId="23601" r:id="rId38" name="TaskCheck_BW32">
              <controlPr defaultSize="0" autoFill="0" autoLine="0" autoPict="0">
                <anchor moveWithCells="1">
                  <from>
                    <xdr:col>74</xdr:col>
                    <xdr:colOff>19050</xdr:colOff>
                    <xdr:row>31</xdr:row>
                    <xdr:rowOff>12700</xdr:rowOff>
                  </from>
                  <to>
                    <xdr:col>75</xdr:col>
                    <xdr:colOff>50800</xdr:colOff>
                    <xdr:row>31</xdr:row>
                    <xdr:rowOff>273050</xdr:rowOff>
                  </to>
                </anchor>
              </controlPr>
            </control>
          </mc:Choice>
        </mc:AlternateContent>
        <mc:AlternateContent xmlns:mc="http://schemas.openxmlformats.org/markup-compatibility/2006">
          <mc:Choice Requires="x14">
            <control shapeId="23602" r:id="rId39" name="TaskCheck_BW33">
              <controlPr defaultSize="0" autoFill="0" autoLine="0" autoPict="0">
                <anchor moveWithCells="1">
                  <from>
                    <xdr:col>74</xdr:col>
                    <xdr:colOff>19050</xdr:colOff>
                    <xdr:row>32</xdr:row>
                    <xdr:rowOff>12700</xdr:rowOff>
                  </from>
                  <to>
                    <xdr:col>75</xdr:col>
                    <xdr:colOff>50800</xdr:colOff>
                    <xdr:row>32</xdr:row>
                    <xdr:rowOff>273050</xdr:rowOff>
                  </to>
                </anchor>
              </controlPr>
            </control>
          </mc:Choice>
        </mc:AlternateContent>
        <mc:AlternateContent xmlns:mc="http://schemas.openxmlformats.org/markup-compatibility/2006">
          <mc:Choice Requires="x14">
            <control shapeId="23603" r:id="rId40" name="TaskCheck_BW36">
              <controlPr defaultSize="0" autoFill="0" autoLine="0" autoPict="0">
                <anchor moveWithCells="1">
                  <from>
                    <xdr:col>74</xdr:col>
                    <xdr:colOff>19050</xdr:colOff>
                    <xdr:row>35</xdr:row>
                    <xdr:rowOff>12700</xdr:rowOff>
                  </from>
                  <to>
                    <xdr:col>75</xdr:col>
                    <xdr:colOff>50800</xdr:colOff>
                    <xdr:row>35</xdr:row>
                    <xdr:rowOff>273050</xdr:rowOff>
                  </to>
                </anchor>
              </controlPr>
            </control>
          </mc:Choice>
        </mc:AlternateContent>
        <mc:AlternateContent xmlns:mc="http://schemas.openxmlformats.org/markup-compatibility/2006">
          <mc:Choice Requires="x14">
            <control shapeId="23604" r:id="rId41" name="TaskCheck_BQ37">
              <controlPr defaultSize="0" autoFill="0" autoLine="0" autoPict="0">
                <anchor moveWithCells="1">
                  <from>
                    <xdr:col>68</xdr:col>
                    <xdr:colOff>19050</xdr:colOff>
                    <xdr:row>36</xdr:row>
                    <xdr:rowOff>12700</xdr:rowOff>
                  </from>
                  <to>
                    <xdr:col>69</xdr:col>
                    <xdr:colOff>50800</xdr:colOff>
                    <xdr:row>36</xdr:row>
                    <xdr:rowOff>273050</xdr:rowOff>
                  </to>
                </anchor>
              </controlPr>
            </control>
          </mc:Choice>
        </mc:AlternateContent>
        <mc:AlternateContent xmlns:mc="http://schemas.openxmlformats.org/markup-compatibility/2006">
          <mc:Choice Requires="x14">
            <control shapeId="23605" r:id="rId42" name="TaskCheck_BW37">
              <controlPr defaultSize="0" autoFill="0" autoLine="0" autoPict="0">
                <anchor moveWithCells="1">
                  <from>
                    <xdr:col>74</xdr:col>
                    <xdr:colOff>19050</xdr:colOff>
                    <xdr:row>36</xdr:row>
                    <xdr:rowOff>12700</xdr:rowOff>
                  </from>
                  <to>
                    <xdr:col>75</xdr:col>
                    <xdr:colOff>50800</xdr:colOff>
                    <xdr:row>36</xdr:row>
                    <xdr:rowOff>273050</xdr:rowOff>
                  </to>
                </anchor>
              </controlPr>
            </control>
          </mc:Choice>
        </mc:AlternateContent>
        <mc:AlternateContent xmlns:mc="http://schemas.openxmlformats.org/markup-compatibility/2006">
          <mc:Choice Requires="x14">
            <control shapeId="23606" r:id="rId43" name="TaskCheck_BQ38">
              <controlPr defaultSize="0" autoFill="0" autoLine="0" autoPict="0">
                <anchor moveWithCells="1">
                  <from>
                    <xdr:col>68</xdr:col>
                    <xdr:colOff>19050</xdr:colOff>
                    <xdr:row>37</xdr:row>
                    <xdr:rowOff>12700</xdr:rowOff>
                  </from>
                  <to>
                    <xdr:col>69</xdr:col>
                    <xdr:colOff>50800</xdr:colOff>
                    <xdr:row>37</xdr:row>
                    <xdr:rowOff>273050</xdr:rowOff>
                  </to>
                </anchor>
              </controlPr>
            </control>
          </mc:Choice>
        </mc:AlternateContent>
        <mc:AlternateContent xmlns:mc="http://schemas.openxmlformats.org/markup-compatibility/2006">
          <mc:Choice Requires="x14">
            <control shapeId="23607" r:id="rId44" name="TaskCheck_BW38">
              <controlPr defaultSize="0" autoFill="0" autoLine="0" autoPict="0">
                <anchor moveWithCells="1">
                  <from>
                    <xdr:col>74</xdr:col>
                    <xdr:colOff>19050</xdr:colOff>
                    <xdr:row>37</xdr:row>
                    <xdr:rowOff>12700</xdr:rowOff>
                  </from>
                  <to>
                    <xdr:col>75</xdr:col>
                    <xdr:colOff>50800</xdr:colOff>
                    <xdr:row>37</xdr:row>
                    <xdr:rowOff>273050</xdr:rowOff>
                  </to>
                </anchor>
              </controlPr>
            </control>
          </mc:Choice>
        </mc:AlternateContent>
        <mc:AlternateContent xmlns:mc="http://schemas.openxmlformats.org/markup-compatibility/2006">
          <mc:Choice Requires="x14">
            <control shapeId="23608" r:id="rId45" name="TaskCheck_BQ39">
              <controlPr defaultSize="0" autoFill="0" autoLine="0" autoPict="0">
                <anchor moveWithCells="1">
                  <from>
                    <xdr:col>68</xdr:col>
                    <xdr:colOff>19050</xdr:colOff>
                    <xdr:row>38</xdr:row>
                    <xdr:rowOff>12700</xdr:rowOff>
                  </from>
                  <to>
                    <xdr:col>69</xdr:col>
                    <xdr:colOff>50800</xdr:colOff>
                    <xdr:row>38</xdr:row>
                    <xdr:rowOff>273050</xdr:rowOff>
                  </to>
                </anchor>
              </controlPr>
            </control>
          </mc:Choice>
        </mc:AlternateContent>
        <mc:AlternateContent xmlns:mc="http://schemas.openxmlformats.org/markup-compatibility/2006">
          <mc:Choice Requires="x14">
            <control shapeId="23609" r:id="rId46" name="TaskCheck_BW39">
              <controlPr defaultSize="0" autoFill="0" autoLine="0" autoPict="0">
                <anchor moveWithCells="1">
                  <from>
                    <xdr:col>74</xdr:col>
                    <xdr:colOff>19050</xdr:colOff>
                    <xdr:row>38</xdr:row>
                    <xdr:rowOff>12700</xdr:rowOff>
                  </from>
                  <to>
                    <xdr:col>75</xdr:col>
                    <xdr:colOff>50800</xdr:colOff>
                    <xdr:row>38</xdr:row>
                    <xdr:rowOff>273050</xdr:rowOff>
                  </to>
                </anchor>
              </controlPr>
            </control>
          </mc:Choice>
        </mc:AlternateContent>
        <mc:AlternateContent xmlns:mc="http://schemas.openxmlformats.org/markup-compatibility/2006">
          <mc:Choice Requires="x14">
            <control shapeId="23610" r:id="rId47" name="TaskCheck_BQ40">
              <controlPr defaultSize="0" autoFill="0" autoLine="0" autoPict="0">
                <anchor moveWithCells="1">
                  <from>
                    <xdr:col>68</xdr:col>
                    <xdr:colOff>19050</xdr:colOff>
                    <xdr:row>39</xdr:row>
                    <xdr:rowOff>12700</xdr:rowOff>
                  </from>
                  <to>
                    <xdr:col>69</xdr:col>
                    <xdr:colOff>50800</xdr:colOff>
                    <xdr:row>39</xdr:row>
                    <xdr:rowOff>273050</xdr:rowOff>
                  </to>
                </anchor>
              </controlPr>
            </control>
          </mc:Choice>
        </mc:AlternateContent>
        <mc:AlternateContent xmlns:mc="http://schemas.openxmlformats.org/markup-compatibility/2006">
          <mc:Choice Requires="x14">
            <control shapeId="23611" r:id="rId48" name="TaskCheck_BW40">
              <controlPr defaultSize="0" autoFill="0" autoLine="0" autoPict="0">
                <anchor moveWithCells="1">
                  <from>
                    <xdr:col>74</xdr:col>
                    <xdr:colOff>19050</xdr:colOff>
                    <xdr:row>39</xdr:row>
                    <xdr:rowOff>12700</xdr:rowOff>
                  </from>
                  <to>
                    <xdr:col>75</xdr:col>
                    <xdr:colOff>50800</xdr:colOff>
                    <xdr:row>39</xdr:row>
                    <xdr:rowOff>273050</xdr:rowOff>
                  </to>
                </anchor>
              </controlPr>
            </control>
          </mc:Choice>
        </mc:AlternateContent>
        <mc:AlternateContent xmlns:mc="http://schemas.openxmlformats.org/markup-compatibility/2006">
          <mc:Choice Requires="x14">
            <control shapeId="23612" r:id="rId49" name="TaskCheck_BQ41">
              <controlPr defaultSize="0" autoFill="0" autoLine="0" autoPict="0">
                <anchor moveWithCells="1">
                  <from>
                    <xdr:col>68</xdr:col>
                    <xdr:colOff>19050</xdr:colOff>
                    <xdr:row>40</xdr:row>
                    <xdr:rowOff>12700</xdr:rowOff>
                  </from>
                  <to>
                    <xdr:col>69</xdr:col>
                    <xdr:colOff>50800</xdr:colOff>
                    <xdr:row>40</xdr:row>
                    <xdr:rowOff>273050</xdr:rowOff>
                  </to>
                </anchor>
              </controlPr>
            </control>
          </mc:Choice>
        </mc:AlternateContent>
        <mc:AlternateContent xmlns:mc="http://schemas.openxmlformats.org/markup-compatibility/2006">
          <mc:Choice Requires="x14">
            <control shapeId="23613" r:id="rId50" name="TaskCheck_BW41">
              <controlPr defaultSize="0" autoFill="0" autoLine="0" autoPict="0">
                <anchor moveWithCells="1">
                  <from>
                    <xdr:col>74</xdr:col>
                    <xdr:colOff>19050</xdr:colOff>
                    <xdr:row>40</xdr:row>
                    <xdr:rowOff>12700</xdr:rowOff>
                  </from>
                  <to>
                    <xdr:col>75</xdr:col>
                    <xdr:colOff>50800</xdr:colOff>
                    <xdr:row>40</xdr:row>
                    <xdr:rowOff>273050</xdr:rowOff>
                  </to>
                </anchor>
              </controlPr>
            </control>
          </mc:Choice>
        </mc:AlternateContent>
        <mc:AlternateContent xmlns:mc="http://schemas.openxmlformats.org/markup-compatibility/2006">
          <mc:Choice Requires="x14">
            <control shapeId="23614" r:id="rId51" name="TaskCheck_BQ42">
              <controlPr defaultSize="0" autoFill="0" autoLine="0" autoPict="0">
                <anchor moveWithCells="1">
                  <from>
                    <xdr:col>68</xdr:col>
                    <xdr:colOff>19050</xdr:colOff>
                    <xdr:row>41</xdr:row>
                    <xdr:rowOff>12700</xdr:rowOff>
                  </from>
                  <to>
                    <xdr:col>69</xdr:col>
                    <xdr:colOff>50800</xdr:colOff>
                    <xdr:row>41</xdr:row>
                    <xdr:rowOff>273050</xdr:rowOff>
                  </to>
                </anchor>
              </controlPr>
            </control>
          </mc:Choice>
        </mc:AlternateContent>
        <mc:AlternateContent xmlns:mc="http://schemas.openxmlformats.org/markup-compatibility/2006">
          <mc:Choice Requires="x14">
            <control shapeId="23615" r:id="rId52" name="TaskCheck_BW42">
              <controlPr defaultSize="0" autoFill="0" autoLine="0" autoPict="0">
                <anchor moveWithCells="1">
                  <from>
                    <xdr:col>74</xdr:col>
                    <xdr:colOff>19050</xdr:colOff>
                    <xdr:row>41</xdr:row>
                    <xdr:rowOff>12700</xdr:rowOff>
                  </from>
                  <to>
                    <xdr:col>75</xdr:col>
                    <xdr:colOff>50800</xdr:colOff>
                    <xdr:row>41</xdr:row>
                    <xdr:rowOff>273050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D88FE7-11C0-4BD5-9B46-7B1E49ADC641}">
  <sheetPr codeName="Sheet20">
    <tabColor theme="6" tint="0.79998168889431442"/>
    <pageSetUpPr fitToPage="1"/>
  </sheetPr>
  <dimension ref="A1:CR95"/>
  <sheetViews>
    <sheetView showGridLines="0" zoomScale="60" zoomScaleNormal="60" workbookViewId="0">
      <selection activeCell="AW20" sqref="AW20:AY20"/>
    </sheetView>
  </sheetViews>
  <sheetFormatPr defaultColWidth="3.83203125" defaultRowHeight="22.5" customHeight="1"/>
  <cols>
    <col min="1" max="19" width="3.83203125" style="161"/>
    <col min="20" max="20" width="3.83203125" style="161" customWidth="1"/>
    <col min="21" max="33" width="3.83203125" style="161"/>
    <col min="34" max="34" width="3.83203125" style="161" customWidth="1"/>
    <col min="35" max="90" width="3.83203125" style="161"/>
    <col min="91" max="91" width="11.08203125" style="161" bestFit="1" customWidth="1"/>
    <col min="92" max="92" width="9.83203125" style="161" bestFit="1" customWidth="1"/>
    <col min="93" max="93" width="4.9140625" style="161" bestFit="1" customWidth="1"/>
    <col min="94" max="94" width="10.6640625" style="161" bestFit="1" customWidth="1"/>
    <col min="95" max="96" width="4.9140625" style="161" bestFit="1" customWidth="1"/>
    <col min="97" max="16384" width="3.83203125" style="161"/>
  </cols>
  <sheetData>
    <row r="1" spans="1:96" s="160" customFormat="1" ht="22.5" customHeight="1" thickTop="1" thickBot="1">
      <c r="A1" s="306" t="s">
        <v>66</v>
      </c>
      <c r="B1" s="306"/>
      <c r="C1" s="306"/>
      <c r="D1" s="158" t="s">
        <v>143</v>
      </c>
      <c r="E1" s="158"/>
      <c r="F1" s="158"/>
      <c r="G1" s="307">
        <v>20</v>
      </c>
      <c r="H1" s="307"/>
      <c r="I1" s="158" t="s">
        <v>694</v>
      </c>
      <c r="J1" s="158"/>
      <c r="K1" s="158"/>
      <c r="L1" s="158"/>
      <c r="M1" s="158"/>
      <c r="N1" s="158"/>
      <c r="O1" s="158"/>
      <c r="P1" s="158"/>
      <c r="Q1" s="158"/>
      <c r="R1" s="159"/>
      <c r="S1" s="159"/>
      <c r="T1" s="159"/>
      <c r="U1" s="159"/>
      <c r="V1" s="221" t="s">
        <v>686</v>
      </c>
      <c r="W1" s="158"/>
      <c r="X1" s="158"/>
      <c r="Y1" s="158"/>
      <c r="Z1" s="158"/>
      <c r="AA1" s="308">
        <v>2</v>
      </c>
      <c r="AB1" s="308"/>
      <c r="AC1" s="199" t="s">
        <v>105</v>
      </c>
      <c r="AD1" s="158"/>
      <c r="AE1" s="200" t="s">
        <v>588</v>
      </c>
      <c r="AF1" s="158"/>
      <c r="AG1" s="158"/>
      <c r="AH1" s="159"/>
      <c r="AI1" s="199" t="s">
        <v>106</v>
      </c>
      <c r="AJ1" s="159"/>
      <c r="AK1" s="200" t="s">
        <v>593</v>
      </c>
      <c r="AL1" s="159"/>
      <c r="AM1" s="159"/>
      <c r="AN1" s="159"/>
      <c r="AO1" s="199" t="s">
        <v>106</v>
      </c>
      <c r="AP1" s="159"/>
      <c r="AQ1" s="200"/>
      <c r="AR1" s="159"/>
      <c r="AS1" s="159"/>
      <c r="AT1" s="159"/>
      <c r="AU1" s="199" t="s">
        <v>237</v>
      </c>
      <c r="AV1" s="159"/>
      <c r="AW1" s="200"/>
      <c r="AX1" s="159"/>
      <c r="AY1" s="159"/>
      <c r="AZ1" s="159"/>
      <c r="BA1" s="309" t="s">
        <v>261</v>
      </c>
      <c r="BB1" s="310"/>
      <c r="BC1" s="311">
        <v>46198</v>
      </c>
      <c r="BD1" s="312"/>
      <c r="BE1" s="313"/>
      <c r="BF1" s="314" t="str">
        <f ca="1">IF(BC1="","",(TODAY()-BC1)&amp;"日未更新")</f>
        <v>4日未更新</v>
      </c>
      <c r="BG1" s="315"/>
      <c r="BH1" s="315"/>
      <c r="BI1" s="315"/>
      <c r="BJ1" s="316"/>
      <c r="BK1" s="159"/>
      <c r="BL1" s="159"/>
      <c r="BM1" s="159"/>
      <c r="BN1" s="159"/>
      <c r="BO1" s="158"/>
      <c r="BP1" s="159"/>
      <c r="BQ1" s="159"/>
      <c r="BR1" s="159"/>
      <c r="BS1" s="159"/>
      <c r="BT1" s="159"/>
      <c r="BU1" s="159"/>
      <c r="BV1" s="159"/>
      <c r="BW1" s="159"/>
      <c r="BX1" s="159"/>
      <c r="BY1" s="159"/>
      <c r="BZ1" s="158"/>
      <c r="CA1" s="323" t="s">
        <v>238</v>
      </c>
      <c r="CB1" s="323"/>
      <c r="CC1" s="323"/>
      <c r="CD1" s="323"/>
      <c r="CE1" s="323"/>
      <c r="CF1" s="323"/>
      <c r="CG1" s="323"/>
      <c r="CH1" s="323"/>
      <c r="CM1" s="263" t="s">
        <v>910</v>
      </c>
      <c r="CN1" s="263" t="s">
        <v>911</v>
      </c>
      <c r="CO1" s="263" t="s">
        <v>908</v>
      </c>
      <c r="CP1" s="263" t="s">
        <v>912</v>
      </c>
      <c r="CQ1" s="263" t="s">
        <v>905</v>
      </c>
      <c r="CR1" s="263" t="s">
        <v>913</v>
      </c>
    </row>
    <row r="2" spans="1:96" ht="22.5" customHeight="1" thickTop="1">
      <c r="B2" s="175" t="s">
        <v>229</v>
      </c>
      <c r="C2" s="176"/>
      <c r="D2" s="176"/>
      <c r="E2" s="176"/>
      <c r="F2" s="176"/>
      <c r="G2" s="176"/>
      <c r="H2" s="176"/>
      <c r="I2" s="176"/>
      <c r="J2" s="176"/>
      <c r="K2" s="176"/>
      <c r="L2" s="176"/>
      <c r="M2" s="176"/>
      <c r="N2" s="176"/>
      <c r="O2" s="176"/>
      <c r="P2" s="176"/>
      <c r="Q2" s="176"/>
      <c r="R2" s="176"/>
      <c r="S2" s="176"/>
      <c r="T2" s="176"/>
      <c r="U2" s="176"/>
      <c r="V2" s="176"/>
      <c r="W2" s="176"/>
      <c r="X2" s="176"/>
      <c r="Y2" s="176"/>
      <c r="Z2" s="176"/>
      <c r="AA2" s="176"/>
      <c r="AC2" s="177" t="s">
        <v>110</v>
      </c>
      <c r="AD2" s="178"/>
      <c r="AE2" s="178"/>
      <c r="AF2" s="178"/>
      <c r="AG2" s="178"/>
      <c r="AH2" s="178"/>
      <c r="AI2" s="178"/>
      <c r="AJ2" s="178"/>
      <c r="AK2" s="178"/>
      <c r="AL2" s="178"/>
      <c r="AM2" s="178"/>
      <c r="AN2" s="178"/>
      <c r="AO2" s="178"/>
      <c r="AP2" s="178"/>
      <c r="AQ2" s="178"/>
      <c r="AR2" s="178"/>
      <c r="AS2" s="178"/>
      <c r="AT2" s="178"/>
      <c r="AU2" s="178"/>
      <c r="AV2" s="178"/>
      <c r="AW2" s="178"/>
      <c r="AX2" s="178"/>
      <c r="AY2" s="178"/>
      <c r="AZ2" s="178"/>
      <c r="BA2" s="178"/>
      <c r="BB2" s="178"/>
      <c r="BE2" s="324" t="s">
        <v>127</v>
      </c>
      <c r="BF2" s="325"/>
      <c r="BG2" s="325"/>
      <c r="BH2" s="325"/>
      <c r="BI2" s="325"/>
      <c r="BJ2" s="325"/>
      <c r="BK2" s="326"/>
      <c r="BL2" s="189" t="s">
        <v>52</v>
      </c>
      <c r="BM2" s="190" t="s">
        <v>53</v>
      </c>
      <c r="BN2" s="197" t="s">
        <v>54</v>
      </c>
      <c r="BO2" s="198" t="s">
        <v>55</v>
      </c>
      <c r="BP2" s="190" t="s">
        <v>56</v>
      </c>
      <c r="BQ2" s="191" t="s">
        <v>57</v>
      </c>
      <c r="BR2" s="327" t="s">
        <v>112</v>
      </c>
      <c r="BS2" s="328"/>
      <c r="BT2" s="328" t="s">
        <v>115</v>
      </c>
      <c r="BU2" s="329"/>
      <c r="BW2" s="181" t="s">
        <v>948</v>
      </c>
      <c r="BX2" s="179"/>
      <c r="BY2" s="179"/>
      <c r="BZ2" s="179"/>
      <c r="CA2" s="179"/>
      <c r="CB2" s="179"/>
      <c r="CC2" s="179"/>
      <c r="CD2" s="179"/>
      <c r="CE2" s="179"/>
      <c r="CF2" s="179"/>
      <c r="CG2" s="179"/>
      <c r="CH2" s="179"/>
      <c r="CM2" s="264" t="s">
        <v>915</v>
      </c>
      <c r="CN2" s="265">
        <v>46113</v>
      </c>
      <c r="CO2" s="264">
        <v>6</v>
      </c>
      <c r="CP2" s="264">
        <v>30</v>
      </c>
      <c r="CQ2" s="264">
        <v>0</v>
      </c>
      <c r="CR2" s="264">
        <v>30</v>
      </c>
    </row>
    <row r="3" spans="1:96" ht="22.5" customHeight="1">
      <c r="B3" s="300" t="s">
        <v>263</v>
      </c>
      <c r="C3" s="301"/>
      <c r="D3" s="301"/>
      <c r="E3" s="301"/>
      <c r="F3" s="302"/>
      <c r="G3" s="303" t="s">
        <v>254</v>
      </c>
      <c r="H3" s="304"/>
      <c r="I3" s="305"/>
      <c r="J3" s="303" t="s">
        <v>27</v>
      </c>
      <c r="K3" s="304"/>
      <c r="L3" s="305"/>
      <c r="M3" s="303" t="s">
        <v>226</v>
      </c>
      <c r="N3" s="304"/>
      <c r="O3" s="305"/>
      <c r="P3" s="303" t="s">
        <v>15</v>
      </c>
      <c r="Q3" s="304"/>
      <c r="R3" s="305"/>
      <c r="S3" s="303" t="s">
        <v>22</v>
      </c>
      <c r="T3" s="304"/>
      <c r="U3" s="305"/>
      <c r="V3" s="303" t="s">
        <v>1</v>
      </c>
      <c r="W3" s="304"/>
      <c r="X3" s="305"/>
      <c r="Y3" s="303" t="s">
        <v>18</v>
      </c>
      <c r="Z3" s="304"/>
      <c r="AA3" s="305"/>
      <c r="AC3" s="179" t="s">
        <v>61</v>
      </c>
      <c r="AD3" s="179"/>
      <c r="AE3" s="179"/>
      <c r="AF3" s="179"/>
      <c r="AG3" s="179"/>
      <c r="AH3" s="179"/>
      <c r="AI3" s="179"/>
      <c r="AJ3" s="179"/>
      <c r="AK3" s="179"/>
      <c r="AL3" s="179"/>
      <c r="AM3" s="179"/>
      <c r="AN3" s="179"/>
      <c r="AO3" s="178"/>
      <c r="AP3" s="178"/>
      <c r="AQ3" s="179" t="s">
        <v>62</v>
      </c>
      <c r="AR3" s="179"/>
      <c r="AS3" s="179"/>
      <c r="AT3" s="179"/>
      <c r="AU3" s="179"/>
      <c r="AV3" s="179"/>
      <c r="AW3" s="179"/>
      <c r="AX3" s="179"/>
      <c r="AY3" s="179"/>
      <c r="AZ3" s="179"/>
      <c r="BA3" s="179"/>
      <c r="BB3" s="179"/>
      <c r="BE3" s="187">
        <v>1</v>
      </c>
      <c r="BF3" s="317" t="s">
        <v>594</v>
      </c>
      <c r="BG3" s="317"/>
      <c r="BH3" s="317" t="s">
        <v>673</v>
      </c>
      <c r="BI3" s="317"/>
      <c r="BJ3" s="317"/>
      <c r="BK3" s="318"/>
      <c r="BL3" s="215" t="s">
        <v>724</v>
      </c>
      <c r="BM3" s="209" t="s">
        <v>724</v>
      </c>
      <c r="BN3" s="209" t="s">
        <v>724</v>
      </c>
      <c r="BO3" s="209"/>
      <c r="BP3" s="209"/>
      <c r="BQ3" s="210"/>
      <c r="BR3" s="319"/>
      <c r="BS3" s="317"/>
      <c r="BT3" s="317"/>
      <c r="BU3" s="320"/>
      <c r="BW3" s="285" t="b">
        <v>0</v>
      </c>
      <c r="BX3" s="178" t="s">
        <v>97</v>
      </c>
      <c r="BY3" s="178"/>
      <c r="BZ3" s="178"/>
      <c r="CA3" s="178"/>
      <c r="CB3" s="178"/>
      <c r="CC3" s="178"/>
      <c r="CD3" s="178"/>
      <c r="CE3" s="178"/>
      <c r="CF3" s="178"/>
      <c r="CG3" s="178"/>
      <c r="CH3" s="178"/>
      <c r="CM3" s="264" t="s">
        <v>915</v>
      </c>
      <c r="CN3" s="265">
        <v>46113</v>
      </c>
      <c r="CO3" s="264">
        <v>5</v>
      </c>
      <c r="CP3" s="264">
        <v>210</v>
      </c>
      <c r="CQ3" s="264">
        <v>6</v>
      </c>
      <c r="CR3" s="264">
        <v>216</v>
      </c>
    </row>
    <row r="4" spans="1:96" ht="22.5" customHeight="1">
      <c r="B4" s="335" t="s">
        <v>32</v>
      </c>
      <c r="C4" s="336"/>
      <c r="D4" s="336"/>
      <c r="E4" s="336"/>
      <c r="F4" s="337"/>
      <c r="G4" s="321">
        <f ca="1">IFERROR(INDEX(INDIRECT("'"&amp;G$3&amp;"'!J:J"),MATCH($D$1,INDIRECT("'"&amp;G$3&amp;"'!A:A"),0)),"")</f>
        <v>20</v>
      </c>
      <c r="H4" s="321"/>
      <c r="I4" s="321"/>
      <c r="J4" s="321">
        <v>20</v>
      </c>
      <c r="K4" s="321"/>
      <c r="L4" s="321"/>
      <c r="M4" s="321">
        <v>20</v>
      </c>
      <c r="N4" s="321"/>
      <c r="O4" s="321"/>
      <c r="P4" s="321" t="str">
        <f ca="1">IFERROR(INDEX(INDIRECT("'"&amp;P$3&amp;"'!J:J"),MATCH($D$1,INDIRECT("'"&amp;P$3&amp;"'!A:A"),0)),"")</f>
        <v/>
      </c>
      <c r="Q4" s="321"/>
      <c r="R4" s="321"/>
      <c r="S4" s="321" t="str">
        <f ca="1">IFERROR(INDEX(INDIRECT("'"&amp;S$3&amp;"'!J:J"),MATCH($D$1,INDIRECT("'"&amp;S$3&amp;"'!A:A"),0)),"")</f>
        <v/>
      </c>
      <c r="T4" s="321"/>
      <c r="U4" s="321"/>
      <c r="V4" s="321" t="str">
        <f t="shared" ref="V4" ca="1" si="0">IFERROR(INDEX(INDIRECT("'"&amp;V$3&amp;"'!J:J"),MATCH($D$1,INDIRECT("'"&amp;V$3&amp;"'!A:A"),0)),"")</f>
        <v/>
      </c>
      <c r="W4" s="321"/>
      <c r="X4" s="321"/>
      <c r="Y4" s="321" t="str">
        <f t="shared" ref="Y4" ca="1" si="1">IFERROR(INDEX(INDIRECT("'"&amp;Y$3&amp;"'!J:J"),MATCH($D$1,INDIRECT("'"&amp;Y$3&amp;"'!A:A"),0)),"")</f>
        <v/>
      </c>
      <c r="Z4" s="321"/>
      <c r="AA4" s="321"/>
      <c r="AC4" s="322" t="s">
        <v>254</v>
      </c>
      <c r="AD4" s="322"/>
      <c r="AE4" s="322" t="s">
        <v>27</v>
      </c>
      <c r="AF4" s="322"/>
      <c r="AG4" s="322" t="s">
        <v>226</v>
      </c>
      <c r="AH4" s="322"/>
      <c r="AI4" s="322" t="s">
        <v>15</v>
      </c>
      <c r="AJ4" s="322"/>
      <c r="AK4" s="322" t="s">
        <v>23</v>
      </c>
      <c r="AL4" s="322"/>
      <c r="AM4" s="322" t="s">
        <v>256</v>
      </c>
      <c r="AN4" s="322"/>
      <c r="AQ4" s="322" t="s">
        <v>254</v>
      </c>
      <c r="AR4" s="322"/>
      <c r="AS4" s="322" t="s">
        <v>27</v>
      </c>
      <c r="AT4" s="322"/>
      <c r="AU4" s="322" t="s">
        <v>226</v>
      </c>
      <c r="AV4" s="322"/>
      <c r="AW4" s="322" t="s">
        <v>15</v>
      </c>
      <c r="AX4" s="322"/>
      <c r="AY4" s="322" t="s">
        <v>23</v>
      </c>
      <c r="AZ4" s="322"/>
      <c r="BA4" s="322" t="s">
        <v>256</v>
      </c>
      <c r="BB4" s="322"/>
      <c r="BE4" s="187">
        <v>2</v>
      </c>
      <c r="BF4" s="317" t="s">
        <v>594</v>
      </c>
      <c r="BG4" s="317"/>
      <c r="BH4" s="317" t="s">
        <v>674</v>
      </c>
      <c r="BI4" s="317"/>
      <c r="BJ4" s="317"/>
      <c r="BK4" s="318"/>
      <c r="BL4" s="215" t="s">
        <v>724</v>
      </c>
      <c r="BM4" s="209" t="s">
        <v>724</v>
      </c>
      <c r="BN4" s="209" t="s">
        <v>724</v>
      </c>
      <c r="BO4" s="209"/>
      <c r="BP4" s="209"/>
      <c r="BQ4" s="210"/>
      <c r="BR4" s="319" t="s">
        <v>595</v>
      </c>
      <c r="BS4" s="317"/>
      <c r="BT4" s="317"/>
      <c r="BU4" s="320"/>
      <c r="BW4" s="285" t="b">
        <v>0</v>
      </c>
      <c r="BX4" s="192" t="s">
        <v>69</v>
      </c>
      <c r="BY4" s="178"/>
      <c r="BZ4" s="178"/>
      <c r="CA4" s="178"/>
      <c r="CB4" s="178"/>
      <c r="CC4" s="178"/>
      <c r="CD4" s="178"/>
      <c r="CE4" s="178"/>
      <c r="CF4" s="178"/>
      <c r="CG4" s="178"/>
      <c r="CH4" s="178"/>
      <c r="CM4" s="264" t="s">
        <v>915</v>
      </c>
      <c r="CN4" s="265">
        <v>46113</v>
      </c>
      <c r="CO4" s="264">
        <v>4</v>
      </c>
      <c r="CP4" s="264">
        <v>120</v>
      </c>
      <c r="CQ4" s="264">
        <v>27</v>
      </c>
      <c r="CR4" s="264">
        <v>147</v>
      </c>
    </row>
    <row r="5" spans="1:96" ht="22.5" customHeight="1">
      <c r="B5" s="858" t="s">
        <v>225</v>
      </c>
      <c r="C5" s="775"/>
      <c r="D5" s="775"/>
      <c r="E5" s="775"/>
      <c r="F5" s="859"/>
      <c r="G5" s="334">
        <f ca="1">IFERROR(INDEX(INDIRECT("'"&amp;G$3&amp;"'!Ｉ:Ｉ"),MATCH($D$1,INDIRECT("'"&amp;G$3&amp;"'!A:A"),0)),"")</f>
        <v>616</v>
      </c>
      <c r="H5" s="334"/>
      <c r="I5" s="334"/>
      <c r="J5" s="334">
        <v>570</v>
      </c>
      <c r="K5" s="334"/>
      <c r="L5" s="334"/>
      <c r="M5" s="334">
        <v>606</v>
      </c>
      <c r="N5" s="334"/>
      <c r="O5" s="334"/>
      <c r="P5" s="334" t="str">
        <f ca="1">IFERROR(INDEX(INDIRECT("'"&amp;P$3&amp;"'!Ｉ:Ｉ"),MATCH($D$1,INDIRECT("'"&amp;P$3&amp;"'!A:A"),0)),"")</f>
        <v/>
      </c>
      <c r="Q5" s="334"/>
      <c r="R5" s="334"/>
      <c r="S5" s="334" t="str">
        <f ca="1">IFERROR(INDEX(INDIRECT("'"&amp;S$3&amp;"'!Ｉ:Ｉ"),MATCH($D$1,INDIRECT("'"&amp;S$3&amp;"'!A:A"),0)),"")</f>
        <v/>
      </c>
      <c r="T5" s="334"/>
      <c r="U5" s="334"/>
      <c r="V5" s="334" t="str">
        <f t="shared" ref="V5" ca="1" si="2">IFERROR(INDEX(INDIRECT("'"&amp;V$3&amp;"'!Ｉ:Ｉ"),MATCH($D$1,INDIRECT("'"&amp;V$3&amp;"'!A:A"),0)),"")</f>
        <v/>
      </c>
      <c r="W5" s="334"/>
      <c r="X5" s="334"/>
      <c r="Y5" s="334" t="str">
        <f t="shared" ref="Y5" ca="1" si="3">IFERROR(INDEX(INDIRECT("'"&amp;Y$3&amp;"'!Ｉ:Ｉ"),MATCH($D$1,INDIRECT("'"&amp;Y$3&amp;"'!A:A"),0)),"")</f>
        <v/>
      </c>
      <c r="Z5" s="334"/>
      <c r="AA5" s="334"/>
      <c r="AC5" s="330">
        <v>2</v>
      </c>
      <c r="AD5" s="330"/>
      <c r="AE5" s="330">
        <v>1</v>
      </c>
      <c r="AF5" s="330"/>
      <c r="AG5" s="330">
        <v>1</v>
      </c>
      <c r="AH5" s="330"/>
      <c r="AI5" s="330">
        <v>1</v>
      </c>
      <c r="AJ5" s="330"/>
      <c r="AK5" s="330"/>
      <c r="AL5" s="330"/>
      <c r="AM5" s="330"/>
      <c r="AN5" s="330"/>
      <c r="AQ5" s="330">
        <v>2</v>
      </c>
      <c r="AR5" s="330"/>
      <c r="AS5" s="330">
        <v>3</v>
      </c>
      <c r="AT5" s="330"/>
      <c r="AU5" s="330">
        <v>2</v>
      </c>
      <c r="AV5" s="330"/>
      <c r="AW5" s="330">
        <v>1</v>
      </c>
      <c r="AX5" s="330"/>
      <c r="AY5" s="330"/>
      <c r="AZ5" s="330"/>
      <c r="BA5" s="330"/>
      <c r="BB5" s="330"/>
      <c r="BE5" s="187">
        <v>3</v>
      </c>
      <c r="BF5" s="317" t="s">
        <v>381</v>
      </c>
      <c r="BG5" s="317"/>
      <c r="BH5" s="317" t="s">
        <v>675</v>
      </c>
      <c r="BI5" s="317"/>
      <c r="BJ5" s="317"/>
      <c r="BK5" s="318"/>
      <c r="BL5" s="215" t="s">
        <v>724</v>
      </c>
      <c r="BM5" s="209" t="s">
        <v>724</v>
      </c>
      <c r="BN5" s="209"/>
      <c r="BO5" s="209"/>
      <c r="BP5" s="209"/>
      <c r="BQ5" s="210"/>
      <c r="BR5" s="319"/>
      <c r="BS5" s="317"/>
      <c r="BT5" s="317"/>
      <c r="BU5" s="320"/>
      <c r="BW5" s="285" t="b">
        <v>0</v>
      </c>
      <c r="BX5" s="192" t="s">
        <v>70</v>
      </c>
      <c r="BY5" s="178"/>
      <c r="BZ5" s="178"/>
      <c r="CA5" s="178"/>
      <c r="CB5" s="178"/>
      <c r="CC5" s="193"/>
      <c r="CD5" s="193"/>
      <c r="CE5" s="193"/>
      <c r="CF5" s="178"/>
      <c r="CG5" s="178"/>
      <c r="CH5" s="178"/>
      <c r="CM5" s="264" t="s">
        <v>915</v>
      </c>
      <c r="CN5" s="265">
        <v>46113</v>
      </c>
      <c r="CO5" s="264">
        <v>3</v>
      </c>
      <c r="CP5" s="264">
        <v>210</v>
      </c>
      <c r="CQ5" s="264">
        <v>0</v>
      </c>
      <c r="CR5" s="264">
        <v>210</v>
      </c>
    </row>
    <row r="6" spans="1:96" ht="22.5" customHeight="1">
      <c r="B6" s="338" t="s">
        <v>33</v>
      </c>
      <c r="C6" s="339"/>
      <c r="D6" s="339"/>
      <c r="E6" s="339"/>
      <c r="F6" s="340"/>
      <c r="G6" s="341">
        <f ca="1">IFERROR(G5/(G1*DAY(EOMONTH(DATE(2024,LEFT(G3,LEN(G3)-1),1),0))),"")</f>
        <v>0.99354838709677418</v>
      </c>
      <c r="H6" s="341"/>
      <c r="I6" s="341"/>
      <c r="J6" s="341">
        <f>J5/600</f>
        <v>0.95</v>
      </c>
      <c r="K6" s="341"/>
      <c r="L6" s="341"/>
      <c r="M6" s="341">
        <f>M5/620</f>
        <v>0.97741935483870968</v>
      </c>
      <c r="N6" s="341"/>
      <c r="O6" s="341"/>
      <c r="P6" s="341" t="str">
        <f ca="1">IFERROR(P5/(P1*DAY(EOMONTH(DATE(2024,LEFT(P3,LEN(P3)-1),1),0))),"")</f>
        <v/>
      </c>
      <c r="Q6" s="341"/>
      <c r="R6" s="341"/>
      <c r="S6" s="341" t="str">
        <f ca="1">IFERROR(S5/(S1*DAY(EOMONTH(DATE(2024,LEFT(S3,LEN(S3)-1),1),0))),"")</f>
        <v/>
      </c>
      <c r="T6" s="341"/>
      <c r="U6" s="341"/>
      <c r="V6" s="341" t="str">
        <f t="shared" ref="V6" ca="1" si="4">IFERROR(V5/(V1*DAY(EOMONTH(DATE(2024,LEFT(V3,LEN(V3)-1),1),0))),"")</f>
        <v/>
      </c>
      <c r="W6" s="341"/>
      <c r="X6" s="341"/>
      <c r="Y6" s="341" t="str">
        <f t="shared" ref="Y6" ca="1" si="5">IFERROR(Y5/(Y1*DAY(EOMONTH(DATE(2024,LEFT(Y3,LEN(Y3)-1),1),0))),"")</f>
        <v/>
      </c>
      <c r="Z6" s="341"/>
      <c r="AA6" s="341"/>
      <c r="AC6" s="179" t="s">
        <v>60</v>
      </c>
      <c r="AD6" s="179"/>
      <c r="AE6" s="179"/>
      <c r="AF6" s="179"/>
      <c r="AG6" s="179"/>
      <c r="AH6" s="179"/>
      <c r="AI6" s="179"/>
      <c r="AJ6" s="179"/>
      <c r="AK6" s="179"/>
      <c r="AL6" s="179"/>
      <c r="AM6" s="179"/>
      <c r="AN6" s="179"/>
      <c r="AO6" s="178"/>
      <c r="AP6" s="178"/>
      <c r="AQ6" s="179" t="s">
        <v>109</v>
      </c>
      <c r="AR6" s="179"/>
      <c r="AS6" s="179"/>
      <c r="AT6" s="179"/>
      <c r="AU6" s="179"/>
      <c r="AV6" s="179"/>
      <c r="AW6" s="179"/>
      <c r="AX6" s="179"/>
      <c r="AY6" s="179"/>
      <c r="AZ6" s="179"/>
      <c r="BA6" s="179"/>
      <c r="BB6" s="179"/>
      <c r="BE6" s="187">
        <v>4</v>
      </c>
      <c r="BF6" s="317" t="s">
        <v>381</v>
      </c>
      <c r="BG6" s="317"/>
      <c r="BH6" s="317" t="s">
        <v>682</v>
      </c>
      <c r="BI6" s="317"/>
      <c r="BJ6" s="317"/>
      <c r="BK6" s="318"/>
      <c r="BL6" s="215" t="s">
        <v>724</v>
      </c>
      <c r="BM6" s="209" t="s">
        <v>724</v>
      </c>
      <c r="BN6" s="209"/>
      <c r="BO6" s="209"/>
      <c r="BP6" s="209"/>
      <c r="BQ6" s="210"/>
      <c r="BR6" s="319"/>
      <c r="BS6" s="317"/>
      <c r="BT6" s="317"/>
      <c r="BU6" s="320"/>
      <c r="BW6" s="285" t="b">
        <v>0</v>
      </c>
      <c r="BX6" s="192" t="s">
        <v>71</v>
      </c>
      <c r="BY6" s="178"/>
      <c r="BZ6" s="178"/>
      <c r="CA6" s="178"/>
      <c r="CB6" s="178"/>
      <c r="CC6" s="193"/>
      <c r="CD6" s="193"/>
      <c r="CE6" s="193"/>
      <c r="CF6" s="178"/>
      <c r="CG6" s="178"/>
      <c r="CH6" s="178"/>
      <c r="CM6" s="264" t="s">
        <v>915</v>
      </c>
      <c r="CN6" s="265">
        <v>46113</v>
      </c>
      <c r="CO6" s="264">
        <v>2</v>
      </c>
      <c r="CP6" s="264">
        <v>0</v>
      </c>
      <c r="CQ6" s="264">
        <v>7</v>
      </c>
      <c r="CR6" s="264">
        <v>7</v>
      </c>
    </row>
    <row r="7" spans="1:96" ht="22.5" customHeight="1">
      <c r="B7" s="735" t="s">
        <v>224</v>
      </c>
      <c r="C7" s="736"/>
      <c r="D7" s="736"/>
      <c r="E7" s="736"/>
      <c r="F7" s="737"/>
      <c r="G7" s="321">
        <f ca="1">IFERROR(INDEX(INDIRECT("'"&amp;G$3&amp;"'!L:L"),MATCH($D$1,INDIRECT("'"&amp;G$3&amp;"'!A:A"),0)),"")</f>
        <v>31</v>
      </c>
      <c r="H7" s="321"/>
      <c r="I7" s="321"/>
      <c r="J7" s="321">
        <v>31</v>
      </c>
      <c r="K7" s="321"/>
      <c r="L7" s="321"/>
      <c r="M7" s="321">
        <v>40</v>
      </c>
      <c r="N7" s="321"/>
      <c r="O7" s="321"/>
      <c r="P7" s="321" t="str">
        <f ca="1">IFERROR(INDEX(INDIRECT("'"&amp;P$3&amp;"'!L:L"),MATCH($D$1,INDIRECT("'"&amp;P$3&amp;"'!A:A"),0)),"")</f>
        <v/>
      </c>
      <c r="Q7" s="321"/>
      <c r="R7" s="321"/>
      <c r="S7" s="321" t="str">
        <f ca="1">IFERROR(INDEX(INDIRECT("'"&amp;S$3&amp;"'!L:L"),MATCH($D$1,INDIRECT("'"&amp;S$3&amp;"'!A:A"),0)),"")</f>
        <v/>
      </c>
      <c r="T7" s="321"/>
      <c r="U7" s="321"/>
      <c r="V7" s="321" t="str">
        <f t="shared" ref="V7" ca="1" si="6">IFERROR(INDEX(INDIRECT("'"&amp;V$3&amp;"'!L:L"),MATCH($D$1,INDIRECT("'"&amp;V$3&amp;"'!A:A"),0)),"")</f>
        <v/>
      </c>
      <c r="W7" s="321"/>
      <c r="X7" s="321"/>
      <c r="Y7" s="321" t="str">
        <f t="shared" ref="Y7" ca="1" si="7">IFERROR(INDEX(INDIRECT("'"&amp;Y$3&amp;"'!L:L"),MATCH($D$1,INDIRECT("'"&amp;Y$3&amp;"'!A:A"),0)),"")</f>
        <v/>
      </c>
      <c r="Z7" s="321"/>
      <c r="AA7" s="321"/>
      <c r="AC7" s="322" t="s">
        <v>254</v>
      </c>
      <c r="AD7" s="322"/>
      <c r="AE7" s="322" t="s">
        <v>27</v>
      </c>
      <c r="AF7" s="322"/>
      <c r="AG7" s="322" t="s">
        <v>226</v>
      </c>
      <c r="AH7" s="322"/>
      <c r="AI7" s="322" t="s">
        <v>15</v>
      </c>
      <c r="AJ7" s="322"/>
      <c r="AK7" s="322" t="s">
        <v>23</v>
      </c>
      <c r="AL7" s="322"/>
      <c r="AM7" s="322" t="s">
        <v>256</v>
      </c>
      <c r="AN7" s="322"/>
      <c r="AQ7" s="322" t="s">
        <v>254</v>
      </c>
      <c r="AR7" s="322"/>
      <c r="AS7" s="322" t="s">
        <v>27</v>
      </c>
      <c r="AT7" s="322"/>
      <c r="AU7" s="322" t="s">
        <v>226</v>
      </c>
      <c r="AV7" s="322"/>
      <c r="AW7" s="322" t="s">
        <v>15</v>
      </c>
      <c r="AX7" s="322"/>
      <c r="AY7" s="322" t="s">
        <v>23</v>
      </c>
      <c r="AZ7" s="322"/>
      <c r="BA7" s="322" t="s">
        <v>256</v>
      </c>
      <c r="BB7" s="322"/>
      <c r="BE7" s="187">
        <v>5</v>
      </c>
      <c r="BF7" s="317" t="s">
        <v>596</v>
      </c>
      <c r="BG7" s="317"/>
      <c r="BH7" s="317" t="s">
        <v>676</v>
      </c>
      <c r="BI7" s="317"/>
      <c r="BJ7" s="317"/>
      <c r="BK7" s="318"/>
      <c r="BL7" s="215"/>
      <c r="BM7" s="209"/>
      <c r="BN7" s="209"/>
      <c r="BO7" s="209"/>
      <c r="BP7" s="209"/>
      <c r="BQ7" s="210"/>
      <c r="BR7" s="319"/>
      <c r="BS7" s="317"/>
      <c r="BT7" s="317"/>
      <c r="BU7" s="320"/>
      <c r="BW7" s="285" t="b">
        <v>0</v>
      </c>
      <c r="BX7" s="192" t="s">
        <v>74</v>
      </c>
      <c r="BY7" s="178"/>
      <c r="BZ7" s="178"/>
      <c r="CA7" s="178"/>
      <c r="CB7" s="178"/>
      <c r="CC7" s="193"/>
      <c r="CD7" s="193"/>
      <c r="CE7" s="193"/>
      <c r="CF7" s="178"/>
      <c r="CG7" s="178"/>
      <c r="CH7" s="178"/>
      <c r="CM7" s="264" t="s">
        <v>915</v>
      </c>
      <c r="CN7" s="265">
        <v>46113</v>
      </c>
      <c r="CO7" s="264">
        <v>1</v>
      </c>
      <c r="CP7" s="264">
        <v>0</v>
      </c>
      <c r="CQ7" s="264">
        <v>0</v>
      </c>
      <c r="CR7" s="264">
        <v>0</v>
      </c>
    </row>
    <row r="8" spans="1:96" ht="22.5" customHeight="1">
      <c r="B8" s="338" t="s">
        <v>34</v>
      </c>
      <c r="C8" s="339"/>
      <c r="D8" s="339"/>
      <c r="E8" s="339"/>
      <c r="F8" s="340"/>
      <c r="G8" s="341">
        <f ca="1">G7/62</f>
        <v>0.5</v>
      </c>
      <c r="H8" s="341"/>
      <c r="I8" s="341"/>
      <c r="J8" s="341">
        <f>J7/60</f>
        <v>0.51666666666666672</v>
      </c>
      <c r="K8" s="341"/>
      <c r="L8" s="341"/>
      <c r="M8" s="341">
        <f>M7/62</f>
        <v>0.64516129032258063</v>
      </c>
      <c r="N8" s="341"/>
      <c r="O8" s="341"/>
      <c r="P8" s="341" t="str">
        <f ca="1">IFERROR(P7/(P1*DAY(EOMONTH(DATE(2024,LEFT(P3,LEN(P3)-1),1),0))),"")</f>
        <v/>
      </c>
      <c r="Q8" s="341"/>
      <c r="R8" s="341"/>
      <c r="S8" s="341" t="str">
        <f ca="1">IFERROR(S7/(S1*DAY(EOMONTH(DATE(2024,LEFT(S3,LEN(S3)-1),1),0))),"")</f>
        <v/>
      </c>
      <c r="T8" s="341"/>
      <c r="U8" s="341"/>
      <c r="V8" s="341" t="str">
        <f t="shared" ref="V8" ca="1" si="8">IFERROR(V7/(V1*DAY(EOMONTH(DATE(2024,LEFT(V3,LEN(V3)-1),1),0))),"")</f>
        <v/>
      </c>
      <c r="W8" s="341"/>
      <c r="X8" s="341"/>
      <c r="Y8" s="341" t="str">
        <f t="shared" ref="Y8" ca="1" si="9">IFERROR(Y7/(Y1*DAY(EOMONTH(DATE(2024,LEFT(Y3,LEN(Y3)-1),1),0))),"")</f>
        <v/>
      </c>
      <c r="Z8" s="341"/>
      <c r="AA8" s="341"/>
      <c r="AC8" s="330">
        <v>2</v>
      </c>
      <c r="AD8" s="330"/>
      <c r="AE8" s="330">
        <v>0</v>
      </c>
      <c r="AF8" s="330"/>
      <c r="AG8" s="330">
        <v>0</v>
      </c>
      <c r="AH8" s="330"/>
      <c r="AI8" s="330">
        <v>1</v>
      </c>
      <c r="AJ8" s="330"/>
      <c r="AK8" s="330"/>
      <c r="AL8" s="330"/>
      <c r="AM8" s="330"/>
      <c r="AN8" s="330"/>
      <c r="AQ8" s="330">
        <v>2</v>
      </c>
      <c r="AR8" s="330"/>
      <c r="AS8" s="330">
        <v>1</v>
      </c>
      <c r="AT8" s="330"/>
      <c r="AU8" s="330">
        <v>2</v>
      </c>
      <c r="AV8" s="330"/>
      <c r="AW8" s="330">
        <v>1</v>
      </c>
      <c r="AX8" s="330"/>
      <c r="AY8" s="330"/>
      <c r="AZ8" s="330"/>
      <c r="BA8" s="330"/>
      <c r="BB8" s="330"/>
      <c r="BE8" s="187">
        <v>6</v>
      </c>
      <c r="BF8" s="317" t="s">
        <v>596</v>
      </c>
      <c r="BG8" s="317"/>
      <c r="BH8" s="317" t="s">
        <v>677</v>
      </c>
      <c r="BI8" s="317"/>
      <c r="BJ8" s="317"/>
      <c r="BK8" s="318"/>
      <c r="BL8" s="215"/>
      <c r="BM8" s="209"/>
      <c r="BN8" s="209"/>
      <c r="BO8" s="209"/>
      <c r="BP8" s="209"/>
      <c r="BQ8" s="210"/>
      <c r="BR8" s="319"/>
      <c r="BS8" s="317"/>
      <c r="BT8" s="317"/>
      <c r="BU8" s="320"/>
      <c r="BW8" s="285" t="b">
        <v>0</v>
      </c>
      <c r="BX8" s="192" t="s">
        <v>72</v>
      </c>
      <c r="BY8" s="178"/>
      <c r="BZ8" s="178"/>
      <c r="CA8" s="178"/>
      <c r="CB8" s="178"/>
      <c r="CC8" s="193"/>
      <c r="CD8" s="193"/>
      <c r="CE8" s="193"/>
      <c r="CF8" s="178"/>
      <c r="CG8" s="178"/>
      <c r="CH8" s="178"/>
      <c r="CM8" s="264" t="s">
        <v>915</v>
      </c>
      <c r="CN8" s="265">
        <v>46113</v>
      </c>
      <c r="CO8" s="264" t="s">
        <v>904</v>
      </c>
      <c r="CP8" s="264">
        <v>0</v>
      </c>
      <c r="CQ8" s="264">
        <v>0</v>
      </c>
      <c r="CR8" s="264">
        <v>0</v>
      </c>
    </row>
    <row r="9" spans="1:96" ht="22.5" customHeight="1">
      <c r="B9" s="735" t="s">
        <v>175</v>
      </c>
      <c r="C9" s="736"/>
      <c r="D9" s="736"/>
      <c r="E9" s="736"/>
      <c r="F9" s="737"/>
      <c r="G9" s="321">
        <f ca="1">IFERROR(INDEX(INDIRECT("'"&amp;G$3&amp;"'!O:O"),MATCH($D$1,INDIRECT("'"&amp;G$3&amp;"'!A:A"),0)),"")</f>
        <v>585</v>
      </c>
      <c r="H9" s="321"/>
      <c r="I9" s="321"/>
      <c r="J9" s="321">
        <v>560</v>
      </c>
      <c r="K9" s="321"/>
      <c r="L9" s="321"/>
      <c r="M9" s="321">
        <v>565</v>
      </c>
      <c r="N9" s="321"/>
      <c r="O9" s="321"/>
      <c r="P9" s="321" t="str">
        <f ca="1">IFERROR(INDEX(INDIRECT("'"&amp;P$3&amp;"'!O:O"),MATCH($D$1,INDIRECT("'"&amp;P$3&amp;"'!A:A"),0)),"")</f>
        <v/>
      </c>
      <c r="Q9" s="321"/>
      <c r="R9" s="321"/>
      <c r="S9" s="321" t="str">
        <f ca="1">IFERROR(INDEX(INDIRECT("'"&amp;S$3&amp;"'!O:O"),MATCH($D$1,INDIRECT("'"&amp;S$3&amp;"'!A:A"),0)),"")</f>
        <v/>
      </c>
      <c r="T9" s="321"/>
      <c r="U9" s="321"/>
      <c r="V9" s="321" t="str">
        <f t="shared" ref="V9" ca="1" si="10">IFERROR(INDEX(INDIRECT("'"&amp;V$3&amp;"'!O:O"),MATCH($D$1,INDIRECT("'"&amp;V$3&amp;"'!A:A"),0)),"")</f>
        <v/>
      </c>
      <c r="W9" s="321"/>
      <c r="X9" s="321"/>
      <c r="Y9" s="321" t="str">
        <f t="shared" ref="Y9" ca="1" si="11">IFERROR(INDEX(INDIRECT("'"&amp;Y$3&amp;"'!O:O"),MATCH($D$1,INDIRECT("'"&amp;Y$3&amp;"'!A:A"),0)),"")</f>
        <v/>
      </c>
      <c r="Z9" s="321"/>
      <c r="AA9" s="321"/>
      <c r="AC9" s="179" t="s">
        <v>250</v>
      </c>
      <c r="AD9" s="179"/>
      <c r="AE9" s="179"/>
      <c r="AF9" s="179"/>
      <c r="AG9" s="179"/>
      <c r="AH9" s="179"/>
      <c r="AI9" s="179"/>
      <c r="AJ9" s="179"/>
      <c r="AK9" s="179"/>
      <c r="AL9" s="179"/>
      <c r="AM9" s="179"/>
      <c r="AN9" s="179"/>
      <c r="AO9" s="179"/>
      <c r="AP9" s="179"/>
      <c r="AQ9" s="180"/>
      <c r="AR9" s="179"/>
      <c r="AS9" s="179"/>
      <c r="AT9" s="179"/>
      <c r="AU9" s="179"/>
      <c r="AV9" s="179"/>
      <c r="AW9" s="179"/>
      <c r="AX9" s="179"/>
      <c r="AY9" s="179"/>
      <c r="AZ9" s="179"/>
      <c r="BA9" s="179"/>
      <c r="BB9" s="179"/>
      <c r="BE9" s="187">
        <v>7</v>
      </c>
      <c r="BF9" s="317" t="s">
        <v>596</v>
      </c>
      <c r="BG9" s="317"/>
      <c r="BH9" s="317" t="s">
        <v>678</v>
      </c>
      <c r="BI9" s="317"/>
      <c r="BJ9" s="317"/>
      <c r="BK9" s="318"/>
      <c r="BL9" s="215"/>
      <c r="BM9" s="209"/>
      <c r="BN9" s="209"/>
      <c r="BO9" s="209"/>
      <c r="BP9" s="209"/>
      <c r="BQ9" s="210"/>
      <c r="BR9" s="319"/>
      <c r="BS9" s="317"/>
      <c r="BT9" s="317"/>
      <c r="BU9" s="320"/>
      <c r="BW9" s="285" t="b">
        <v>0</v>
      </c>
      <c r="BX9" s="192" t="s">
        <v>73</v>
      </c>
      <c r="BY9" s="178"/>
      <c r="BZ9" s="178"/>
      <c r="CA9" s="178"/>
      <c r="CB9" s="178"/>
      <c r="CC9" s="193"/>
      <c r="CD9" s="193"/>
      <c r="CE9" s="193"/>
      <c r="CF9" s="178"/>
      <c r="CG9" s="178"/>
      <c r="CH9" s="178"/>
      <c r="CJ9" s="164"/>
    </row>
    <row r="10" spans="1:96" ht="22.5" customHeight="1">
      <c r="B10" s="338" t="s">
        <v>35</v>
      </c>
      <c r="C10" s="339"/>
      <c r="D10" s="339"/>
      <c r="E10" s="339"/>
      <c r="F10" s="340"/>
      <c r="G10" s="341">
        <f ca="1">IFERROR(G9/G5,"")</f>
        <v>0.94967532467532467</v>
      </c>
      <c r="H10" s="341"/>
      <c r="I10" s="341"/>
      <c r="J10" s="341">
        <f>IFERROR(J9/J5,"")</f>
        <v>0.98245614035087714</v>
      </c>
      <c r="K10" s="341"/>
      <c r="L10" s="341"/>
      <c r="M10" s="341">
        <f>IFERROR(M9/M5,"")</f>
        <v>0.93234323432343236</v>
      </c>
      <c r="N10" s="341"/>
      <c r="O10" s="341"/>
      <c r="P10" s="341" t="str">
        <f ca="1">IFERROR(P9/P5,"")</f>
        <v/>
      </c>
      <c r="Q10" s="341"/>
      <c r="R10" s="341"/>
      <c r="S10" s="341" t="str">
        <f ca="1">IFERROR(S9/S5,"")</f>
        <v/>
      </c>
      <c r="T10" s="341"/>
      <c r="U10" s="341"/>
      <c r="V10" s="341" t="str">
        <f t="shared" ref="V10" ca="1" si="12">IFERROR(V9/V5,"")</f>
        <v/>
      </c>
      <c r="W10" s="341"/>
      <c r="X10" s="341"/>
      <c r="Y10" s="341" t="str">
        <f t="shared" ref="Y10" ca="1" si="13">IFERROR(Y9/Y5,"")</f>
        <v/>
      </c>
      <c r="Z10" s="341"/>
      <c r="AA10" s="341"/>
      <c r="AC10" s="342" t="s">
        <v>249</v>
      </c>
      <c r="AD10" s="343"/>
      <c r="AE10" s="343"/>
      <c r="AF10" s="343"/>
      <c r="AG10" s="343"/>
      <c r="AH10" s="343"/>
      <c r="AI10" s="343"/>
      <c r="AJ10" s="344"/>
      <c r="AK10" s="342" t="s">
        <v>63</v>
      </c>
      <c r="AL10" s="343"/>
      <c r="AM10" s="345"/>
      <c r="AN10" s="346" t="s">
        <v>111</v>
      </c>
      <c r="AO10" s="343"/>
      <c r="AP10" s="343"/>
      <c r="AQ10" s="343"/>
      <c r="AR10" s="343"/>
      <c r="AS10" s="343"/>
      <c r="AT10" s="343"/>
      <c r="AU10" s="343"/>
      <c r="AV10" s="343"/>
      <c r="AW10" s="343"/>
      <c r="AX10" s="343"/>
      <c r="AY10" s="343"/>
      <c r="AZ10" s="343"/>
      <c r="BA10" s="343"/>
      <c r="BB10" s="345"/>
      <c r="BE10" s="187">
        <v>8</v>
      </c>
      <c r="BF10" s="317" t="s">
        <v>596</v>
      </c>
      <c r="BG10" s="317"/>
      <c r="BH10" s="317" t="s">
        <v>679</v>
      </c>
      <c r="BI10" s="317"/>
      <c r="BJ10" s="317"/>
      <c r="BK10" s="318"/>
      <c r="BL10" s="215"/>
      <c r="BM10" s="209"/>
      <c r="BN10" s="209"/>
      <c r="BO10" s="209"/>
      <c r="BP10" s="209"/>
      <c r="BQ10" s="210"/>
      <c r="BR10" s="319"/>
      <c r="BS10" s="317"/>
      <c r="BT10" s="317"/>
      <c r="BU10" s="320"/>
      <c r="BW10" s="285" t="b">
        <v>0</v>
      </c>
      <c r="BX10" s="192" t="s">
        <v>76</v>
      </c>
      <c r="BY10" s="178"/>
      <c r="BZ10" s="178"/>
      <c r="CA10" s="178"/>
      <c r="CB10" s="178"/>
      <c r="CC10" s="193"/>
      <c r="CD10" s="193"/>
      <c r="CE10" s="193"/>
      <c r="CF10" s="178"/>
      <c r="CG10" s="178"/>
      <c r="CH10" s="178"/>
    </row>
    <row r="11" spans="1:96" ht="22.5" customHeight="1">
      <c r="B11" s="735" t="s">
        <v>179</v>
      </c>
      <c r="C11" s="736"/>
      <c r="D11" s="736"/>
      <c r="E11" s="736"/>
      <c r="F11" s="737"/>
      <c r="G11" s="321">
        <f ca="1">IFERROR(INDEX(INDIRECT("'"&amp;G$3&amp;"'!R:R"),MATCH($D$1,INDIRECT("'"&amp;G$3&amp;"'!A:A"),0)),"")</f>
        <v>94</v>
      </c>
      <c r="H11" s="321"/>
      <c r="I11" s="321"/>
      <c r="J11" s="321">
        <v>98</v>
      </c>
      <c r="K11" s="321"/>
      <c r="L11" s="321"/>
      <c r="M11" s="321">
        <v>102</v>
      </c>
      <c r="N11" s="321"/>
      <c r="O11" s="321"/>
      <c r="P11" s="321" t="str">
        <f ca="1">IFERROR(INDEX(INDIRECT("'"&amp;P$3&amp;"'!R:R"),MATCH($D$1,INDIRECT("'"&amp;P$3&amp;"'!A:A"),0)),"")</f>
        <v/>
      </c>
      <c r="Q11" s="321"/>
      <c r="R11" s="321"/>
      <c r="S11" s="321" t="str">
        <f ca="1">IFERROR(INDEX(INDIRECT("'"&amp;S$3&amp;"'!R:R"),MATCH($D$1,INDIRECT("'"&amp;S$3&amp;"'!A:A"),0)),"")</f>
        <v/>
      </c>
      <c r="T11" s="321"/>
      <c r="U11" s="321"/>
      <c r="V11" s="321" t="str">
        <f t="shared" ref="V11" ca="1" si="14">IFERROR(INDEX(INDIRECT("'"&amp;V$3&amp;"'!R:R"),MATCH($D$1,INDIRECT("'"&amp;V$3&amp;"'!A:A"),0)),"")</f>
        <v/>
      </c>
      <c r="W11" s="321"/>
      <c r="X11" s="321"/>
      <c r="Y11" s="321" t="str">
        <f t="shared" ref="Y11" ca="1" si="15">IFERROR(INDEX(INDIRECT("'"&amp;Y$3&amp;"'!R:R"),MATCH($D$1,INDIRECT("'"&amp;Y$3&amp;"'!A:A"),0)),"")</f>
        <v/>
      </c>
      <c r="Z11" s="321"/>
      <c r="AA11" s="321"/>
      <c r="AC11" s="354"/>
      <c r="AD11" s="355"/>
      <c r="AE11" s="355"/>
      <c r="AF11" s="355"/>
      <c r="AG11" s="355"/>
      <c r="AH11" s="355"/>
      <c r="AI11" s="355"/>
      <c r="AJ11" s="356"/>
      <c r="AK11" s="357"/>
      <c r="AL11" s="358"/>
      <c r="AM11" s="203"/>
      <c r="AN11" s="359"/>
      <c r="AO11" s="355"/>
      <c r="AP11" s="355"/>
      <c r="AQ11" s="355"/>
      <c r="AR11" s="355"/>
      <c r="AS11" s="355"/>
      <c r="AT11" s="355"/>
      <c r="AU11" s="355"/>
      <c r="AV11" s="355"/>
      <c r="AW11" s="355"/>
      <c r="AX11" s="355"/>
      <c r="AY11" s="355"/>
      <c r="AZ11" s="355"/>
      <c r="BA11" s="355"/>
      <c r="BB11" s="360"/>
      <c r="BE11" s="187">
        <v>9</v>
      </c>
      <c r="BF11" s="317" t="s">
        <v>596</v>
      </c>
      <c r="BG11" s="317"/>
      <c r="BH11" s="317" t="s">
        <v>680</v>
      </c>
      <c r="BI11" s="317"/>
      <c r="BJ11" s="317"/>
      <c r="BK11" s="318"/>
      <c r="BL11" s="215"/>
      <c r="BM11" s="209"/>
      <c r="BN11" s="209"/>
      <c r="BO11" s="209"/>
      <c r="BP11" s="209"/>
      <c r="BQ11" s="210"/>
      <c r="BR11" s="319"/>
      <c r="BS11" s="317"/>
      <c r="BT11" s="317"/>
      <c r="BU11" s="320"/>
      <c r="BW11" s="285" t="b">
        <v>0</v>
      </c>
      <c r="BX11" s="192" t="s">
        <v>239</v>
      </c>
      <c r="BY11" s="178"/>
      <c r="BZ11" s="178"/>
      <c r="CA11" s="178"/>
      <c r="CB11" s="178"/>
      <c r="CC11" s="193"/>
      <c r="CD11" s="193"/>
      <c r="CE11" s="193"/>
      <c r="CF11" s="178"/>
      <c r="CG11" s="178"/>
      <c r="CH11" s="178"/>
    </row>
    <row r="12" spans="1:96" ht="22.5" customHeight="1">
      <c r="B12" s="338" t="s">
        <v>218</v>
      </c>
      <c r="C12" s="339"/>
      <c r="D12" s="339"/>
      <c r="E12" s="339"/>
      <c r="F12" s="340"/>
      <c r="G12" s="341">
        <f ca="1">IFERROR(G11/G5,"")</f>
        <v>0.15259740259740259</v>
      </c>
      <c r="H12" s="341"/>
      <c r="I12" s="341"/>
      <c r="J12" s="341">
        <f>IFERROR(J11/J5,"")</f>
        <v>0.17192982456140352</v>
      </c>
      <c r="K12" s="341"/>
      <c r="L12" s="341"/>
      <c r="M12" s="341">
        <f>IFERROR(M11/M5,"")</f>
        <v>0.16831683168316833</v>
      </c>
      <c r="N12" s="341"/>
      <c r="O12" s="341"/>
      <c r="P12" s="341" t="str">
        <f ca="1">IFERROR(P11/P5,"")</f>
        <v/>
      </c>
      <c r="Q12" s="341"/>
      <c r="R12" s="341"/>
      <c r="S12" s="341" t="str">
        <f ca="1">IFERROR(S11/S5,"")</f>
        <v/>
      </c>
      <c r="T12" s="341"/>
      <c r="U12" s="341"/>
      <c r="V12" s="341" t="str">
        <f t="shared" ref="V12" ca="1" si="16">IFERROR(V11/V5,"")</f>
        <v/>
      </c>
      <c r="W12" s="341"/>
      <c r="X12" s="341"/>
      <c r="Y12" s="341" t="str">
        <f t="shared" ref="Y12" ca="1" si="17">IFERROR(Y11/Y5,"")</f>
        <v/>
      </c>
      <c r="Z12" s="341"/>
      <c r="AA12" s="341"/>
      <c r="AC12" s="347"/>
      <c r="AD12" s="348"/>
      <c r="AE12" s="348"/>
      <c r="AF12" s="348"/>
      <c r="AG12" s="348"/>
      <c r="AH12" s="348"/>
      <c r="AI12" s="348"/>
      <c r="AJ12" s="349"/>
      <c r="AK12" s="350"/>
      <c r="AL12" s="351"/>
      <c r="AM12" s="202"/>
      <c r="AN12" s="352"/>
      <c r="AO12" s="348"/>
      <c r="AP12" s="348"/>
      <c r="AQ12" s="348"/>
      <c r="AR12" s="348"/>
      <c r="AS12" s="348"/>
      <c r="AT12" s="348"/>
      <c r="AU12" s="348"/>
      <c r="AV12" s="348"/>
      <c r="AW12" s="348"/>
      <c r="AX12" s="348"/>
      <c r="AY12" s="348"/>
      <c r="AZ12" s="348"/>
      <c r="BA12" s="348"/>
      <c r="BB12" s="353"/>
      <c r="BE12" s="187">
        <v>10</v>
      </c>
      <c r="BF12" s="317" t="s">
        <v>596</v>
      </c>
      <c r="BG12" s="317"/>
      <c r="BH12" s="317" t="s">
        <v>681</v>
      </c>
      <c r="BI12" s="317"/>
      <c r="BJ12" s="317"/>
      <c r="BK12" s="318"/>
      <c r="BL12" s="215"/>
      <c r="BM12" s="209"/>
      <c r="BN12" s="209"/>
      <c r="BO12" s="209"/>
      <c r="BP12" s="209"/>
      <c r="BQ12" s="210"/>
      <c r="BR12" s="319"/>
      <c r="BS12" s="317"/>
      <c r="BT12" s="317"/>
      <c r="BU12" s="320"/>
      <c r="BW12" s="285" t="b">
        <v>0</v>
      </c>
      <c r="BX12" s="192" t="s">
        <v>77</v>
      </c>
      <c r="BY12" s="178"/>
      <c r="BZ12" s="178"/>
      <c r="CA12" s="178"/>
      <c r="CB12" s="178"/>
      <c r="CC12" s="193"/>
      <c r="CD12" s="193"/>
      <c r="CE12" s="193"/>
      <c r="CF12" s="178"/>
      <c r="CG12" s="178"/>
      <c r="CH12" s="178"/>
    </row>
    <row r="13" spans="1:96" ht="22.5" customHeight="1">
      <c r="B13" s="335" t="s">
        <v>47</v>
      </c>
      <c r="C13" s="336"/>
      <c r="D13" s="336"/>
      <c r="E13" s="336"/>
      <c r="F13" s="337"/>
      <c r="G13" s="361">
        <f ca="1">IFERROR(INDEX(INDIRECT("'"&amp;G$3&amp;"'!M:M"),MATCH($D$1,INDIRECT("'"&amp;G$3&amp;"'!A:A"),0)),"")</f>
        <v>0</v>
      </c>
      <c r="H13" s="361"/>
      <c r="I13" s="361"/>
      <c r="J13" s="361">
        <v>0</v>
      </c>
      <c r="K13" s="361"/>
      <c r="L13" s="361"/>
      <c r="M13" s="361">
        <v>0</v>
      </c>
      <c r="N13" s="361"/>
      <c r="O13" s="361"/>
      <c r="P13" s="361" t="str">
        <f ca="1">IFERROR(INDEX(INDIRECT("'"&amp;P$3&amp;"'!M:M"),MATCH($D$1,INDIRECT("'"&amp;P$3&amp;"'!A:A"),0)),"")</f>
        <v/>
      </c>
      <c r="Q13" s="361"/>
      <c r="R13" s="361"/>
      <c r="S13" s="361" t="str">
        <f ca="1">IFERROR(INDEX(INDIRECT("'"&amp;S$3&amp;"'!M:M"),MATCH($D$1,INDIRECT("'"&amp;S$3&amp;"'!A:A"),0)),"")</f>
        <v/>
      </c>
      <c r="T13" s="361"/>
      <c r="U13" s="361"/>
      <c r="V13" s="361" t="str">
        <f t="shared" ref="V13" ca="1" si="18">IFERROR(INDEX(INDIRECT("'"&amp;V$3&amp;"'!M:M"),MATCH($D$1,INDIRECT("'"&amp;V$3&amp;"'!A:A"),0)),"")</f>
        <v/>
      </c>
      <c r="W13" s="361"/>
      <c r="X13" s="361"/>
      <c r="Y13" s="361" t="str">
        <f t="shared" ref="Y13" ca="1" si="19">IFERROR(INDEX(INDIRECT("'"&amp;Y$3&amp;"'!M:M"),MATCH($D$1,INDIRECT("'"&amp;Y$3&amp;"'!A:A"),0)),"")</f>
        <v/>
      </c>
      <c r="Z13" s="361"/>
      <c r="AA13" s="361"/>
      <c r="AC13" s="367"/>
      <c r="AD13" s="368"/>
      <c r="AE13" s="368"/>
      <c r="AF13" s="368"/>
      <c r="AG13" s="368"/>
      <c r="AH13" s="368"/>
      <c r="AI13" s="368"/>
      <c r="AJ13" s="369"/>
      <c r="AK13" s="370"/>
      <c r="AL13" s="371"/>
      <c r="AM13" s="204"/>
      <c r="AN13" s="372"/>
      <c r="AO13" s="368"/>
      <c r="AP13" s="368"/>
      <c r="AQ13" s="368"/>
      <c r="AR13" s="368"/>
      <c r="AS13" s="368"/>
      <c r="AT13" s="368"/>
      <c r="AU13" s="368"/>
      <c r="AV13" s="368"/>
      <c r="AW13" s="368"/>
      <c r="AX13" s="368"/>
      <c r="AY13" s="368"/>
      <c r="AZ13" s="368"/>
      <c r="BA13" s="368"/>
      <c r="BB13" s="373"/>
      <c r="BE13" s="187">
        <v>11</v>
      </c>
      <c r="BF13" s="317" t="s">
        <v>596</v>
      </c>
      <c r="BG13" s="317"/>
      <c r="BH13" s="317"/>
      <c r="BI13" s="317"/>
      <c r="BJ13" s="317"/>
      <c r="BK13" s="318"/>
      <c r="BL13" s="215"/>
      <c r="BM13" s="209"/>
      <c r="BN13" s="209"/>
      <c r="BO13" s="209"/>
      <c r="BP13" s="209"/>
      <c r="BQ13" s="210"/>
      <c r="BR13" s="362"/>
      <c r="BS13" s="319"/>
      <c r="BT13" s="317"/>
      <c r="BU13" s="320"/>
      <c r="BW13" s="285" t="b">
        <v>0</v>
      </c>
      <c r="BX13" s="192" t="s">
        <v>78</v>
      </c>
      <c r="BY13" s="178"/>
      <c r="BZ13" s="178"/>
      <c r="CA13" s="178"/>
      <c r="CB13" s="178"/>
      <c r="CC13" s="193"/>
      <c r="CD13" s="193"/>
      <c r="CE13" s="193"/>
      <c r="CF13" s="178"/>
      <c r="CG13" s="178"/>
      <c r="CH13" s="178"/>
    </row>
    <row r="14" spans="1:96" ht="22.5" customHeight="1" thickBot="1">
      <c r="A14" s="201" t="s">
        <v>251</v>
      </c>
      <c r="B14" s="363" t="s">
        <v>227</v>
      </c>
      <c r="C14" s="364"/>
      <c r="D14" s="364"/>
      <c r="E14" s="364"/>
      <c r="F14" s="365"/>
      <c r="G14" s="366"/>
      <c r="H14" s="366"/>
      <c r="I14" s="366"/>
      <c r="J14" s="366"/>
      <c r="K14" s="366"/>
      <c r="L14" s="366"/>
      <c r="M14" s="366"/>
      <c r="N14" s="366"/>
      <c r="O14" s="366"/>
      <c r="P14" s="366"/>
      <c r="Q14" s="366"/>
      <c r="R14" s="366"/>
      <c r="S14" s="366"/>
      <c r="T14" s="366"/>
      <c r="U14" s="366"/>
      <c r="V14" s="366"/>
      <c r="W14" s="366"/>
      <c r="X14" s="366"/>
      <c r="Y14" s="366"/>
      <c r="Z14" s="366"/>
      <c r="AA14" s="366"/>
      <c r="AC14" s="367"/>
      <c r="AD14" s="368"/>
      <c r="AE14" s="368"/>
      <c r="AF14" s="368"/>
      <c r="AG14" s="368"/>
      <c r="AH14" s="368"/>
      <c r="AI14" s="368"/>
      <c r="AJ14" s="369"/>
      <c r="AK14" s="370"/>
      <c r="AL14" s="371"/>
      <c r="AM14" s="204"/>
      <c r="AN14" s="372"/>
      <c r="AO14" s="368"/>
      <c r="AP14" s="368"/>
      <c r="AQ14" s="368"/>
      <c r="AR14" s="368"/>
      <c r="AS14" s="368"/>
      <c r="AT14" s="368"/>
      <c r="AU14" s="368"/>
      <c r="AV14" s="368"/>
      <c r="AW14" s="368"/>
      <c r="AX14" s="368"/>
      <c r="AY14" s="368"/>
      <c r="AZ14" s="368"/>
      <c r="BA14" s="368"/>
      <c r="BB14" s="373"/>
      <c r="BE14" s="187">
        <v>12</v>
      </c>
      <c r="BF14" s="317" t="s">
        <v>381</v>
      </c>
      <c r="BG14" s="317"/>
      <c r="BH14" s="317" t="s">
        <v>718</v>
      </c>
      <c r="BI14" s="317"/>
      <c r="BJ14" s="317"/>
      <c r="BK14" s="318"/>
      <c r="BL14" s="215"/>
      <c r="BM14" s="209"/>
      <c r="BN14" s="209"/>
      <c r="BO14" s="209"/>
      <c r="BP14" s="209"/>
      <c r="BQ14" s="210"/>
      <c r="BR14" s="362"/>
      <c r="BS14" s="319"/>
      <c r="BT14" s="317"/>
      <c r="BU14" s="320"/>
      <c r="BW14" s="285" t="b">
        <v>0</v>
      </c>
      <c r="BX14" s="192" t="s">
        <v>79</v>
      </c>
      <c r="BY14" s="178"/>
      <c r="BZ14" s="178"/>
      <c r="CA14" s="178"/>
      <c r="CB14" s="178"/>
      <c r="CC14" s="178"/>
      <c r="CD14" s="178"/>
      <c r="CE14" s="178"/>
      <c r="CF14" s="178"/>
      <c r="CG14" s="178"/>
      <c r="CH14" s="178"/>
    </row>
    <row r="15" spans="1:96" ht="22.5" customHeight="1" thickTop="1">
      <c r="B15" s="739" t="s">
        <v>264</v>
      </c>
      <c r="C15" s="740"/>
      <c r="D15" s="740"/>
      <c r="E15" s="740"/>
      <c r="F15" s="741"/>
      <c r="G15" s="385">
        <f ca="1">IFERROR(INDEX(INDIRECT("'"&amp;G$3&amp;"'!X:X"),MATCH($D$1,INDIRECT("'"&amp;G$3&amp;"'!A:A"),0)),"")</f>
        <v>715379.80799999996</v>
      </c>
      <c r="H15" s="385"/>
      <c r="I15" s="385"/>
      <c r="J15" s="385" t="str">
        <f ca="1">IFERROR(INDEX(INDIRECT("'"&amp;J$3&amp;"'!X:X"),MATCH($D$1,INDIRECT("'"&amp;J$3&amp;"'!A:A"),0)),"")</f>
        <v/>
      </c>
      <c r="K15" s="385"/>
      <c r="L15" s="385"/>
      <c r="M15" s="385" t="str">
        <f ca="1">IFERROR(INDEX(INDIRECT("'"&amp;M$3&amp;"'!X:X"),MATCH($D$1,INDIRECT("'"&amp;M$3&amp;"'!A:A"),0)),"")</f>
        <v/>
      </c>
      <c r="N15" s="385"/>
      <c r="O15" s="385"/>
      <c r="P15" s="385" t="str">
        <f ca="1">IFERROR(INDEX(INDIRECT("'"&amp;P$3&amp;"'!X:X"),MATCH($D$1,INDIRECT("'"&amp;P$3&amp;"'!A:A"),0)),"")</f>
        <v/>
      </c>
      <c r="Q15" s="385"/>
      <c r="R15" s="385"/>
      <c r="S15" s="385" t="str">
        <f ca="1">IFERROR(INDEX(INDIRECT("'"&amp;S$3&amp;"'!X:X"),MATCH($D$1,INDIRECT("'"&amp;S$3&amp;"'!A:A"),0)),"")</f>
        <v/>
      </c>
      <c r="T15" s="385"/>
      <c r="U15" s="385"/>
      <c r="V15" s="386" t="s">
        <v>266</v>
      </c>
      <c r="W15" s="387"/>
      <c r="X15" s="388">
        <f ca="1">AVERAGE(G15:U15)</f>
        <v>715379.80799999996</v>
      </c>
      <c r="Y15" s="388"/>
      <c r="Z15" s="388"/>
      <c r="AA15" s="389"/>
      <c r="AB15" s="162"/>
      <c r="BE15" s="187">
        <v>13</v>
      </c>
      <c r="BF15" s="317" t="s">
        <v>594</v>
      </c>
      <c r="BG15" s="317"/>
      <c r="BH15" s="317" t="s">
        <v>717</v>
      </c>
      <c r="BI15" s="317"/>
      <c r="BJ15" s="317"/>
      <c r="BK15" s="318"/>
      <c r="BL15" s="215"/>
      <c r="BM15" s="209"/>
      <c r="BN15" s="209"/>
      <c r="BO15" s="209"/>
      <c r="BP15" s="209"/>
      <c r="BQ15" s="210"/>
      <c r="BR15" s="362"/>
      <c r="BS15" s="319"/>
      <c r="BT15" s="317"/>
      <c r="BU15" s="320"/>
      <c r="BW15" s="285" t="b">
        <v>0</v>
      </c>
      <c r="BX15" s="192" t="s">
        <v>80</v>
      </c>
      <c r="BY15" s="178"/>
      <c r="BZ15" s="178"/>
      <c r="CA15" s="178"/>
      <c r="CB15" s="178"/>
      <c r="CC15" s="178"/>
      <c r="CD15" s="178"/>
      <c r="CE15" s="178"/>
      <c r="CF15" s="178"/>
      <c r="CG15" s="178"/>
      <c r="CH15" s="178"/>
    </row>
    <row r="16" spans="1:96" s="164" customFormat="1" ht="22.5" customHeight="1">
      <c r="B16" s="164">
        <v>30</v>
      </c>
      <c r="V16" s="220"/>
      <c r="W16" s="220"/>
      <c r="X16" s="220"/>
      <c r="Y16" s="220"/>
      <c r="Z16" s="220"/>
      <c r="AA16" s="220"/>
      <c r="AB16" s="162"/>
      <c r="AC16" s="722" t="s">
        <v>236</v>
      </c>
      <c r="AD16" s="723"/>
      <c r="AE16" s="723"/>
      <c r="AF16" s="723"/>
      <c r="AG16" s="723"/>
      <c r="AH16" s="723"/>
      <c r="AI16" s="723"/>
      <c r="AJ16" s="724"/>
      <c r="AK16" s="377" t="s">
        <v>254</v>
      </c>
      <c r="AL16" s="378"/>
      <c r="AM16" s="379"/>
      <c r="AN16" s="380" t="s">
        <v>27</v>
      </c>
      <c r="AO16" s="378"/>
      <c r="AP16" s="381"/>
      <c r="AQ16" s="377" t="s">
        <v>226</v>
      </c>
      <c r="AR16" s="378"/>
      <c r="AS16" s="379"/>
      <c r="AT16" s="380" t="s">
        <v>14</v>
      </c>
      <c r="AU16" s="378"/>
      <c r="AV16" s="381"/>
      <c r="AW16" s="377" t="s">
        <v>22</v>
      </c>
      <c r="AX16" s="378"/>
      <c r="AY16" s="379"/>
      <c r="AZ16" s="380" t="s">
        <v>1</v>
      </c>
      <c r="BA16" s="378"/>
      <c r="BB16" s="379"/>
      <c r="BE16" s="187">
        <v>14</v>
      </c>
      <c r="BF16" s="317"/>
      <c r="BG16" s="317"/>
      <c r="BH16" s="317"/>
      <c r="BI16" s="317"/>
      <c r="BJ16" s="317"/>
      <c r="BK16" s="318"/>
      <c r="BL16" s="215"/>
      <c r="BM16" s="209"/>
      <c r="BN16" s="209"/>
      <c r="BO16" s="209"/>
      <c r="BP16" s="209"/>
      <c r="BQ16" s="210"/>
      <c r="BR16" s="319"/>
      <c r="BS16" s="317"/>
      <c r="BT16" s="317"/>
      <c r="BU16" s="320"/>
      <c r="BW16" s="285" t="b">
        <v>0</v>
      </c>
      <c r="BX16" s="192" t="s">
        <v>81</v>
      </c>
      <c r="BY16" s="194"/>
      <c r="BZ16" s="194"/>
      <c r="CA16" s="194"/>
      <c r="CB16" s="194"/>
      <c r="CC16" s="194"/>
      <c r="CD16" s="194"/>
      <c r="CE16" s="194"/>
      <c r="CF16" s="194"/>
      <c r="CG16" s="194"/>
      <c r="CH16" s="194"/>
      <c r="CJ16" s="161"/>
    </row>
    <row r="17" spans="2:86" ht="22.5" customHeight="1">
      <c r="B17" s="850">
        <f ca="1">NOW()</f>
        <v>46202.751855324073</v>
      </c>
      <c r="C17" s="851"/>
      <c r="D17" s="851"/>
      <c r="E17" s="851"/>
      <c r="F17" s="852"/>
      <c r="G17" s="303" t="s">
        <v>777</v>
      </c>
      <c r="H17" s="304"/>
      <c r="I17" s="305"/>
      <c r="J17" s="303" t="s">
        <v>778</v>
      </c>
      <c r="K17" s="304"/>
      <c r="L17" s="305"/>
      <c r="M17" s="303" t="s">
        <v>779</v>
      </c>
      <c r="N17" s="304"/>
      <c r="O17" s="305"/>
      <c r="P17" s="303" t="s">
        <v>780</v>
      </c>
      <c r="Q17" s="304"/>
      <c r="R17" s="305"/>
      <c r="S17" s="303" t="s">
        <v>781</v>
      </c>
      <c r="T17" s="304"/>
      <c r="U17" s="305"/>
      <c r="V17" s="303" t="s">
        <v>782</v>
      </c>
      <c r="W17" s="304"/>
      <c r="X17" s="305"/>
      <c r="AB17" s="165"/>
      <c r="AC17" s="392" t="s">
        <v>234</v>
      </c>
      <c r="AD17" s="393"/>
      <c r="AE17" s="393"/>
      <c r="AF17" s="394"/>
      <c r="AG17" s="398" t="s">
        <v>262</v>
      </c>
      <c r="AH17" s="399"/>
      <c r="AI17" s="399"/>
      <c r="AJ17" s="400"/>
      <c r="AK17" s="401">
        <v>10.3</v>
      </c>
      <c r="AL17" s="402"/>
      <c r="AM17" s="403"/>
      <c r="AN17" s="404">
        <v>10.199999999999999</v>
      </c>
      <c r="AO17" s="402"/>
      <c r="AP17" s="405"/>
      <c r="AQ17" s="401">
        <v>10.4</v>
      </c>
      <c r="AR17" s="402"/>
      <c r="AS17" s="403"/>
      <c r="AT17" s="404">
        <v>10.7</v>
      </c>
      <c r="AU17" s="402"/>
      <c r="AV17" s="405"/>
      <c r="AW17" s="401"/>
      <c r="AX17" s="402"/>
      <c r="AY17" s="403"/>
      <c r="AZ17" s="404"/>
      <c r="BA17" s="402"/>
      <c r="BB17" s="403"/>
      <c r="BE17" s="187">
        <v>15</v>
      </c>
      <c r="BF17" s="317"/>
      <c r="BG17" s="317"/>
      <c r="BH17" s="317"/>
      <c r="BI17" s="317"/>
      <c r="BJ17" s="317"/>
      <c r="BK17" s="318"/>
      <c r="BL17" s="215"/>
      <c r="BM17" s="209"/>
      <c r="BN17" s="209"/>
      <c r="BO17" s="209"/>
      <c r="BP17" s="209"/>
      <c r="BQ17" s="210"/>
      <c r="BR17" s="319"/>
      <c r="BS17" s="317"/>
      <c r="BT17" s="317"/>
      <c r="BU17" s="320"/>
      <c r="BX17" s="178"/>
      <c r="BY17" s="178"/>
      <c r="BZ17" s="178"/>
      <c r="CA17" s="178"/>
      <c r="CB17" s="178"/>
      <c r="CC17" s="178"/>
      <c r="CD17" s="178"/>
      <c r="CE17" s="178"/>
      <c r="CF17" s="178"/>
      <c r="CG17" s="178"/>
      <c r="CH17" s="178"/>
    </row>
    <row r="18" spans="2:86" ht="22.5" customHeight="1">
      <c r="B18" s="335" t="s">
        <v>32</v>
      </c>
      <c r="C18" s="336"/>
      <c r="D18" s="336"/>
      <c r="E18" s="336"/>
      <c r="F18" s="337"/>
      <c r="G18" s="321">
        <v>20</v>
      </c>
      <c r="H18" s="321"/>
      <c r="I18" s="321"/>
      <c r="J18" s="321">
        <v>20</v>
      </c>
      <c r="K18" s="321"/>
      <c r="L18" s="321"/>
      <c r="M18" s="321">
        <v>20</v>
      </c>
      <c r="N18" s="321"/>
      <c r="O18" s="321"/>
      <c r="P18" s="321"/>
      <c r="Q18" s="321"/>
      <c r="R18" s="321"/>
      <c r="S18" s="321"/>
      <c r="T18" s="321"/>
      <c r="U18" s="321"/>
      <c r="V18" s="782"/>
      <c r="W18" s="782"/>
      <c r="X18" s="782"/>
      <c r="AB18" s="162"/>
      <c r="AC18" s="395"/>
      <c r="AD18" s="396"/>
      <c r="AE18" s="396"/>
      <c r="AF18" s="397"/>
      <c r="AG18" s="407" t="s">
        <v>50</v>
      </c>
      <c r="AH18" s="408"/>
      <c r="AI18" s="408"/>
      <c r="AJ18" s="409"/>
      <c r="AK18" s="410">
        <f>334/166</f>
        <v>2.0120481927710845</v>
      </c>
      <c r="AL18" s="411"/>
      <c r="AM18" s="412"/>
      <c r="AN18" s="413">
        <v>1.3</v>
      </c>
      <c r="AO18" s="411"/>
      <c r="AP18" s="414"/>
      <c r="AQ18" s="410">
        <v>0.2</v>
      </c>
      <c r="AR18" s="411"/>
      <c r="AS18" s="412"/>
      <c r="AT18" s="413">
        <v>0.45</v>
      </c>
      <c r="AU18" s="411"/>
      <c r="AV18" s="414"/>
      <c r="AW18" s="410"/>
      <c r="AX18" s="411"/>
      <c r="AY18" s="412"/>
      <c r="AZ18" s="413"/>
      <c r="BA18" s="411"/>
      <c r="BB18" s="412"/>
      <c r="BE18" s="187">
        <v>16</v>
      </c>
      <c r="BF18" s="317" t="s">
        <v>383</v>
      </c>
      <c r="BG18" s="317"/>
      <c r="BH18" s="317" t="s">
        <v>683</v>
      </c>
      <c r="BI18" s="317"/>
      <c r="BJ18" s="317"/>
      <c r="BK18" s="318"/>
      <c r="BL18" s="215"/>
      <c r="BM18" s="209"/>
      <c r="BN18" s="209"/>
      <c r="BO18" s="209"/>
      <c r="BP18" s="209"/>
      <c r="BQ18" s="210"/>
      <c r="BR18" s="319" t="s">
        <v>228</v>
      </c>
      <c r="BS18" s="317"/>
      <c r="BT18" s="317"/>
      <c r="BU18" s="320"/>
      <c r="BW18" s="181" t="s">
        <v>949</v>
      </c>
      <c r="BX18" s="179"/>
      <c r="BY18" s="179"/>
      <c r="BZ18" s="179"/>
      <c r="CA18" s="179"/>
      <c r="CB18" s="179"/>
      <c r="CC18" s="179"/>
      <c r="CD18" s="179"/>
      <c r="CE18" s="179"/>
      <c r="CF18" s="179"/>
      <c r="CG18" s="179"/>
      <c r="CH18" s="179"/>
    </row>
    <row r="19" spans="2:86" ht="22.5" customHeight="1">
      <c r="B19" s="858" t="s">
        <v>225</v>
      </c>
      <c r="C19" s="775"/>
      <c r="D19" s="775"/>
      <c r="E19" s="775"/>
      <c r="F19" s="859"/>
      <c r="G19" s="334">
        <v>570</v>
      </c>
      <c r="H19" s="334"/>
      <c r="I19" s="334"/>
      <c r="J19" s="334">
        <v>570</v>
      </c>
      <c r="K19" s="334"/>
      <c r="L19" s="334"/>
      <c r="M19" s="334">
        <v>570</v>
      </c>
      <c r="N19" s="334"/>
      <c r="O19" s="334"/>
      <c r="P19" s="334"/>
      <c r="Q19" s="334"/>
      <c r="R19" s="334"/>
      <c r="S19" s="334"/>
      <c r="T19" s="334"/>
      <c r="U19" s="334"/>
      <c r="V19" s="784"/>
      <c r="W19" s="784"/>
      <c r="X19" s="784"/>
      <c r="AB19" s="162"/>
      <c r="AC19" s="446">
        <v>10.1</v>
      </c>
      <c r="AD19" s="447"/>
      <c r="AE19" s="447"/>
      <c r="AF19" s="448"/>
      <c r="AG19" s="452" t="s">
        <v>51</v>
      </c>
      <c r="AH19" s="453"/>
      <c r="AI19" s="453"/>
      <c r="AJ19" s="454"/>
      <c r="AK19" s="421">
        <f>108/166</f>
        <v>0.6506024096385542</v>
      </c>
      <c r="AL19" s="416"/>
      <c r="AM19" s="417"/>
      <c r="AN19" s="415">
        <v>0</v>
      </c>
      <c r="AO19" s="416"/>
      <c r="AP19" s="442"/>
      <c r="AQ19" s="421">
        <v>0</v>
      </c>
      <c r="AR19" s="416"/>
      <c r="AS19" s="417"/>
      <c r="AT19" s="415">
        <v>0</v>
      </c>
      <c r="AU19" s="416"/>
      <c r="AV19" s="442"/>
      <c r="AW19" s="421"/>
      <c r="AX19" s="416"/>
      <c r="AY19" s="417"/>
      <c r="AZ19" s="415"/>
      <c r="BA19" s="416"/>
      <c r="BB19" s="417"/>
      <c r="BE19" s="187">
        <v>17</v>
      </c>
      <c r="BF19" s="317" t="s">
        <v>596</v>
      </c>
      <c r="BG19" s="317"/>
      <c r="BH19" s="317" t="s">
        <v>684</v>
      </c>
      <c r="BI19" s="317"/>
      <c r="BJ19" s="317"/>
      <c r="BK19" s="318"/>
      <c r="BL19" s="215"/>
      <c r="BM19" s="209"/>
      <c r="BN19" s="209"/>
      <c r="BO19" s="209"/>
      <c r="BP19" s="209"/>
      <c r="BQ19" s="210"/>
      <c r="BR19" s="319" t="s">
        <v>595</v>
      </c>
      <c r="BS19" s="317"/>
      <c r="BT19" s="317"/>
      <c r="BU19" s="320"/>
      <c r="BW19" s="285" t="b">
        <v>0</v>
      </c>
      <c r="BX19" s="178" t="s">
        <v>100</v>
      </c>
      <c r="BY19" s="178"/>
      <c r="BZ19" s="178"/>
      <c r="CA19" s="178"/>
      <c r="CB19" s="178"/>
      <c r="CC19" s="178"/>
      <c r="CD19" s="178"/>
      <c r="CE19" s="178"/>
      <c r="CF19" s="178"/>
      <c r="CG19" s="178"/>
      <c r="CH19" s="178"/>
    </row>
    <row r="20" spans="2:86" ht="22.5" customHeight="1">
      <c r="B20" s="338" t="s">
        <v>33</v>
      </c>
      <c r="C20" s="339"/>
      <c r="D20" s="339"/>
      <c r="E20" s="339"/>
      <c r="F20" s="340"/>
      <c r="G20" s="341">
        <f>G19/600</f>
        <v>0.95</v>
      </c>
      <c r="H20" s="341"/>
      <c r="I20" s="341"/>
      <c r="J20" s="341">
        <f>J19/600</f>
        <v>0.95</v>
      </c>
      <c r="K20" s="341"/>
      <c r="L20" s="341"/>
      <c r="M20" s="341">
        <v>0.95</v>
      </c>
      <c r="N20" s="341"/>
      <c r="O20" s="341"/>
      <c r="P20" s="341"/>
      <c r="Q20" s="341"/>
      <c r="R20" s="341"/>
      <c r="S20" s="341"/>
      <c r="T20" s="341"/>
      <c r="U20" s="341"/>
      <c r="V20" s="786"/>
      <c r="W20" s="786"/>
      <c r="X20" s="786"/>
      <c r="AB20" s="162"/>
      <c r="AC20" s="446"/>
      <c r="AD20" s="447"/>
      <c r="AE20" s="447"/>
      <c r="AF20" s="448"/>
      <c r="AG20" s="439" t="s">
        <v>232</v>
      </c>
      <c r="AH20" s="440"/>
      <c r="AI20" s="440"/>
      <c r="AJ20" s="441"/>
      <c r="AK20" s="410">
        <v>0</v>
      </c>
      <c r="AL20" s="411"/>
      <c r="AM20" s="412"/>
      <c r="AN20" s="413"/>
      <c r="AO20" s="411"/>
      <c r="AP20" s="414"/>
      <c r="AQ20" s="410"/>
      <c r="AR20" s="411"/>
      <c r="AS20" s="412"/>
      <c r="AT20" s="413"/>
      <c r="AU20" s="411"/>
      <c r="AV20" s="414"/>
      <c r="AW20" s="410"/>
      <c r="AX20" s="411"/>
      <c r="AY20" s="412"/>
      <c r="AZ20" s="413"/>
      <c r="BA20" s="411"/>
      <c r="BB20" s="412"/>
      <c r="BE20" s="187">
        <v>18</v>
      </c>
      <c r="BF20" s="317" t="s">
        <v>596</v>
      </c>
      <c r="BG20" s="317"/>
      <c r="BH20" s="317" t="s">
        <v>685</v>
      </c>
      <c r="BI20" s="317"/>
      <c r="BJ20" s="317"/>
      <c r="BK20" s="318"/>
      <c r="BL20" s="215"/>
      <c r="BM20" s="209"/>
      <c r="BN20" s="209"/>
      <c r="BO20" s="209"/>
      <c r="BP20" s="209"/>
      <c r="BQ20" s="210"/>
      <c r="BR20" s="319" t="s">
        <v>595</v>
      </c>
      <c r="BS20" s="317"/>
      <c r="BT20" s="317"/>
      <c r="BU20" s="320"/>
      <c r="BW20" s="285" t="b">
        <v>0</v>
      </c>
      <c r="BX20" s="178" t="s">
        <v>98</v>
      </c>
      <c r="BY20" s="178"/>
      <c r="BZ20" s="178"/>
      <c r="CA20" s="194"/>
      <c r="CB20" s="193"/>
      <c r="CC20" s="178"/>
      <c r="CD20" s="178"/>
      <c r="CE20" s="178"/>
      <c r="CF20" s="178"/>
      <c r="CG20" s="178"/>
      <c r="CH20" s="178"/>
    </row>
    <row r="21" spans="2:86" ht="22.5" customHeight="1" thickBot="1">
      <c r="B21" s="858" t="s">
        <v>783</v>
      </c>
      <c r="C21" s="775"/>
      <c r="D21" s="775"/>
      <c r="E21" s="775"/>
      <c r="F21" s="859"/>
      <c r="G21" s="334">
        <v>570</v>
      </c>
      <c r="H21" s="334"/>
      <c r="I21" s="334"/>
      <c r="J21" s="334">
        <v>570</v>
      </c>
      <c r="K21" s="334"/>
      <c r="L21" s="334"/>
      <c r="M21" s="334">
        <v>570</v>
      </c>
      <c r="N21" s="334"/>
      <c r="O21" s="334"/>
      <c r="P21" s="860"/>
      <c r="Q21" s="860"/>
      <c r="R21" s="860"/>
      <c r="S21" s="860"/>
      <c r="T21" s="860"/>
      <c r="U21" s="860"/>
      <c r="V21" s="786"/>
      <c r="W21" s="786"/>
      <c r="X21" s="786"/>
      <c r="AB21" s="162"/>
      <c r="AC21" s="446"/>
      <c r="AD21" s="447"/>
      <c r="AE21" s="447"/>
      <c r="AF21" s="448"/>
      <c r="AG21" s="443" t="s">
        <v>233</v>
      </c>
      <c r="AH21" s="444"/>
      <c r="AI21" s="444"/>
      <c r="AJ21" s="445"/>
      <c r="AK21" s="421">
        <f>357/166</f>
        <v>2.1506024096385543</v>
      </c>
      <c r="AL21" s="416"/>
      <c r="AM21" s="417"/>
      <c r="AN21" s="415"/>
      <c r="AO21" s="416"/>
      <c r="AP21" s="442"/>
      <c r="AQ21" s="421"/>
      <c r="AR21" s="416"/>
      <c r="AS21" s="417"/>
      <c r="AT21" s="415"/>
      <c r="AU21" s="416"/>
      <c r="AV21" s="442"/>
      <c r="AW21" s="421"/>
      <c r="AX21" s="416"/>
      <c r="AY21" s="417"/>
      <c r="AZ21" s="415"/>
      <c r="BA21" s="416"/>
      <c r="BB21" s="417"/>
      <c r="BE21" s="187">
        <v>19</v>
      </c>
      <c r="BF21" s="317"/>
      <c r="BG21" s="317"/>
      <c r="BH21" s="317"/>
      <c r="BI21" s="317"/>
      <c r="BJ21" s="317"/>
      <c r="BK21" s="318"/>
      <c r="BL21" s="215"/>
      <c r="BM21" s="209"/>
      <c r="BN21" s="209"/>
      <c r="BO21" s="209"/>
      <c r="BP21" s="209"/>
      <c r="BQ21" s="210"/>
      <c r="BR21" s="319"/>
      <c r="BS21" s="317"/>
      <c r="BT21" s="317"/>
      <c r="BU21" s="320"/>
      <c r="BW21" s="285" t="b">
        <v>0</v>
      </c>
      <c r="BX21" s="178" t="s">
        <v>99</v>
      </c>
      <c r="BY21" s="178"/>
      <c r="BZ21" s="178"/>
      <c r="CA21" s="194"/>
      <c r="CB21" s="193"/>
      <c r="CC21" s="178"/>
      <c r="CD21" s="178"/>
      <c r="CE21" s="178"/>
      <c r="CF21" s="178"/>
      <c r="CG21" s="178"/>
      <c r="CH21" s="178"/>
    </row>
    <row r="22" spans="2:86" ht="22.5" customHeight="1" thickTop="1">
      <c r="B22" s="338" t="s">
        <v>784</v>
      </c>
      <c r="C22" s="339"/>
      <c r="D22" s="339"/>
      <c r="E22" s="339"/>
      <c r="F22" s="340"/>
      <c r="G22" s="341">
        <f>G21/600</f>
        <v>0.95</v>
      </c>
      <c r="H22" s="341"/>
      <c r="I22" s="341"/>
      <c r="J22" s="341">
        <f>J21/600</f>
        <v>0.95</v>
      </c>
      <c r="K22" s="341"/>
      <c r="L22" s="341"/>
      <c r="M22" s="341">
        <f>M21/600</f>
        <v>0.95</v>
      </c>
      <c r="N22" s="341"/>
      <c r="O22" s="341"/>
      <c r="P22" s="341"/>
      <c r="Q22" s="341"/>
      <c r="R22" s="341"/>
      <c r="S22" s="341"/>
      <c r="T22" s="341"/>
      <c r="U22" s="341"/>
      <c r="V22" s="786"/>
      <c r="W22" s="786"/>
      <c r="X22" s="786"/>
      <c r="AB22" s="162"/>
      <c r="AC22" s="449"/>
      <c r="AD22" s="450"/>
      <c r="AE22" s="450"/>
      <c r="AF22" s="451"/>
      <c r="AG22" s="418" t="s">
        <v>235</v>
      </c>
      <c r="AH22" s="419"/>
      <c r="AI22" s="419"/>
      <c r="AJ22" s="420"/>
      <c r="AK22" s="462">
        <f>IFERROR((AK20+AK21)/AK17,"")</f>
        <v>0.20879635045034506</v>
      </c>
      <c r="AL22" s="463"/>
      <c r="AM22" s="464"/>
      <c r="AN22" s="462">
        <f>IFERROR((AN20+AN21)/AN17,"")</f>
        <v>0</v>
      </c>
      <c r="AO22" s="463"/>
      <c r="AP22" s="464"/>
      <c r="AQ22" s="462">
        <f>IFERROR((AQ20+AQ21)/AQ17,"")</f>
        <v>0</v>
      </c>
      <c r="AR22" s="463"/>
      <c r="AS22" s="464"/>
      <c r="AT22" s="462">
        <f>IFERROR((AT20+AT21)/AT17,"")</f>
        <v>0</v>
      </c>
      <c r="AU22" s="463"/>
      <c r="AV22" s="464"/>
      <c r="AW22" s="462" t="str">
        <f>IFERROR((AW20+AW21)/AW17,"")</f>
        <v/>
      </c>
      <c r="AX22" s="463"/>
      <c r="AY22" s="464"/>
      <c r="AZ22" s="462" t="str">
        <f>IFERROR((AZ20+AZ21)/AZ17,"")</f>
        <v/>
      </c>
      <c r="BA22" s="463"/>
      <c r="BB22" s="464"/>
      <c r="BE22" s="187">
        <v>20</v>
      </c>
      <c r="BF22" s="317"/>
      <c r="BG22" s="317"/>
      <c r="BH22" s="317"/>
      <c r="BI22" s="317"/>
      <c r="BJ22" s="317"/>
      <c r="BK22" s="318"/>
      <c r="BL22" s="215"/>
      <c r="BM22" s="209"/>
      <c r="BN22" s="209"/>
      <c r="BO22" s="209"/>
      <c r="BP22" s="209"/>
      <c r="BQ22" s="210"/>
      <c r="BR22" s="319"/>
      <c r="BS22" s="317"/>
      <c r="BT22" s="317"/>
      <c r="BU22" s="320"/>
      <c r="BW22" s="285" t="b">
        <v>0</v>
      </c>
      <c r="BX22" s="192" t="s">
        <v>95</v>
      </c>
      <c r="BY22" s="178"/>
      <c r="BZ22" s="178"/>
      <c r="CA22" s="194"/>
      <c r="CB22" s="193"/>
      <c r="CC22" s="178"/>
      <c r="CD22" s="178"/>
      <c r="CE22" s="178"/>
      <c r="CF22" s="178"/>
      <c r="CG22" s="178"/>
      <c r="CH22" s="178"/>
    </row>
    <row r="23" spans="2:86" ht="22.5" customHeight="1">
      <c r="B23" s="335" t="s">
        <v>224</v>
      </c>
      <c r="C23" s="336"/>
      <c r="D23" s="336"/>
      <c r="E23" s="336"/>
      <c r="F23" s="337"/>
      <c r="G23" s="860">
        <v>61</v>
      </c>
      <c r="H23" s="860"/>
      <c r="I23" s="860"/>
      <c r="J23" s="860">
        <v>65</v>
      </c>
      <c r="K23" s="860"/>
      <c r="L23" s="860"/>
      <c r="M23" s="860">
        <v>60</v>
      </c>
      <c r="N23" s="860"/>
      <c r="O23" s="860"/>
      <c r="P23" s="860"/>
      <c r="Q23" s="860"/>
      <c r="R23" s="860"/>
      <c r="S23" s="860"/>
      <c r="T23" s="860"/>
      <c r="U23" s="860"/>
      <c r="V23" s="782" t="str">
        <f ca="1">IFERROR(INDEX(INDIRECT("'"&amp;#REF!&amp;"'!L:L"),MATCH($D$1,INDIRECT("'"&amp;#REF!&amp;"'!A:A"),0)),"")</f>
        <v/>
      </c>
      <c r="W23" s="782"/>
      <c r="X23" s="782"/>
      <c r="AB23" s="162"/>
      <c r="BE23" s="187">
        <v>21</v>
      </c>
      <c r="BF23" s="317"/>
      <c r="BG23" s="317"/>
      <c r="BH23" s="317"/>
      <c r="BI23" s="317"/>
      <c r="BJ23" s="317"/>
      <c r="BK23" s="318"/>
      <c r="BL23" s="215"/>
      <c r="BM23" s="209"/>
      <c r="BN23" s="209"/>
      <c r="BO23" s="209"/>
      <c r="BP23" s="209"/>
      <c r="BQ23" s="210"/>
      <c r="BR23" s="319"/>
      <c r="BS23" s="317"/>
      <c r="BT23" s="317"/>
      <c r="BU23" s="320"/>
      <c r="BW23" s="285" t="b">
        <v>0</v>
      </c>
      <c r="BX23" s="192" t="s">
        <v>94</v>
      </c>
      <c r="BY23" s="178"/>
      <c r="BZ23" s="178"/>
      <c r="CA23" s="194"/>
      <c r="CB23" s="193"/>
      <c r="CC23" s="178"/>
      <c r="CD23" s="178"/>
      <c r="CE23" s="178"/>
      <c r="CF23" s="178"/>
      <c r="CG23" s="178"/>
      <c r="CH23" s="178"/>
    </row>
    <row r="24" spans="2:86" ht="22.5" customHeight="1">
      <c r="B24" s="338" t="s">
        <v>34</v>
      </c>
      <c r="C24" s="339"/>
      <c r="D24" s="339"/>
      <c r="E24" s="339"/>
      <c r="F24" s="340"/>
      <c r="G24" s="341">
        <f>G23/60</f>
        <v>1.0166666666666666</v>
      </c>
      <c r="H24" s="341"/>
      <c r="I24" s="341"/>
      <c r="J24" s="341">
        <f>J23/60</f>
        <v>1.0833333333333333</v>
      </c>
      <c r="K24" s="341"/>
      <c r="L24" s="341"/>
      <c r="M24" s="341">
        <f>M23/60</f>
        <v>1</v>
      </c>
      <c r="N24" s="341"/>
      <c r="O24" s="341"/>
      <c r="P24" s="341"/>
      <c r="Q24" s="341"/>
      <c r="R24" s="341"/>
      <c r="S24" s="341"/>
      <c r="T24" s="341"/>
      <c r="U24" s="341"/>
      <c r="V24" s="786"/>
      <c r="W24" s="786"/>
      <c r="X24" s="786"/>
      <c r="AC24" s="182" t="s">
        <v>240</v>
      </c>
      <c r="AD24" s="182"/>
      <c r="AE24" s="182"/>
      <c r="AF24" s="182"/>
      <c r="AG24" s="182"/>
      <c r="AH24" s="182"/>
      <c r="AI24" s="183"/>
      <c r="AJ24" s="183"/>
      <c r="AK24" s="183"/>
      <c r="AL24" s="183"/>
      <c r="AM24" s="183"/>
      <c r="AN24" s="183"/>
      <c r="AO24" s="184"/>
      <c r="AP24" s="184"/>
      <c r="AQ24" s="184"/>
      <c r="AR24" s="184"/>
      <c r="AS24" s="185"/>
      <c r="AT24" s="185"/>
      <c r="AU24" s="185"/>
      <c r="AV24" s="185"/>
      <c r="AW24" s="186"/>
      <c r="AX24" s="186"/>
      <c r="AY24" s="186"/>
      <c r="AZ24" s="186"/>
      <c r="BA24" s="179"/>
      <c r="BB24" s="179"/>
      <c r="BE24" s="187">
        <v>22</v>
      </c>
      <c r="BF24" s="317"/>
      <c r="BG24" s="317"/>
      <c r="BH24" s="317"/>
      <c r="BI24" s="317"/>
      <c r="BJ24" s="317"/>
      <c r="BK24" s="318"/>
      <c r="BL24" s="215"/>
      <c r="BM24" s="209"/>
      <c r="BN24" s="209"/>
      <c r="BO24" s="209"/>
      <c r="BP24" s="209"/>
      <c r="BQ24" s="210"/>
      <c r="BR24" s="319"/>
      <c r="BS24" s="317"/>
      <c r="BT24" s="317"/>
      <c r="BU24" s="320"/>
      <c r="BW24" s="285" t="b">
        <v>0</v>
      </c>
      <c r="BX24" s="192" t="s">
        <v>93</v>
      </c>
      <c r="BY24" s="178"/>
      <c r="BZ24" s="178"/>
      <c r="CA24" s="194"/>
      <c r="CB24" s="193"/>
      <c r="CC24" s="178"/>
      <c r="CD24" s="178"/>
      <c r="CE24" s="178"/>
      <c r="CF24" s="178"/>
      <c r="CG24" s="178"/>
      <c r="CH24" s="178"/>
    </row>
    <row r="25" spans="2:86" ht="22.5" customHeight="1">
      <c r="B25" s="779"/>
      <c r="C25" s="779"/>
      <c r="D25" s="779"/>
      <c r="E25" s="779"/>
      <c r="F25" s="779"/>
      <c r="G25" s="780"/>
      <c r="H25" s="780"/>
      <c r="I25" s="780"/>
      <c r="J25" s="780"/>
      <c r="K25" s="780"/>
      <c r="L25" s="780"/>
      <c r="M25" s="780"/>
      <c r="N25" s="780"/>
      <c r="O25" s="780"/>
      <c r="P25" s="780"/>
      <c r="Q25" s="780"/>
      <c r="R25" s="780"/>
      <c r="S25" s="780"/>
      <c r="T25" s="780"/>
      <c r="U25" s="780"/>
      <c r="V25" s="713"/>
      <c r="W25" s="713"/>
      <c r="X25" s="713"/>
      <c r="AB25" s="167"/>
      <c r="AC25" s="473"/>
      <c r="AD25" s="474"/>
      <c r="AE25" s="377" t="s">
        <v>254</v>
      </c>
      <c r="AF25" s="378"/>
      <c r="AG25" s="378"/>
      <c r="AH25" s="379"/>
      <c r="AI25" s="380" t="s">
        <v>255</v>
      </c>
      <c r="AJ25" s="378"/>
      <c r="AK25" s="378"/>
      <c r="AL25" s="381"/>
      <c r="AM25" s="377" t="s">
        <v>58</v>
      </c>
      <c r="AN25" s="378"/>
      <c r="AO25" s="378"/>
      <c r="AP25" s="379"/>
      <c r="AQ25" s="380" t="s">
        <v>14</v>
      </c>
      <c r="AR25" s="378"/>
      <c r="AS25" s="378"/>
      <c r="AT25" s="381"/>
      <c r="AU25" s="377" t="s">
        <v>22</v>
      </c>
      <c r="AV25" s="378"/>
      <c r="AW25" s="378"/>
      <c r="AX25" s="379"/>
      <c r="AY25" s="380" t="s">
        <v>1</v>
      </c>
      <c r="AZ25" s="378"/>
      <c r="BA25" s="378"/>
      <c r="BB25" s="379"/>
      <c r="BE25" s="187">
        <v>23</v>
      </c>
      <c r="BF25" s="317"/>
      <c r="BG25" s="317"/>
      <c r="BH25" s="317"/>
      <c r="BI25" s="317"/>
      <c r="BJ25" s="317"/>
      <c r="BK25" s="318"/>
      <c r="BL25" s="215"/>
      <c r="BM25" s="209"/>
      <c r="BN25" s="209"/>
      <c r="BO25" s="209"/>
      <c r="BP25" s="209"/>
      <c r="BQ25" s="210"/>
      <c r="BR25" s="319"/>
      <c r="BS25" s="317"/>
      <c r="BT25" s="317"/>
      <c r="BU25" s="320"/>
      <c r="BW25" s="285" t="b">
        <v>0</v>
      </c>
      <c r="BX25" s="192" t="s">
        <v>92</v>
      </c>
      <c r="BY25" s="178"/>
      <c r="BZ25" s="178"/>
      <c r="CA25" s="194"/>
      <c r="CB25" s="193"/>
      <c r="CC25" s="178"/>
      <c r="CD25" s="178"/>
      <c r="CE25" s="178"/>
      <c r="CF25" s="178"/>
      <c r="CG25" s="178"/>
      <c r="CH25" s="178"/>
    </row>
    <row r="26" spans="2:86" ht="22.5" customHeight="1">
      <c r="B26" s="374" t="s">
        <v>787</v>
      </c>
      <c r="C26" s="375"/>
      <c r="D26" s="375"/>
      <c r="E26" s="375"/>
      <c r="F26" s="375"/>
      <c r="G26" s="375"/>
      <c r="H26" s="375"/>
      <c r="I26" s="376"/>
      <c r="J26" s="377" t="s">
        <v>254</v>
      </c>
      <c r="K26" s="378"/>
      <c r="L26" s="379"/>
      <c r="M26" s="380" t="s">
        <v>27</v>
      </c>
      <c r="N26" s="378"/>
      <c r="O26" s="381"/>
      <c r="P26" s="377" t="s">
        <v>226</v>
      </c>
      <c r="Q26" s="378"/>
      <c r="R26" s="379"/>
      <c r="S26" s="380" t="s">
        <v>14</v>
      </c>
      <c r="T26" s="378"/>
      <c r="U26" s="381"/>
      <c r="V26" s="377" t="s">
        <v>22</v>
      </c>
      <c r="W26" s="378"/>
      <c r="X26" s="379"/>
      <c r="Y26" s="380" t="s">
        <v>1</v>
      </c>
      <c r="Z26" s="378"/>
      <c r="AA26" s="379"/>
      <c r="AB26" s="167"/>
      <c r="AC26" s="475"/>
      <c r="AD26" s="476"/>
      <c r="AE26" s="458" t="s">
        <v>120</v>
      </c>
      <c r="AF26" s="459"/>
      <c r="AG26" s="459" t="s">
        <v>121</v>
      </c>
      <c r="AH26" s="460"/>
      <c r="AI26" s="470" t="s">
        <v>120</v>
      </c>
      <c r="AJ26" s="459"/>
      <c r="AK26" s="459" t="s">
        <v>121</v>
      </c>
      <c r="AL26" s="471"/>
      <c r="AM26" s="458" t="s">
        <v>120</v>
      </c>
      <c r="AN26" s="459"/>
      <c r="AO26" s="459" t="s">
        <v>121</v>
      </c>
      <c r="AP26" s="460"/>
      <c r="AQ26" s="470" t="s">
        <v>120</v>
      </c>
      <c r="AR26" s="459"/>
      <c r="AS26" s="459" t="s">
        <v>121</v>
      </c>
      <c r="AT26" s="471"/>
      <c r="AU26" s="458" t="s">
        <v>120</v>
      </c>
      <c r="AV26" s="459"/>
      <c r="AW26" s="459" t="s">
        <v>121</v>
      </c>
      <c r="AX26" s="460"/>
      <c r="AY26" s="470" t="s">
        <v>120</v>
      </c>
      <c r="AZ26" s="459"/>
      <c r="BA26" s="459" t="s">
        <v>121</v>
      </c>
      <c r="BB26" s="460"/>
      <c r="BE26" s="187">
        <v>24</v>
      </c>
      <c r="BF26" s="317"/>
      <c r="BG26" s="317"/>
      <c r="BH26" s="317"/>
      <c r="BI26" s="317"/>
      <c r="BJ26" s="317"/>
      <c r="BK26" s="318"/>
      <c r="BL26" s="215"/>
      <c r="BM26" s="209"/>
      <c r="BN26" s="209"/>
      <c r="BO26" s="209"/>
      <c r="BP26" s="209"/>
      <c r="BQ26" s="210"/>
      <c r="BR26" s="319"/>
      <c r="BS26" s="317"/>
      <c r="BT26" s="317"/>
      <c r="BU26" s="320"/>
      <c r="BW26" s="285" t="b">
        <v>0</v>
      </c>
      <c r="BX26" s="192" t="s">
        <v>91</v>
      </c>
      <c r="BY26" s="178"/>
      <c r="BZ26" s="178"/>
      <c r="CA26" s="194"/>
      <c r="CB26" s="193"/>
      <c r="CC26" s="178"/>
      <c r="CD26" s="178"/>
      <c r="CE26" s="178"/>
      <c r="CF26" s="178"/>
      <c r="CG26" s="178"/>
      <c r="CH26" s="178"/>
    </row>
    <row r="27" spans="2:86" ht="22.5" customHeight="1">
      <c r="B27" s="819" t="s">
        <v>790</v>
      </c>
      <c r="C27" s="820"/>
      <c r="D27" s="820"/>
      <c r="E27" s="821"/>
      <c r="F27" s="808" t="s">
        <v>50</v>
      </c>
      <c r="G27" s="809"/>
      <c r="H27" s="809"/>
      <c r="I27" s="810"/>
      <c r="J27" s="798"/>
      <c r="K27" s="799"/>
      <c r="L27" s="800"/>
      <c r="M27" s="801"/>
      <c r="N27" s="802"/>
      <c r="O27" s="803"/>
      <c r="P27" s="801"/>
      <c r="Q27" s="802"/>
      <c r="R27" s="803"/>
      <c r="S27" s="804"/>
      <c r="T27" s="790"/>
      <c r="U27" s="805"/>
      <c r="V27" s="789"/>
      <c r="W27" s="790"/>
      <c r="X27" s="791"/>
      <c r="Y27" s="804"/>
      <c r="Z27" s="790"/>
      <c r="AA27" s="791"/>
      <c r="AB27" s="167"/>
      <c r="AC27" s="324" t="s">
        <v>117</v>
      </c>
      <c r="AD27" s="467"/>
      <c r="AE27" s="468">
        <v>17</v>
      </c>
      <c r="AF27" s="469"/>
      <c r="AG27" s="469">
        <v>1</v>
      </c>
      <c r="AH27" s="489"/>
      <c r="AI27" s="482"/>
      <c r="AJ27" s="469"/>
      <c r="AK27" s="469"/>
      <c r="AL27" s="488"/>
      <c r="AM27" s="468"/>
      <c r="AN27" s="469"/>
      <c r="AO27" s="469"/>
      <c r="AP27" s="489"/>
      <c r="AQ27" s="482"/>
      <c r="AR27" s="469"/>
      <c r="AS27" s="469"/>
      <c r="AT27" s="488"/>
      <c r="AU27" s="468"/>
      <c r="AV27" s="469"/>
      <c r="AW27" s="469"/>
      <c r="AX27" s="489"/>
      <c r="AY27" s="482"/>
      <c r="AZ27" s="469"/>
      <c r="BA27" s="469"/>
      <c r="BB27" s="489"/>
      <c r="BE27" s="187">
        <v>25</v>
      </c>
      <c r="BF27" s="317"/>
      <c r="BG27" s="317"/>
      <c r="BH27" s="317"/>
      <c r="BI27" s="317"/>
      <c r="BJ27" s="317"/>
      <c r="BK27" s="318"/>
      <c r="BL27" s="215"/>
      <c r="BM27" s="209"/>
      <c r="BN27" s="209"/>
      <c r="BO27" s="209"/>
      <c r="BP27" s="209"/>
      <c r="BQ27" s="210"/>
      <c r="BR27" s="319"/>
      <c r="BS27" s="317"/>
      <c r="BT27" s="317"/>
      <c r="BU27" s="320"/>
      <c r="BW27" s="285" t="b">
        <v>0</v>
      </c>
      <c r="BX27" s="178" t="s">
        <v>90</v>
      </c>
      <c r="BY27" s="178"/>
      <c r="BZ27" s="178"/>
      <c r="CA27" s="194"/>
      <c r="CB27" s="193"/>
      <c r="CC27" s="178"/>
      <c r="CD27" s="178"/>
      <c r="CE27" s="178"/>
      <c r="CF27" s="178"/>
      <c r="CG27" s="178"/>
      <c r="CH27" s="178"/>
    </row>
    <row r="28" spans="2:86" ht="22.5" customHeight="1">
      <c r="B28" s="822"/>
      <c r="C28" s="823"/>
      <c r="D28" s="823"/>
      <c r="E28" s="824"/>
      <c r="F28" s="808" t="s">
        <v>50</v>
      </c>
      <c r="G28" s="809"/>
      <c r="H28" s="809"/>
      <c r="I28" s="810"/>
      <c r="J28" s="801"/>
      <c r="K28" s="802"/>
      <c r="L28" s="803"/>
      <c r="M28" s="801"/>
      <c r="N28" s="802"/>
      <c r="O28" s="803"/>
      <c r="P28" s="801"/>
      <c r="Q28" s="802"/>
      <c r="R28" s="803"/>
      <c r="S28" s="806"/>
      <c r="T28" s="793"/>
      <c r="U28" s="807"/>
      <c r="V28" s="792"/>
      <c r="W28" s="793"/>
      <c r="X28" s="794"/>
      <c r="Y28" s="806"/>
      <c r="Z28" s="793"/>
      <c r="AA28" s="794"/>
      <c r="AC28" s="486" t="s">
        <v>118</v>
      </c>
      <c r="AD28" s="487"/>
      <c r="AE28" s="427">
        <v>0</v>
      </c>
      <c r="AF28" s="426"/>
      <c r="AG28" s="426">
        <v>0</v>
      </c>
      <c r="AH28" s="428"/>
      <c r="AI28" s="423"/>
      <c r="AJ28" s="426"/>
      <c r="AK28" s="426"/>
      <c r="AL28" s="424"/>
      <c r="AM28" s="427"/>
      <c r="AN28" s="426"/>
      <c r="AO28" s="426"/>
      <c r="AP28" s="428"/>
      <c r="AQ28" s="423"/>
      <c r="AR28" s="426"/>
      <c r="AS28" s="426"/>
      <c r="AT28" s="424"/>
      <c r="AU28" s="427"/>
      <c r="AV28" s="426"/>
      <c r="AW28" s="426"/>
      <c r="AX28" s="428"/>
      <c r="AY28" s="423"/>
      <c r="AZ28" s="426"/>
      <c r="BA28" s="426"/>
      <c r="BB28" s="428"/>
      <c r="BE28" s="187">
        <v>26</v>
      </c>
      <c r="BF28" s="317"/>
      <c r="BG28" s="317"/>
      <c r="BH28" s="317"/>
      <c r="BI28" s="317"/>
      <c r="BJ28" s="317"/>
      <c r="BK28" s="318"/>
      <c r="BL28" s="215"/>
      <c r="BM28" s="209"/>
      <c r="BN28" s="209"/>
      <c r="BO28" s="209"/>
      <c r="BP28" s="209"/>
      <c r="BQ28" s="210"/>
      <c r="BR28" s="319"/>
      <c r="BS28" s="317"/>
      <c r="BT28" s="317"/>
      <c r="BU28" s="320"/>
      <c r="BW28" s="285" t="b">
        <v>0</v>
      </c>
      <c r="BX28" s="192" t="s">
        <v>101</v>
      </c>
      <c r="BY28" s="178"/>
      <c r="BZ28" s="178"/>
      <c r="CA28" s="194"/>
      <c r="CB28" s="193"/>
      <c r="CC28" s="178"/>
      <c r="CD28" s="178"/>
      <c r="CE28" s="178"/>
      <c r="CF28" s="178"/>
      <c r="CG28" s="178"/>
      <c r="CH28" s="178"/>
    </row>
    <row r="29" spans="2:86" ht="22.5" customHeight="1" thickBot="1">
      <c r="B29" s="825"/>
      <c r="C29" s="826"/>
      <c r="D29" s="826"/>
      <c r="E29" s="827"/>
      <c r="F29" s="811" t="s">
        <v>789</v>
      </c>
      <c r="G29" s="812"/>
      <c r="H29" s="812"/>
      <c r="I29" s="813"/>
      <c r="J29" s="795">
        <v>452</v>
      </c>
      <c r="K29" s="796"/>
      <c r="L29" s="797"/>
      <c r="M29" s="795">
        <v>394</v>
      </c>
      <c r="N29" s="796"/>
      <c r="O29" s="797"/>
      <c r="P29" s="795">
        <v>202</v>
      </c>
      <c r="Q29" s="796"/>
      <c r="R29" s="797"/>
      <c r="S29" s="814"/>
      <c r="T29" s="796"/>
      <c r="U29" s="830"/>
      <c r="V29" s="795"/>
      <c r="W29" s="796"/>
      <c r="X29" s="797"/>
      <c r="Y29" s="814"/>
      <c r="Z29" s="796"/>
      <c r="AA29" s="797"/>
      <c r="AC29" s="508" t="s">
        <v>119</v>
      </c>
      <c r="AD29" s="509"/>
      <c r="AE29" s="507">
        <v>9</v>
      </c>
      <c r="AF29" s="499"/>
      <c r="AG29" s="499">
        <v>0</v>
      </c>
      <c r="AH29" s="500"/>
      <c r="AI29" s="505"/>
      <c r="AJ29" s="499"/>
      <c r="AK29" s="499"/>
      <c r="AL29" s="506"/>
      <c r="AM29" s="507"/>
      <c r="AN29" s="499"/>
      <c r="AO29" s="499"/>
      <c r="AP29" s="500"/>
      <c r="AQ29" s="505"/>
      <c r="AR29" s="499"/>
      <c r="AS29" s="499"/>
      <c r="AT29" s="506"/>
      <c r="AU29" s="507"/>
      <c r="AV29" s="499"/>
      <c r="AW29" s="499"/>
      <c r="AX29" s="500"/>
      <c r="AY29" s="505"/>
      <c r="AZ29" s="499"/>
      <c r="BA29" s="499"/>
      <c r="BB29" s="500"/>
      <c r="BE29" s="187">
        <v>27</v>
      </c>
      <c r="BF29" s="317"/>
      <c r="BG29" s="317"/>
      <c r="BH29" s="317"/>
      <c r="BI29" s="317"/>
      <c r="BJ29" s="317"/>
      <c r="BK29" s="318"/>
      <c r="BL29" s="215"/>
      <c r="BM29" s="209"/>
      <c r="BN29" s="209"/>
      <c r="BO29" s="209"/>
      <c r="BP29" s="209"/>
      <c r="BQ29" s="210"/>
      <c r="BR29" s="319"/>
      <c r="BS29" s="317"/>
      <c r="BT29" s="317"/>
      <c r="BU29" s="320"/>
      <c r="BW29" s="285" t="b">
        <v>0</v>
      </c>
      <c r="BX29" s="192" t="s">
        <v>83</v>
      </c>
      <c r="BY29" s="178"/>
      <c r="BZ29" s="178"/>
      <c r="CA29" s="178"/>
      <c r="CB29" s="178"/>
      <c r="CC29" s="178"/>
      <c r="CD29" s="178"/>
      <c r="CE29" s="178"/>
      <c r="CF29" s="178"/>
      <c r="CG29" s="178"/>
      <c r="CH29" s="178"/>
    </row>
    <row r="30" spans="2:86" ht="22.5" customHeight="1" thickTop="1" thickBot="1">
      <c r="B30" s="818" t="s">
        <v>788</v>
      </c>
      <c r="C30" s="818"/>
      <c r="D30" s="818"/>
      <c r="E30" s="818"/>
      <c r="F30" s="439" t="s">
        <v>785</v>
      </c>
      <c r="G30" s="440"/>
      <c r="H30" s="440"/>
      <c r="I30" s="441"/>
      <c r="J30" s="792">
        <v>352</v>
      </c>
      <c r="K30" s="793"/>
      <c r="L30" s="794"/>
      <c r="M30" s="806">
        <v>414</v>
      </c>
      <c r="N30" s="793"/>
      <c r="O30" s="807"/>
      <c r="P30" s="792">
        <v>756</v>
      </c>
      <c r="Q30" s="793"/>
      <c r="R30" s="794"/>
      <c r="S30" s="806"/>
      <c r="T30" s="793"/>
      <c r="U30" s="807"/>
      <c r="V30" s="792"/>
      <c r="W30" s="793"/>
      <c r="X30" s="794"/>
      <c r="Y30" s="806"/>
      <c r="Z30" s="793"/>
      <c r="AA30" s="794"/>
      <c r="AC30" s="501" t="s">
        <v>108</v>
      </c>
      <c r="AD30" s="502"/>
      <c r="AE30" s="497">
        <f>IF(SUM(AE27:AE29)=0,"",SUM(AE27:AE29))</f>
        <v>26</v>
      </c>
      <c r="AF30" s="495"/>
      <c r="AG30" s="495">
        <f>IF(SUM(AG27:AG29)=0,"",SUM(AG27:AG29))</f>
        <v>1</v>
      </c>
      <c r="AH30" s="498"/>
      <c r="AI30" s="497" t="str">
        <f>IF(SUM(AI27:AI29)=0,"",SUM(AI27:AI29))</f>
        <v/>
      </c>
      <c r="AJ30" s="495"/>
      <c r="AK30" s="495" t="str">
        <f>IF(SUM(AK27:AK29)=0,"",SUM(AK27:AK29))</f>
        <v/>
      </c>
      <c r="AL30" s="498"/>
      <c r="AM30" s="497" t="str">
        <f>IF(SUM(AM27:AM29)=0,"",SUM(AM27:AM29))</f>
        <v/>
      </c>
      <c r="AN30" s="495"/>
      <c r="AO30" s="495" t="str">
        <f>IF(SUM(AO27:AO29)=0,"",SUM(AO27:AO29))</f>
        <v/>
      </c>
      <c r="AP30" s="498"/>
      <c r="AQ30" s="494" t="str">
        <f>IF(SUM(AQ27:AQ29)=0,"",SUM(AQ27:AQ29))</f>
        <v/>
      </c>
      <c r="AR30" s="495"/>
      <c r="AS30" s="495" t="str">
        <f>IF(SUM(AS27:AS29)=0,"",SUM(AS27:AS29))</f>
        <v/>
      </c>
      <c r="AT30" s="496"/>
      <c r="AU30" s="497" t="str">
        <f>IF(SUM(AU27:AU29)=0,"",SUM(AU27:AU29))</f>
        <v/>
      </c>
      <c r="AV30" s="495"/>
      <c r="AW30" s="495" t="str">
        <f>IF(SUM(AW27:AW29)=0,"",SUM(AW27:AW29))</f>
        <v/>
      </c>
      <c r="AX30" s="498"/>
      <c r="AY30" s="494" t="str">
        <f>IF(SUM(AY27:AY29)=0,"",SUM(AY27:AY29))</f>
        <v/>
      </c>
      <c r="AZ30" s="495"/>
      <c r="BA30" s="495" t="str">
        <f>IF(SUM(BA27:BA29)=0,"",SUM(BA27:BA29))</f>
        <v/>
      </c>
      <c r="BB30" s="498"/>
      <c r="BE30" s="187">
        <v>28</v>
      </c>
      <c r="BF30" s="317"/>
      <c r="BG30" s="317"/>
      <c r="BH30" s="317"/>
      <c r="BI30" s="317"/>
      <c r="BJ30" s="317"/>
      <c r="BK30" s="318"/>
      <c r="BL30" s="215"/>
      <c r="BM30" s="209"/>
      <c r="BN30" s="209"/>
      <c r="BO30" s="209"/>
      <c r="BP30" s="209"/>
      <c r="BQ30" s="210"/>
      <c r="BR30" s="319"/>
      <c r="BS30" s="317"/>
      <c r="BT30" s="317"/>
      <c r="BU30" s="320"/>
      <c r="BW30" s="285" t="b">
        <v>0</v>
      </c>
      <c r="BX30" s="192" t="s">
        <v>84</v>
      </c>
      <c r="BY30" s="195"/>
      <c r="BZ30" s="196"/>
      <c r="CA30" s="196"/>
      <c r="CB30" s="196"/>
      <c r="CC30" s="196"/>
      <c r="CD30" s="196"/>
      <c r="CE30" s="196"/>
      <c r="CF30" s="196"/>
      <c r="CG30" s="196"/>
      <c r="CH30" s="178"/>
    </row>
    <row r="31" spans="2:86" ht="22.5" customHeight="1" thickBot="1">
      <c r="B31" s="818"/>
      <c r="C31" s="818"/>
      <c r="D31" s="818"/>
      <c r="E31" s="818"/>
      <c r="F31" s="443" t="s">
        <v>786</v>
      </c>
      <c r="G31" s="444"/>
      <c r="H31" s="444"/>
      <c r="I31" s="445"/>
      <c r="J31" s="828">
        <v>23</v>
      </c>
      <c r="K31" s="816"/>
      <c r="L31" s="817"/>
      <c r="M31" s="815">
        <v>30</v>
      </c>
      <c r="N31" s="816"/>
      <c r="O31" s="829"/>
      <c r="P31" s="828">
        <v>36</v>
      </c>
      <c r="Q31" s="816"/>
      <c r="R31" s="817"/>
      <c r="S31" s="815"/>
      <c r="T31" s="816"/>
      <c r="U31" s="829"/>
      <c r="V31" s="828"/>
      <c r="W31" s="816"/>
      <c r="X31" s="817"/>
      <c r="Y31" s="815"/>
      <c r="Z31" s="816"/>
      <c r="AA31" s="817"/>
      <c r="AC31" s="550" t="s">
        <v>122</v>
      </c>
      <c r="AD31" s="551"/>
      <c r="AE31" s="536">
        <f>IFERROR(AG30/AE30,"")</f>
        <v>3.8461538461538464E-2</v>
      </c>
      <c r="AF31" s="537"/>
      <c r="AG31" s="537"/>
      <c r="AH31" s="538"/>
      <c r="AI31" s="539" t="str">
        <f>IFERROR(AK30/AI30,"")</f>
        <v/>
      </c>
      <c r="AJ31" s="537"/>
      <c r="AK31" s="537"/>
      <c r="AL31" s="540"/>
      <c r="AM31" s="536" t="str">
        <f t="shared" ref="AM31" si="20">IFERROR(AO30/AM30,"")</f>
        <v/>
      </c>
      <c r="AN31" s="537"/>
      <c r="AO31" s="537"/>
      <c r="AP31" s="538"/>
      <c r="AQ31" s="539" t="str">
        <f>IFERROR(AS30/AQ30,"")</f>
        <v/>
      </c>
      <c r="AR31" s="537"/>
      <c r="AS31" s="537"/>
      <c r="AT31" s="540"/>
      <c r="AU31" s="536" t="str">
        <f t="shared" ref="AU31" si="21">IFERROR(AW30/AU30,"")</f>
        <v/>
      </c>
      <c r="AV31" s="537"/>
      <c r="AW31" s="537"/>
      <c r="AX31" s="538"/>
      <c r="AY31" s="539" t="str">
        <f t="shared" ref="AY31" si="22">IFERROR(BA30/AY30,"")</f>
        <v/>
      </c>
      <c r="AZ31" s="537"/>
      <c r="BA31" s="537"/>
      <c r="BB31" s="538"/>
      <c r="BE31" s="187">
        <v>29</v>
      </c>
      <c r="BF31" s="317"/>
      <c r="BG31" s="317"/>
      <c r="BH31" s="317"/>
      <c r="BI31" s="317"/>
      <c r="BJ31" s="317"/>
      <c r="BK31" s="318"/>
      <c r="BL31" s="215"/>
      <c r="BM31" s="209"/>
      <c r="BN31" s="209"/>
      <c r="BO31" s="209"/>
      <c r="BP31" s="209"/>
      <c r="BQ31" s="210"/>
      <c r="BR31" s="319"/>
      <c r="BS31" s="317"/>
      <c r="BT31" s="317"/>
      <c r="BU31" s="320"/>
      <c r="BW31" s="285" t="b">
        <v>0</v>
      </c>
      <c r="BX31" s="192" t="s">
        <v>85</v>
      </c>
      <c r="BY31" s="195"/>
      <c r="BZ31" s="196"/>
      <c r="CA31" s="196"/>
      <c r="CB31" s="196"/>
      <c r="CC31" s="196"/>
      <c r="CD31" s="196"/>
      <c r="CE31" s="196"/>
      <c r="CF31" s="196"/>
      <c r="CG31" s="196"/>
      <c r="CH31" s="178"/>
    </row>
    <row r="32" spans="2:86" ht="22.5" customHeight="1" thickTop="1">
      <c r="B32" s="257"/>
      <c r="C32" s="258"/>
      <c r="D32" s="258"/>
      <c r="E32" s="259"/>
      <c r="F32" s="418"/>
      <c r="G32" s="419"/>
      <c r="H32" s="419"/>
      <c r="I32" s="420"/>
      <c r="J32" s="462"/>
      <c r="K32" s="463"/>
      <c r="L32" s="464"/>
      <c r="M32" s="462"/>
      <c r="N32" s="463"/>
      <c r="O32" s="464"/>
      <c r="P32" s="462"/>
      <c r="Q32" s="463"/>
      <c r="R32" s="464"/>
      <c r="S32" s="462"/>
      <c r="T32" s="463"/>
      <c r="U32" s="464"/>
      <c r="V32" s="462"/>
      <c r="W32" s="463"/>
      <c r="X32" s="464"/>
      <c r="Y32" s="462"/>
      <c r="Z32" s="463"/>
      <c r="AA32" s="464"/>
      <c r="AC32" s="486" t="s">
        <v>124</v>
      </c>
      <c r="AD32" s="487"/>
      <c r="AE32" s="580">
        <v>1</v>
      </c>
      <c r="AF32" s="581"/>
      <c r="AG32" s="581"/>
      <c r="AH32" s="582"/>
      <c r="AI32" s="583"/>
      <c r="AJ32" s="581"/>
      <c r="AK32" s="581"/>
      <c r="AL32" s="584"/>
      <c r="AM32" s="580"/>
      <c r="AN32" s="581"/>
      <c r="AO32" s="581"/>
      <c r="AP32" s="582"/>
      <c r="AQ32" s="583"/>
      <c r="AR32" s="581"/>
      <c r="AS32" s="581"/>
      <c r="AT32" s="584"/>
      <c r="AU32" s="580"/>
      <c r="AV32" s="581"/>
      <c r="AW32" s="581"/>
      <c r="AX32" s="582"/>
      <c r="AY32" s="583"/>
      <c r="AZ32" s="581"/>
      <c r="BA32" s="581"/>
      <c r="BB32" s="582"/>
      <c r="BE32" s="188">
        <v>30</v>
      </c>
      <c r="BF32" s="534"/>
      <c r="BG32" s="534"/>
      <c r="BH32" s="534"/>
      <c r="BI32" s="534"/>
      <c r="BJ32" s="534"/>
      <c r="BK32" s="742"/>
      <c r="BL32" s="216"/>
      <c r="BM32" s="213"/>
      <c r="BN32" s="213"/>
      <c r="BO32" s="213"/>
      <c r="BP32" s="213"/>
      <c r="BQ32" s="214"/>
      <c r="BR32" s="707"/>
      <c r="BS32" s="534"/>
      <c r="BT32" s="534"/>
      <c r="BU32" s="535"/>
      <c r="BW32" s="285" t="b">
        <v>0</v>
      </c>
      <c r="BX32" s="178" t="s">
        <v>65</v>
      </c>
      <c r="BY32" s="195"/>
      <c r="BZ32" s="196"/>
      <c r="CA32" s="196"/>
      <c r="CB32" s="196"/>
      <c r="CC32" s="196"/>
      <c r="CD32" s="196"/>
      <c r="CE32" s="196"/>
      <c r="CF32" s="196"/>
      <c r="CG32" s="196"/>
      <c r="CH32" s="178"/>
    </row>
    <row r="33" spans="2:87" ht="22.5" customHeight="1">
      <c r="B33" s="178"/>
      <c r="C33" s="178"/>
      <c r="D33" s="178"/>
      <c r="E33" s="178"/>
      <c r="F33" s="178"/>
      <c r="G33" s="588"/>
      <c r="H33" s="588"/>
      <c r="I33" s="588"/>
      <c r="J33" s="588"/>
      <c r="K33" s="588"/>
      <c r="L33" s="588"/>
      <c r="M33" s="588"/>
      <c r="N33" s="588"/>
      <c r="O33" s="588"/>
      <c r="P33" s="588"/>
      <c r="Q33" s="588"/>
      <c r="R33" s="588"/>
      <c r="S33" s="588"/>
      <c r="T33" s="588"/>
      <c r="U33" s="588"/>
      <c r="V33" s="588"/>
      <c r="W33" s="588"/>
      <c r="X33" s="588"/>
      <c r="AC33" s="575" t="s">
        <v>123</v>
      </c>
      <c r="AD33" s="576"/>
      <c r="AE33" s="552">
        <f>IFERROR(AE32/AG30,"")</f>
        <v>1</v>
      </c>
      <c r="AF33" s="553"/>
      <c r="AG33" s="553"/>
      <c r="AH33" s="554"/>
      <c r="AI33" s="552" t="str">
        <f>IFERROR(AI32/AK30,"")</f>
        <v/>
      </c>
      <c r="AJ33" s="553"/>
      <c r="AK33" s="553"/>
      <c r="AL33" s="554"/>
      <c r="AM33" s="552" t="str">
        <f>IFERROR(AM32/AO30,"")</f>
        <v/>
      </c>
      <c r="AN33" s="553"/>
      <c r="AO33" s="553"/>
      <c r="AP33" s="554"/>
      <c r="AQ33" s="552" t="str">
        <f>IFERROR(AQ32/AS30,"")</f>
        <v/>
      </c>
      <c r="AR33" s="553"/>
      <c r="AS33" s="553"/>
      <c r="AT33" s="554"/>
      <c r="AU33" s="552" t="str">
        <f>IFERROR(AU32/AW30,"")</f>
        <v/>
      </c>
      <c r="AV33" s="553"/>
      <c r="AW33" s="553"/>
      <c r="AX33" s="554"/>
      <c r="AY33" s="552" t="str">
        <f>IFERROR(AY32/BA30,"")</f>
        <v/>
      </c>
      <c r="AZ33" s="553"/>
      <c r="BA33" s="553"/>
      <c r="BB33" s="554"/>
      <c r="BL33" s="589" t="s">
        <v>125</v>
      </c>
      <c r="BM33" s="590"/>
      <c r="BN33" s="591"/>
      <c r="BO33" s="555" t="str">
        <f>IF(COUNTA(BH3:BH32)=0,"",
IF(COUNTIF(BN3:BN32,"完")/COUNTA(BH3:BH32)&gt;=0.8,"A",
IF(COUNTIF(BN3:BN32,"完")/COUNTA(BH3:BH32)&gt;=0.5,"B",
IF(COUNTIF(BN3:BN32,"完")/COUNTA(BH3:BH32)&gt;=0.3,"C",
IF(COUNTIF(BN3:BN32,"完")/COUNTA(BH3:BH32)&gt;=0.1,"D","E")))))</f>
        <v>D</v>
      </c>
      <c r="BP33" s="556"/>
      <c r="BQ33" s="556"/>
      <c r="BR33" s="557"/>
      <c r="BS33" s="561">
        <f>IF(COUNTA(BH3:BH32)=0,"",COUNTIF(BN3:BN32,"完")/COUNTA(BH3:BH32))</f>
        <v>0.13333333333333333</v>
      </c>
      <c r="BT33" s="562"/>
      <c r="BU33" s="563"/>
      <c r="BW33" s="285" t="b">
        <v>0</v>
      </c>
      <c r="BX33" s="178" t="s">
        <v>96</v>
      </c>
      <c r="BY33" s="178"/>
      <c r="BZ33" s="178"/>
      <c r="CA33" s="178"/>
      <c r="CB33" s="178"/>
      <c r="CC33" s="178"/>
      <c r="CD33" s="196"/>
      <c r="CE33" s="196"/>
      <c r="CF33" s="196"/>
      <c r="CG33" s="196"/>
      <c r="CH33" s="178"/>
    </row>
    <row r="34" spans="2:87" ht="22.5" customHeight="1">
      <c r="BL34" s="592"/>
      <c r="BM34" s="593"/>
      <c r="BN34" s="594"/>
      <c r="BO34" s="558"/>
      <c r="BP34" s="559"/>
      <c r="BQ34" s="559"/>
      <c r="BR34" s="560"/>
      <c r="BS34" s="564"/>
      <c r="BT34" s="565"/>
      <c r="BU34" s="566"/>
      <c r="BY34" s="178"/>
      <c r="BZ34" s="178"/>
      <c r="CA34" s="178"/>
      <c r="CB34" s="178"/>
      <c r="CC34" s="178"/>
      <c r="CD34" s="178"/>
      <c r="CE34" s="178"/>
      <c r="CF34" s="178"/>
      <c r="CG34" s="196"/>
      <c r="CH34" s="196"/>
      <c r="CI34" s="178"/>
    </row>
    <row r="35" spans="2:87" ht="22.5" customHeight="1">
      <c r="B35" s="567" t="s">
        <v>38</v>
      </c>
      <c r="C35" s="568"/>
      <c r="D35" s="568"/>
      <c r="E35" s="568"/>
      <c r="F35" s="568"/>
      <c r="G35" s="568"/>
      <c r="H35" s="568"/>
      <c r="I35" s="568"/>
      <c r="J35" s="568"/>
      <c r="K35" s="568"/>
      <c r="L35" s="568"/>
      <c r="M35" s="568"/>
      <c r="N35" s="568"/>
      <c r="O35" s="568"/>
      <c r="P35" s="568"/>
      <c r="Q35" s="568"/>
      <c r="R35" s="568"/>
      <c r="S35" s="568"/>
      <c r="T35" s="568"/>
      <c r="U35" s="569"/>
      <c r="V35" s="570">
        <f>IF(COUNT(J37:J66)=0,"",AVERAGE(J37:J66))</f>
        <v>4.2</v>
      </c>
      <c r="W35" s="571"/>
      <c r="X35" s="572"/>
      <c r="Y35" s="573" t="s">
        <v>39</v>
      </c>
      <c r="Z35" s="568"/>
      <c r="AA35" s="568"/>
      <c r="AB35" s="568"/>
      <c r="AC35" s="568"/>
      <c r="AD35" s="568"/>
      <c r="AE35" s="568"/>
      <c r="AF35" s="568"/>
      <c r="AG35" s="569"/>
      <c r="AH35" s="574"/>
      <c r="AI35" s="436"/>
      <c r="AJ35" s="438"/>
      <c r="AL35" s="160" t="s">
        <v>59</v>
      </c>
      <c r="BW35" s="181" t="s">
        <v>950</v>
      </c>
      <c r="BX35" s="179"/>
      <c r="BY35" s="179"/>
      <c r="BZ35" s="179"/>
      <c r="CA35" s="179"/>
      <c r="CB35" s="179"/>
      <c r="CC35" s="179"/>
      <c r="CD35" s="179"/>
      <c r="CE35" s="179"/>
      <c r="CF35" s="186"/>
      <c r="CG35" s="186"/>
      <c r="CH35" s="179"/>
    </row>
    <row r="36" spans="2:87" ht="22.5" customHeight="1">
      <c r="B36" s="458" t="s">
        <v>41</v>
      </c>
      <c r="C36" s="459"/>
      <c r="D36" s="459"/>
      <c r="E36" s="459"/>
      <c r="F36" s="459"/>
      <c r="G36" s="459"/>
      <c r="H36" s="459"/>
      <c r="I36" s="459"/>
      <c r="J36" s="459" t="s">
        <v>42</v>
      </c>
      <c r="K36" s="459"/>
      <c r="L36" s="459" t="s">
        <v>43</v>
      </c>
      <c r="M36" s="459"/>
      <c r="N36" s="459"/>
      <c r="O36" s="459"/>
      <c r="P36" s="459"/>
      <c r="Q36" s="459"/>
      <c r="R36" s="459"/>
      <c r="S36" s="459" t="s">
        <v>44</v>
      </c>
      <c r="T36" s="459"/>
      <c r="U36" s="459"/>
      <c r="V36" s="459"/>
      <c r="W36" s="459"/>
      <c r="X36" s="460"/>
      <c r="Y36" s="598" t="s">
        <v>45</v>
      </c>
      <c r="Z36" s="599"/>
      <c r="AA36" s="599"/>
      <c r="AB36" s="599"/>
      <c r="AC36" s="599"/>
      <c r="AD36" s="459" t="s">
        <v>260</v>
      </c>
      <c r="AE36" s="459"/>
      <c r="AF36" s="459" t="s">
        <v>46</v>
      </c>
      <c r="AG36" s="459"/>
      <c r="AH36" s="459"/>
      <c r="AI36" s="459"/>
      <c r="AJ36" s="460"/>
      <c r="AL36" s="182" t="s">
        <v>247</v>
      </c>
      <c r="AM36" s="182"/>
      <c r="AN36" s="182"/>
      <c r="AO36" s="182"/>
      <c r="AP36" s="182"/>
      <c r="AQ36" s="182"/>
      <c r="AR36" s="183"/>
      <c r="AS36" s="183"/>
      <c r="AT36" s="183"/>
      <c r="AU36" s="183"/>
      <c r="AV36" s="183"/>
      <c r="AW36" s="183"/>
      <c r="AX36" s="183"/>
      <c r="AY36" s="179"/>
      <c r="AZ36" s="179"/>
      <c r="BA36" s="179"/>
      <c r="BB36" s="179"/>
      <c r="BC36" s="179"/>
      <c r="BD36" s="179"/>
      <c r="BE36" s="179"/>
      <c r="BF36" s="179"/>
      <c r="BG36" s="179"/>
      <c r="BH36" s="179"/>
      <c r="BI36" s="179"/>
      <c r="BK36" s="406" t="s">
        <v>244</v>
      </c>
      <c r="BL36" s="406"/>
      <c r="BM36" s="406"/>
      <c r="BN36" s="406"/>
      <c r="BO36" s="406"/>
      <c r="BP36" s="406"/>
      <c r="BQ36" s="406" t="s">
        <v>64</v>
      </c>
      <c r="BR36" s="406"/>
      <c r="BS36" s="406"/>
      <c r="BT36" s="406"/>
      <c r="BU36" s="406"/>
      <c r="BW36" s="285" t="b">
        <v>0</v>
      </c>
      <c r="BX36" s="192" t="s">
        <v>102</v>
      </c>
      <c r="BY36" s="178"/>
      <c r="BZ36" s="178"/>
      <c r="CA36" s="178"/>
      <c r="CB36" s="178"/>
      <c r="CC36" s="178"/>
      <c r="CD36" s="196"/>
      <c r="CE36" s="196"/>
      <c r="CF36" s="196"/>
      <c r="CG36" s="196"/>
      <c r="CH36" s="178"/>
    </row>
    <row r="37" spans="2:87" ht="22.5" customHeight="1">
      <c r="B37" s="324">
        <v>101</v>
      </c>
      <c r="C37" s="325"/>
      <c r="D37" s="531" t="s">
        <v>559</v>
      </c>
      <c r="E37" s="531"/>
      <c r="F37" s="531"/>
      <c r="G37" s="531"/>
      <c r="H37" s="531"/>
      <c r="I37" s="531"/>
      <c r="J37" s="469">
        <v>4</v>
      </c>
      <c r="K37" s="469"/>
      <c r="L37" s="595"/>
      <c r="M37" s="595"/>
      <c r="N37" s="595"/>
      <c r="O37" s="595"/>
      <c r="P37" s="595"/>
      <c r="Q37" s="595"/>
      <c r="R37" s="595"/>
      <c r="S37" s="208"/>
      <c r="T37" s="595"/>
      <c r="U37" s="595"/>
      <c r="V37" s="595"/>
      <c r="W37" s="595"/>
      <c r="X37" s="596"/>
      <c r="Y37" s="597"/>
      <c r="Z37" s="531"/>
      <c r="AA37" s="531"/>
      <c r="AB37" s="531"/>
      <c r="AC37" s="531"/>
      <c r="AD37" s="531"/>
      <c r="AE37" s="531"/>
      <c r="AF37" s="531"/>
      <c r="AG37" s="531"/>
      <c r="AH37" s="531"/>
      <c r="AI37" s="531"/>
      <c r="AJ37" s="532"/>
      <c r="AL37" s="600" t="s">
        <v>27</v>
      </c>
      <c r="AM37" s="600"/>
      <c r="AN37" s="600" t="s">
        <v>58</v>
      </c>
      <c r="AO37" s="600"/>
      <c r="AP37" s="600" t="s">
        <v>14</v>
      </c>
      <c r="AQ37" s="600"/>
      <c r="AR37" s="600" t="s">
        <v>22</v>
      </c>
      <c r="AS37" s="600"/>
      <c r="AT37" s="600" t="s">
        <v>1</v>
      </c>
      <c r="AU37" s="600"/>
      <c r="AV37" s="600" t="s">
        <v>18</v>
      </c>
      <c r="AW37" s="600"/>
      <c r="AX37" s="600" t="s">
        <v>28</v>
      </c>
      <c r="AY37" s="600"/>
      <c r="AZ37" s="600" t="s">
        <v>24</v>
      </c>
      <c r="BA37" s="600"/>
      <c r="BB37" s="600" t="s">
        <v>16</v>
      </c>
      <c r="BC37" s="600"/>
      <c r="BD37" s="600" t="s">
        <v>67</v>
      </c>
      <c r="BE37" s="600"/>
      <c r="BF37" s="600" t="s">
        <v>20</v>
      </c>
      <c r="BG37" s="600"/>
      <c r="BH37" s="600" t="s">
        <v>68</v>
      </c>
      <c r="BI37" s="600"/>
      <c r="BK37" s="601"/>
      <c r="BL37" s="601"/>
      <c r="BM37" s="601"/>
      <c r="BN37" s="601"/>
      <c r="BO37" s="601"/>
      <c r="BP37" s="601"/>
      <c r="BQ37" s="602" t="b">
        <v>0</v>
      </c>
      <c r="BR37" s="603"/>
      <c r="BS37" s="603"/>
      <c r="BT37" s="603"/>
      <c r="BU37" s="604"/>
      <c r="BV37" s="170"/>
      <c r="BW37" s="285" t="b">
        <v>0</v>
      </c>
      <c r="BX37" s="192" t="s">
        <v>86</v>
      </c>
      <c r="BY37" s="178"/>
      <c r="BZ37" s="178"/>
      <c r="CA37" s="178"/>
      <c r="CB37" s="178"/>
      <c r="CC37" s="178"/>
      <c r="CD37" s="196"/>
      <c r="CE37" s="196"/>
      <c r="CF37" s="196"/>
      <c r="CG37" s="196"/>
      <c r="CH37" s="178"/>
    </row>
    <row r="38" spans="2:87" ht="22.5" customHeight="1">
      <c r="B38" s="486">
        <v>102</v>
      </c>
      <c r="C38" s="606"/>
      <c r="D38" s="317" t="s">
        <v>560</v>
      </c>
      <c r="E38" s="317"/>
      <c r="F38" s="317"/>
      <c r="G38" s="317"/>
      <c r="H38" s="317"/>
      <c r="I38" s="317"/>
      <c r="J38" s="426">
        <v>3</v>
      </c>
      <c r="K38" s="426"/>
      <c r="L38" s="607"/>
      <c r="M38" s="607"/>
      <c r="N38" s="607"/>
      <c r="O38" s="607"/>
      <c r="P38" s="607"/>
      <c r="Q38" s="607"/>
      <c r="R38" s="607"/>
      <c r="S38" s="209"/>
      <c r="T38" s="607"/>
      <c r="U38" s="607"/>
      <c r="V38" s="607"/>
      <c r="W38" s="607"/>
      <c r="X38" s="608"/>
      <c r="Y38" s="319"/>
      <c r="Z38" s="317"/>
      <c r="AA38" s="317"/>
      <c r="AB38" s="317"/>
      <c r="AC38" s="317"/>
      <c r="AD38" s="317"/>
      <c r="AE38" s="317"/>
      <c r="AF38" s="317"/>
      <c r="AG38" s="317"/>
      <c r="AH38" s="317"/>
      <c r="AI38" s="317"/>
      <c r="AJ38" s="320"/>
      <c r="AL38" s="330">
        <v>0</v>
      </c>
      <c r="AM38" s="330"/>
      <c r="AN38" s="330">
        <v>0</v>
      </c>
      <c r="AO38" s="330"/>
      <c r="AP38" s="330">
        <v>0</v>
      </c>
      <c r="AQ38" s="330"/>
      <c r="AR38" s="330"/>
      <c r="AS38" s="330"/>
      <c r="AT38" s="330"/>
      <c r="AU38" s="330"/>
      <c r="AV38" s="330"/>
      <c r="AW38" s="330"/>
      <c r="AX38" s="330"/>
      <c r="AY38" s="330"/>
      <c r="AZ38" s="330"/>
      <c r="BA38" s="330"/>
      <c r="BB38" s="330"/>
      <c r="BC38" s="330"/>
      <c r="BD38" s="330"/>
      <c r="BE38" s="330"/>
      <c r="BF38" s="330"/>
      <c r="BG38" s="330"/>
      <c r="BH38" s="330">
        <v>18</v>
      </c>
      <c r="BI38" s="330"/>
      <c r="BK38" s="605"/>
      <c r="BL38" s="605"/>
      <c r="BM38" s="605"/>
      <c r="BN38" s="605"/>
      <c r="BO38" s="605"/>
      <c r="BP38" s="605"/>
      <c r="BQ38" s="609" t="b">
        <v>0</v>
      </c>
      <c r="BR38" s="610"/>
      <c r="BS38" s="610"/>
      <c r="BT38" s="610"/>
      <c r="BU38" s="611"/>
      <c r="BV38" s="170"/>
      <c r="BW38" s="285" t="b">
        <v>0</v>
      </c>
      <c r="BX38" s="192" t="s">
        <v>87</v>
      </c>
      <c r="BY38" s="178"/>
      <c r="BZ38" s="178"/>
      <c r="CA38" s="178"/>
      <c r="CB38" s="178"/>
      <c r="CC38" s="178"/>
      <c r="CD38" s="196"/>
      <c r="CE38" s="196"/>
      <c r="CF38" s="196"/>
      <c r="CG38" s="196"/>
      <c r="CH38" s="178"/>
    </row>
    <row r="39" spans="2:87" ht="22.5" customHeight="1">
      <c r="B39" s="486">
        <v>103</v>
      </c>
      <c r="C39" s="606"/>
      <c r="D39" s="317" t="s">
        <v>561</v>
      </c>
      <c r="E39" s="317"/>
      <c r="F39" s="317"/>
      <c r="G39" s="317"/>
      <c r="H39" s="317"/>
      <c r="I39" s="317"/>
      <c r="J39" s="426">
        <v>3</v>
      </c>
      <c r="K39" s="426"/>
      <c r="L39" s="607"/>
      <c r="M39" s="607"/>
      <c r="N39" s="607"/>
      <c r="O39" s="607"/>
      <c r="P39" s="607"/>
      <c r="Q39" s="607"/>
      <c r="R39" s="607"/>
      <c r="S39" s="209"/>
      <c r="T39" s="607"/>
      <c r="U39" s="607"/>
      <c r="V39" s="607"/>
      <c r="W39" s="607"/>
      <c r="X39" s="608"/>
      <c r="Y39" s="319"/>
      <c r="Z39" s="317"/>
      <c r="AA39" s="317"/>
      <c r="AB39" s="317"/>
      <c r="AC39" s="317"/>
      <c r="AD39" s="317"/>
      <c r="AE39" s="317"/>
      <c r="AF39" s="317"/>
      <c r="AG39" s="317"/>
      <c r="AH39" s="317"/>
      <c r="AI39" s="317"/>
      <c r="AJ39" s="320"/>
      <c r="BK39" s="605"/>
      <c r="BL39" s="605"/>
      <c r="BM39" s="605"/>
      <c r="BN39" s="605"/>
      <c r="BO39" s="605"/>
      <c r="BP39" s="605"/>
      <c r="BQ39" s="609" t="b">
        <v>0</v>
      </c>
      <c r="BR39" s="610"/>
      <c r="BS39" s="610"/>
      <c r="BT39" s="610"/>
      <c r="BU39" s="611"/>
      <c r="BW39" s="285" t="b">
        <v>0</v>
      </c>
      <c r="BX39" s="192" t="s">
        <v>88</v>
      </c>
      <c r="BY39" s="178"/>
      <c r="BZ39" s="178"/>
      <c r="CA39" s="178"/>
      <c r="CB39" s="178"/>
      <c r="CC39" s="178"/>
      <c r="CD39" s="196"/>
      <c r="CE39" s="196"/>
      <c r="CF39" s="196"/>
      <c r="CG39" s="196"/>
      <c r="CH39" s="178"/>
    </row>
    <row r="40" spans="2:87" ht="22.5" customHeight="1">
      <c r="B40" s="486">
        <v>104</v>
      </c>
      <c r="C40" s="606"/>
      <c r="D40" s="317" t="s">
        <v>562</v>
      </c>
      <c r="E40" s="317"/>
      <c r="F40" s="317"/>
      <c r="G40" s="317"/>
      <c r="H40" s="317"/>
      <c r="I40" s="317"/>
      <c r="J40" s="426">
        <v>5</v>
      </c>
      <c r="K40" s="426"/>
      <c r="L40" s="607"/>
      <c r="M40" s="607"/>
      <c r="N40" s="607"/>
      <c r="O40" s="607"/>
      <c r="P40" s="607"/>
      <c r="Q40" s="607"/>
      <c r="R40" s="607"/>
      <c r="S40" s="209"/>
      <c r="T40" s="607"/>
      <c r="U40" s="607"/>
      <c r="V40" s="607"/>
      <c r="W40" s="607"/>
      <c r="X40" s="608"/>
      <c r="Y40" s="319"/>
      <c r="Z40" s="317"/>
      <c r="AA40" s="317"/>
      <c r="AB40" s="317"/>
      <c r="AC40" s="317"/>
      <c r="AD40" s="317"/>
      <c r="AE40" s="317"/>
      <c r="AF40" s="317"/>
      <c r="AG40" s="317"/>
      <c r="AH40" s="317"/>
      <c r="AI40" s="317"/>
      <c r="AJ40" s="320"/>
      <c r="AL40" s="182" t="s">
        <v>248</v>
      </c>
      <c r="AM40" s="182"/>
      <c r="AN40" s="182"/>
      <c r="AO40" s="182"/>
      <c r="AP40" s="182"/>
      <c r="AQ40" s="182"/>
      <c r="AR40" s="183"/>
      <c r="AS40" s="183"/>
      <c r="AT40" s="183"/>
      <c r="AU40" s="183"/>
      <c r="AV40" s="183"/>
      <c r="AW40" s="183"/>
      <c r="AX40" s="183"/>
      <c r="AY40" s="179"/>
      <c r="AZ40" s="179"/>
      <c r="BA40" s="179"/>
      <c r="BB40" s="179"/>
      <c r="BC40" s="179"/>
      <c r="BD40" s="179"/>
      <c r="BE40" s="179"/>
      <c r="BF40" s="179"/>
      <c r="BG40" s="179"/>
      <c r="BH40" s="179"/>
      <c r="BI40" s="179"/>
      <c r="BK40" s="605"/>
      <c r="BL40" s="605"/>
      <c r="BM40" s="605"/>
      <c r="BN40" s="605"/>
      <c r="BO40" s="605"/>
      <c r="BP40" s="605"/>
      <c r="BQ40" s="609" t="b">
        <v>0</v>
      </c>
      <c r="BR40" s="610"/>
      <c r="BS40" s="610"/>
      <c r="BT40" s="610"/>
      <c r="BU40" s="611"/>
      <c r="BW40" s="285" t="b">
        <v>0</v>
      </c>
      <c r="BX40" s="192" t="s">
        <v>89</v>
      </c>
      <c r="BY40" s="178"/>
      <c r="BZ40" s="178"/>
      <c r="CA40" s="178"/>
      <c r="CB40" s="178"/>
      <c r="CC40" s="178"/>
      <c r="CD40" s="196"/>
      <c r="CE40" s="196"/>
      <c r="CF40" s="196"/>
      <c r="CG40" s="196"/>
      <c r="CH40" s="178"/>
    </row>
    <row r="41" spans="2:87" ht="22.5" customHeight="1">
      <c r="B41" s="486">
        <v>105</v>
      </c>
      <c r="C41" s="606"/>
      <c r="D41" s="317" t="s">
        <v>563</v>
      </c>
      <c r="E41" s="317"/>
      <c r="F41" s="317"/>
      <c r="G41" s="317"/>
      <c r="H41" s="317"/>
      <c r="I41" s="317"/>
      <c r="J41" s="426">
        <v>5</v>
      </c>
      <c r="K41" s="426"/>
      <c r="L41" s="607"/>
      <c r="M41" s="607"/>
      <c r="N41" s="607"/>
      <c r="O41" s="607"/>
      <c r="P41" s="607"/>
      <c r="Q41" s="607"/>
      <c r="R41" s="607"/>
      <c r="S41" s="209"/>
      <c r="T41" s="607"/>
      <c r="U41" s="607"/>
      <c r="V41" s="607"/>
      <c r="W41" s="607"/>
      <c r="X41" s="608"/>
      <c r="Y41" s="319"/>
      <c r="Z41" s="317"/>
      <c r="AA41" s="317"/>
      <c r="AB41" s="317"/>
      <c r="AC41" s="317"/>
      <c r="AD41" s="317"/>
      <c r="AE41" s="317"/>
      <c r="AF41" s="317"/>
      <c r="AG41" s="317"/>
      <c r="AH41" s="317"/>
      <c r="AI41" s="317"/>
      <c r="AJ41" s="320"/>
      <c r="AL41" s="600" t="s">
        <v>27</v>
      </c>
      <c r="AM41" s="600"/>
      <c r="AN41" s="600" t="s">
        <v>58</v>
      </c>
      <c r="AO41" s="600"/>
      <c r="AP41" s="600" t="s">
        <v>14</v>
      </c>
      <c r="AQ41" s="600"/>
      <c r="AR41" s="600" t="s">
        <v>22</v>
      </c>
      <c r="AS41" s="600"/>
      <c r="AT41" s="600" t="s">
        <v>1</v>
      </c>
      <c r="AU41" s="600"/>
      <c r="AV41" s="600" t="s">
        <v>18</v>
      </c>
      <c r="AW41" s="600"/>
      <c r="AX41" s="600" t="s">
        <v>28</v>
      </c>
      <c r="AY41" s="600"/>
      <c r="AZ41" s="600" t="s">
        <v>24</v>
      </c>
      <c r="BA41" s="600"/>
      <c r="BB41" s="600" t="s">
        <v>16</v>
      </c>
      <c r="BC41" s="600"/>
      <c r="BD41" s="600" t="s">
        <v>67</v>
      </c>
      <c r="BE41" s="600"/>
      <c r="BF41" s="600" t="s">
        <v>20</v>
      </c>
      <c r="BG41" s="600"/>
      <c r="BH41" s="600" t="s">
        <v>68</v>
      </c>
      <c r="BI41" s="600"/>
      <c r="BK41" s="605"/>
      <c r="BL41" s="605"/>
      <c r="BM41" s="605"/>
      <c r="BN41" s="605"/>
      <c r="BO41" s="605"/>
      <c r="BP41" s="605"/>
      <c r="BQ41" s="609" t="b">
        <v>0</v>
      </c>
      <c r="BR41" s="610"/>
      <c r="BS41" s="610"/>
      <c r="BT41" s="610"/>
      <c r="BU41" s="611"/>
      <c r="BW41" s="285" t="b">
        <v>0</v>
      </c>
      <c r="BX41" s="192" t="s">
        <v>103</v>
      </c>
      <c r="BY41" s="178"/>
      <c r="BZ41" s="178"/>
      <c r="CA41" s="178"/>
      <c r="CB41" s="178"/>
      <c r="CC41" s="178"/>
      <c r="CD41" s="196"/>
      <c r="CE41" s="196"/>
      <c r="CF41" s="196"/>
      <c r="CG41" s="196"/>
      <c r="CH41" s="178"/>
    </row>
    <row r="42" spans="2:87" ht="22.5" customHeight="1">
      <c r="B42" s="486">
        <v>106</v>
      </c>
      <c r="C42" s="606"/>
      <c r="D42" s="317" t="s">
        <v>564</v>
      </c>
      <c r="E42" s="317"/>
      <c r="F42" s="317"/>
      <c r="G42" s="317"/>
      <c r="H42" s="317"/>
      <c r="I42" s="317"/>
      <c r="J42" s="426">
        <v>5</v>
      </c>
      <c r="K42" s="426"/>
      <c r="L42" s="607"/>
      <c r="M42" s="607"/>
      <c r="N42" s="607"/>
      <c r="O42" s="607"/>
      <c r="P42" s="607"/>
      <c r="Q42" s="607"/>
      <c r="R42" s="607"/>
      <c r="S42" s="209"/>
      <c r="T42" s="607"/>
      <c r="U42" s="607"/>
      <c r="V42" s="607"/>
      <c r="W42" s="607"/>
      <c r="X42" s="608"/>
      <c r="Y42" s="319"/>
      <c r="Z42" s="317"/>
      <c r="AA42" s="317"/>
      <c r="AB42" s="317"/>
      <c r="AC42" s="317"/>
      <c r="AD42" s="317"/>
      <c r="AE42" s="317"/>
      <c r="AF42" s="317"/>
      <c r="AG42" s="317"/>
      <c r="AH42" s="317"/>
      <c r="AI42" s="317"/>
      <c r="AJ42" s="320"/>
      <c r="AL42" s="330">
        <v>4</v>
      </c>
      <c r="AM42" s="330"/>
      <c r="AN42" s="330">
        <v>2</v>
      </c>
      <c r="AO42" s="330"/>
      <c r="AP42" s="330">
        <v>2</v>
      </c>
      <c r="AQ42" s="330"/>
      <c r="AR42" s="330"/>
      <c r="AS42" s="330"/>
      <c r="AT42" s="330"/>
      <c r="AU42" s="330"/>
      <c r="AV42" s="330"/>
      <c r="AW42" s="330"/>
      <c r="AX42" s="330"/>
      <c r="AY42" s="330"/>
      <c r="AZ42" s="330"/>
      <c r="BA42" s="330"/>
      <c r="BB42" s="330"/>
      <c r="BC42" s="330"/>
      <c r="BD42" s="330"/>
      <c r="BE42" s="330"/>
      <c r="BF42" s="330"/>
      <c r="BG42" s="330"/>
      <c r="BH42" s="330"/>
      <c r="BI42" s="330"/>
      <c r="BK42" s="612"/>
      <c r="BL42" s="612"/>
      <c r="BM42" s="612"/>
      <c r="BN42" s="612"/>
      <c r="BO42" s="612"/>
      <c r="BP42" s="612"/>
      <c r="BQ42" s="613" t="b">
        <v>0</v>
      </c>
      <c r="BR42" s="614"/>
      <c r="BS42" s="614"/>
      <c r="BT42" s="614"/>
      <c r="BU42" s="615"/>
      <c r="BW42" s="285" t="b">
        <v>0</v>
      </c>
      <c r="BX42" s="192" t="s">
        <v>82</v>
      </c>
      <c r="BY42" s="178"/>
      <c r="BZ42" s="178"/>
      <c r="CA42" s="178"/>
      <c r="CB42" s="178"/>
      <c r="CC42" s="178"/>
      <c r="CD42" s="196"/>
      <c r="CE42" s="196"/>
      <c r="CF42" s="196"/>
      <c r="CG42" s="196"/>
      <c r="CH42" s="178"/>
    </row>
    <row r="43" spans="2:87" ht="22.5" customHeight="1">
      <c r="B43" s="486">
        <v>107</v>
      </c>
      <c r="C43" s="606"/>
      <c r="D43" s="317" t="s">
        <v>565</v>
      </c>
      <c r="E43" s="317"/>
      <c r="F43" s="317"/>
      <c r="G43" s="317"/>
      <c r="H43" s="317"/>
      <c r="I43" s="317"/>
      <c r="J43" s="426">
        <v>5</v>
      </c>
      <c r="K43" s="426"/>
      <c r="L43" s="607"/>
      <c r="M43" s="607"/>
      <c r="N43" s="607"/>
      <c r="O43" s="607"/>
      <c r="P43" s="607"/>
      <c r="Q43" s="607"/>
      <c r="R43" s="607"/>
      <c r="S43" s="209"/>
      <c r="T43" s="607"/>
      <c r="U43" s="607"/>
      <c r="V43" s="607"/>
      <c r="W43" s="607"/>
      <c r="X43" s="608"/>
      <c r="Y43" s="319"/>
      <c r="Z43" s="317"/>
      <c r="AA43" s="317"/>
      <c r="AB43" s="317"/>
      <c r="AC43" s="317"/>
      <c r="AD43" s="317"/>
      <c r="AE43" s="317"/>
      <c r="AF43" s="317"/>
      <c r="AG43" s="317"/>
      <c r="AH43" s="317"/>
      <c r="AI43" s="317"/>
      <c r="AJ43" s="320"/>
      <c r="AL43" s="171"/>
      <c r="AM43" s="171"/>
      <c r="AN43" s="171"/>
      <c r="AO43" s="171"/>
      <c r="AP43" s="171"/>
      <c r="AQ43" s="171"/>
      <c r="AR43" s="171"/>
      <c r="AS43" s="171"/>
      <c r="AT43" s="171"/>
      <c r="AU43" s="171"/>
      <c r="AV43" s="171"/>
      <c r="AW43" s="171"/>
      <c r="AX43" s="171"/>
      <c r="AY43" s="171"/>
      <c r="AZ43" s="171"/>
      <c r="BA43" s="171"/>
      <c r="BB43" s="171"/>
      <c r="BC43" s="171"/>
      <c r="BD43" s="171"/>
      <c r="BE43" s="171"/>
      <c r="BF43" s="171"/>
      <c r="BG43" s="171"/>
      <c r="BH43" s="171"/>
      <c r="BI43" s="171"/>
      <c r="BV43" s="164"/>
    </row>
    <row r="44" spans="2:87" ht="22.5" customHeight="1">
      <c r="B44" s="486">
        <v>108</v>
      </c>
      <c r="C44" s="606"/>
      <c r="D44" s="317" t="s">
        <v>566</v>
      </c>
      <c r="E44" s="317"/>
      <c r="F44" s="317"/>
      <c r="G44" s="317"/>
      <c r="H44" s="317"/>
      <c r="I44" s="317"/>
      <c r="J44" s="426">
        <v>5</v>
      </c>
      <c r="K44" s="426"/>
      <c r="L44" s="607"/>
      <c r="M44" s="607"/>
      <c r="N44" s="607"/>
      <c r="O44" s="607"/>
      <c r="P44" s="607"/>
      <c r="Q44" s="607"/>
      <c r="R44" s="607"/>
      <c r="S44" s="209"/>
      <c r="T44" s="607"/>
      <c r="U44" s="607"/>
      <c r="V44" s="607"/>
      <c r="W44" s="607"/>
      <c r="X44" s="608"/>
      <c r="Y44" s="319"/>
      <c r="Z44" s="317"/>
      <c r="AA44" s="317"/>
      <c r="AB44" s="317"/>
      <c r="AC44" s="317"/>
      <c r="AD44" s="317"/>
      <c r="AE44" s="317"/>
      <c r="AF44" s="317"/>
      <c r="AG44" s="317"/>
      <c r="AH44" s="317"/>
      <c r="AI44" s="317"/>
      <c r="AJ44" s="320"/>
      <c r="AL44" s="179" t="s">
        <v>246</v>
      </c>
      <c r="AM44" s="179"/>
      <c r="AN44" s="179"/>
      <c r="AO44" s="179"/>
      <c r="AP44" s="179"/>
      <c r="AQ44" s="179"/>
      <c r="AR44" s="179"/>
      <c r="AS44" s="179"/>
      <c r="AT44" s="179"/>
      <c r="AU44" s="179"/>
      <c r="AV44" s="179"/>
      <c r="AW44" s="179"/>
      <c r="AX44" s="179"/>
      <c r="AY44" s="179"/>
      <c r="AZ44" s="179"/>
      <c r="BA44" s="179"/>
      <c r="BB44" s="179"/>
      <c r="BC44" s="179"/>
      <c r="BD44" s="179"/>
      <c r="BE44" s="179"/>
      <c r="BF44" s="179"/>
      <c r="BG44" s="179"/>
      <c r="BH44" s="179"/>
      <c r="BI44" s="179"/>
      <c r="BJ44" s="163"/>
      <c r="BK44" s="163"/>
      <c r="BL44" s="163"/>
      <c r="BM44" s="163"/>
      <c r="BN44" s="163"/>
      <c r="BO44" s="163"/>
      <c r="BP44" s="163"/>
      <c r="BQ44" s="163"/>
      <c r="BR44" s="163"/>
      <c r="BS44" s="163"/>
      <c r="BT44" s="163"/>
      <c r="BU44" s="163"/>
      <c r="BV44" s="164"/>
      <c r="BW44" s="179" t="s">
        <v>75</v>
      </c>
      <c r="BX44" s="179"/>
      <c r="BY44" s="179"/>
      <c r="BZ44" s="179"/>
      <c r="CA44" s="179"/>
      <c r="CB44" s="179"/>
      <c r="CC44" s="179"/>
      <c r="CD44" s="179"/>
      <c r="CE44" s="179"/>
      <c r="CF44" s="179"/>
      <c r="CG44" s="179"/>
      <c r="CH44" s="179"/>
    </row>
    <row r="45" spans="2:87" ht="22.5" customHeight="1">
      <c r="B45" s="486">
        <v>109</v>
      </c>
      <c r="C45" s="606"/>
      <c r="D45" s="317" t="s">
        <v>567</v>
      </c>
      <c r="E45" s="317"/>
      <c r="F45" s="317"/>
      <c r="G45" s="317"/>
      <c r="H45" s="317"/>
      <c r="I45" s="317"/>
      <c r="J45" s="426">
        <v>5</v>
      </c>
      <c r="K45" s="426"/>
      <c r="L45" s="607"/>
      <c r="M45" s="607"/>
      <c r="N45" s="607"/>
      <c r="O45" s="607"/>
      <c r="P45" s="607"/>
      <c r="Q45" s="607"/>
      <c r="R45" s="607"/>
      <c r="S45" s="209"/>
      <c r="T45" s="607"/>
      <c r="U45" s="607"/>
      <c r="V45" s="607"/>
      <c r="W45" s="607"/>
      <c r="X45" s="608"/>
      <c r="Y45" s="616"/>
      <c r="Z45" s="617"/>
      <c r="AA45" s="617"/>
      <c r="AB45" s="617"/>
      <c r="AC45" s="617"/>
      <c r="AD45" s="317"/>
      <c r="AE45" s="317"/>
      <c r="AF45" s="317"/>
      <c r="AG45" s="317"/>
      <c r="AH45" s="317"/>
      <c r="AI45" s="317"/>
      <c r="AJ45" s="320"/>
      <c r="AL45" s="618" t="s">
        <v>27</v>
      </c>
      <c r="AM45" s="618"/>
      <c r="AN45" s="618" t="s">
        <v>58</v>
      </c>
      <c r="AO45" s="618"/>
      <c r="AP45" s="618" t="s">
        <v>14</v>
      </c>
      <c r="AQ45" s="618"/>
      <c r="AR45" s="618" t="s">
        <v>22</v>
      </c>
      <c r="AS45" s="618"/>
      <c r="AT45" s="618" t="s">
        <v>1</v>
      </c>
      <c r="AU45" s="618"/>
      <c r="AV45" s="618" t="s">
        <v>18</v>
      </c>
      <c r="AW45" s="618"/>
      <c r="AX45" s="618" t="s">
        <v>28</v>
      </c>
      <c r="AY45" s="618"/>
      <c r="AZ45" s="618" t="s">
        <v>24</v>
      </c>
      <c r="BA45" s="618"/>
      <c r="BB45" s="618" t="s">
        <v>16</v>
      </c>
      <c r="BC45" s="618"/>
      <c r="BD45" s="618" t="s">
        <v>67</v>
      </c>
      <c r="BE45" s="618"/>
      <c r="BF45" s="618" t="s">
        <v>20</v>
      </c>
      <c r="BG45" s="618"/>
      <c r="BH45" s="618" t="s">
        <v>68</v>
      </c>
      <c r="BI45" s="618"/>
      <c r="BK45" s="630" t="s">
        <v>108</v>
      </c>
      <c r="BL45" s="631"/>
      <c r="BM45" s="634">
        <f>SUM(AL46:BI46)</f>
        <v>8</v>
      </c>
      <c r="BN45" s="635"/>
      <c r="BO45" s="636"/>
      <c r="BP45" s="640" t="s">
        <v>107</v>
      </c>
      <c r="BQ45" s="641"/>
      <c r="BR45" s="631"/>
      <c r="BS45" s="642" t="str">
        <f>IF(OR(BP46="",ISBLANK(BP46)),"",
IF(BP46&gt;=5,"A",
IF(BP46&gt;=4,"B",
IF(BP46&gt;=3,"C",
IF(BP46&gt;=1,"D","E")))))</f>
        <v>D</v>
      </c>
      <c r="BT45" s="556"/>
      <c r="BU45" s="557"/>
      <c r="BV45" s="164"/>
      <c r="BW45" s="619"/>
      <c r="BX45" s="620"/>
      <c r="BY45" s="620"/>
      <c r="BZ45" s="620"/>
      <c r="CA45" s="620"/>
      <c r="CB45" s="620"/>
      <c r="CC45" s="620"/>
      <c r="CD45" s="620"/>
      <c r="CE45" s="620"/>
      <c r="CF45" s="620"/>
      <c r="CG45" s="620"/>
      <c r="CH45" s="621"/>
    </row>
    <row r="46" spans="2:87" ht="22.5" customHeight="1" thickBot="1">
      <c r="B46" s="622">
        <v>110</v>
      </c>
      <c r="C46" s="623"/>
      <c r="D46" s="624" t="s">
        <v>568</v>
      </c>
      <c r="E46" s="624"/>
      <c r="F46" s="624"/>
      <c r="G46" s="624"/>
      <c r="H46" s="624"/>
      <c r="I46" s="624"/>
      <c r="J46" s="625">
        <v>5</v>
      </c>
      <c r="K46" s="625"/>
      <c r="L46" s="626"/>
      <c r="M46" s="626"/>
      <c r="N46" s="626"/>
      <c r="O46" s="626"/>
      <c r="P46" s="626"/>
      <c r="Q46" s="626"/>
      <c r="R46" s="626"/>
      <c r="S46" s="211"/>
      <c r="T46" s="626"/>
      <c r="U46" s="626"/>
      <c r="V46" s="626"/>
      <c r="W46" s="626"/>
      <c r="X46" s="627"/>
      <c r="Y46" s="628"/>
      <c r="Z46" s="624"/>
      <c r="AA46" s="624"/>
      <c r="AB46" s="624"/>
      <c r="AC46" s="624"/>
      <c r="AD46" s="624"/>
      <c r="AE46" s="624"/>
      <c r="AF46" s="624"/>
      <c r="AG46" s="624"/>
      <c r="AH46" s="624"/>
      <c r="AI46" s="624"/>
      <c r="AJ46" s="629"/>
      <c r="AL46" s="330">
        <v>1</v>
      </c>
      <c r="AM46" s="330"/>
      <c r="AN46" s="330">
        <v>3</v>
      </c>
      <c r="AO46" s="330"/>
      <c r="AP46" s="330">
        <v>4</v>
      </c>
      <c r="AQ46" s="330"/>
      <c r="AR46" s="330"/>
      <c r="AS46" s="330"/>
      <c r="AT46" s="330"/>
      <c r="AU46" s="330"/>
      <c r="AV46" s="330"/>
      <c r="AW46" s="330"/>
      <c r="AX46" s="330"/>
      <c r="AY46" s="330"/>
      <c r="AZ46" s="330"/>
      <c r="BA46" s="330"/>
      <c r="BB46" s="330"/>
      <c r="BC46" s="330"/>
      <c r="BD46" s="330"/>
      <c r="BE46" s="330"/>
      <c r="BF46" s="330"/>
      <c r="BG46" s="330"/>
      <c r="BH46" s="330"/>
      <c r="BI46" s="330"/>
      <c r="BK46" s="632"/>
      <c r="BL46" s="633"/>
      <c r="BM46" s="637"/>
      <c r="BN46" s="638"/>
      <c r="BO46" s="639"/>
      <c r="BP46" s="652">
        <f>IF(COUNT(AL46:BI46)=0,"",ROUND(AVERAGE(AL46:BI46),1))</f>
        <v>2.7</v>
      </c>
      <c r="BQ46" s="653"/>
      <c r="BR46" s="654"/>
      <c r="BS46" s="643"/>
      <c r="BT46" s="559"/>
      <c r="BU46" s="560"/>
      <c r="BV46" s="164"/>
      <c r="BW46" s="644"/>
      <c r="BX46" s="607"/>
      <c r="BY46" s="607"/>
      <c r="BZ46" s="607"/>
      <c r="CA46" s="607"/>
      <c r="CB46" s="607"/>
      <c r="CC46" s="607"/>
      <c r="CD46" s="607"/>
      <c r="CE46" s="607"/>
      <c r="CF46" s="607"/>
      <c r="CG46" s="607"/>
      <c r="CH46" s="608"/>
    </row>
    <row r="47" spans="2:87" ht="22.5" customHeight="1">
      <c r="B47" s="550">
        <v>201</v>
      </c>
      <c r="C47" s="645"/>
      <c r="D47" s="646" t="s">
        <v>578</v>
      </c>
      <c r="E47" s="646"/>
      <c r="F47" s="646"/>
      <c r="G47" s="646"/>
      <c r="H47" s="646"/>
      <c r="I47" s="646"/>
      <c r="J47" s="647">
        <v>4</v>
      </c>
      <c r="K47" s="647"/>
      <c r="L47" s="648"/>
      <c r="M47" s="648"/>
      <c r="N47" s="648"/>
      <c r="O47" s="648"/>
      <c r="P47" s="648"/>
      <c r="Q47" s="648"/>
      <c r="R47" s="648"/>
      <c r="S47" s="212"/>
      <c r="T47" s="648"/>
      <c r="U47" s="648"/>
      <c r="V47" s="648"/>
      <c r="W47" s="648"/>
      <c r="X47" s="649"/>
      <c r="Y47" s="650"/>
      <c r="Z47" s="646"/>
      <c r="AA47" s="646"/>
      <c r="AB47" s="646"/>
      <c r="AC47" s="646"/>
      <c r="AD47" s="646"/>
      <c r="AE47" s="646"/>
      <c r="AF47" s="646"/>
      <c r="AG47" s="646"/>
      <c r="AH47" s="646"/>
      <c r="AI47" s="646"/>
      <c r="AJ47" s="651"/>
      <c r="BV47" s="164"/>
      <c r="BW47" s="644"/>
      <c r="BX47" s="607"/>
      <c r="BY47" s="607"/>
      <c r="BZ47" s="607"/>
      <c r="CA47" s="607"/>
      <c r="CB47" s="607"/>
      <c r="CC47" s="607"/>
      <c r="CD47" s="607"/>
      <c r="CE47" s="607"/>
      <c r="CF47" s="607"/>
      <c r="CG47" s="607"/>
      <c r="CH47" s="608"/>
    </row>
    <row r="48" spans="2:87" ht="22.5" customHeight="1">
      <c r="B48" s="486">
        <v>202</v>
      </c>
      <c r="C48" s="606"/>
      <c r="D48" s="317" t="s">
        <v>569</v>
      </c>
      <c r="E48" s="317"/>
      <c r="F48" s="317"/>
      <c r="G48" s="317"/>
      <c r="H48" s="317"/>
      <c r="I48" s="317"/>
      <c r="J48" s="426">
        <v>5</v>
      </c>
      <c r="K48" s="426"/>
      <c r="L48" s="607" t="s">
        <v>936</v>
      </c>
      <c r="M48" s="607"/>
      <c r="N48" s="607"/>
      <c r="O48" s="607"/>
      <c r="P48" s="607"/>
      <c r="Q48" s="607"/>
      <c r="R48" s="607"/>
      <c r="S48" s="209"/>
      <c r="T48" s="607"/>
      <c r="U48" s="607"/>
      <c r="V48" s="607"/>
      <c r="W48" s="607"/>
      <c r="X48" s="608"/>
      <c r="Y48" s="319"/>
      <c r="Z48" s="317"/>
      <c r="AA48" s="317"/>
      <c r="AB48" s="317"/>
      <c r="AC48" s="317"/>
      <c r="AD48" s="317"/>
      <c r="AE48" s="317"/>
      <c r="AF48" s="317"/>
      <c r="AG48" s="317"/>
      <c r="AH48" s="317"/>
      <c r="AI48" s="317"/>
      <c r="AJ48" s="320"/>
      <c r="AL48" s="182" t="s">
        <v>241</v>
      </c>
      <c r="AM48" s="182"/>
      <c r="AN48" s="182"/>
      <c r="AO48" s="182"/>
      <c r="AP48" s="182"/>
      <c r="AQ48" s="182"/>
      <c r="AR48" s="183"/>
      <c r="AS48" s="183"/>
      <c r="AT48" s="183"/>
      <c r="AU48" s="183"/>
      <c r="AV48" s="183"/>
      <c r="AW48" s="183"/>
      <c r="AX48" s="184"/>
      <c r="AY48" s="184"/>
      <c r="AZ48" s="184"/>
      <c r="BA48" s="184"/>
      <c r="BB48" s="185"/>
      <c r="BC48" s="185"/>
      <c r="BD48" s="185"/>
      <c r="BE48" s="185"/>
      <c r="BF48" s="186"/>
      <c r="BG48" s="186"/>
      <c r="BH48" s="186"/>
      <c r="BI48" s="186"/>
      <c r="BJ48" s="163"/>
      <c r="BK48" s="163"/>
      <c r="BL48" s="163"/>
      <c r="BM48" s="163"/>
      <c r="BN48" s="163"/>
      <c r="BO48" s="163"/>
      <c r="BP48" s="163"/>
      <c r="BQ48" s="163"/>
      <c r="BR48" s="163"/>
      <c r="BS48" s="163"/>
      <c r="BT48" s="163"/>
      <c r="BU48" s="163"/>
      <c r="BV48" s="164"/>
      <c r="BW48" s="644"/>
      <c r="BX48" s="607"/>
      <c r="BY48" s="607"/>
      <c r="BZ48" s="607"/>
      <c r="CA48" s="607"/>
      <c r="CB48" s="607"/>
      <c r="CC48" s="607"/>
      <c r="CD48" s="607"/>
      <c r="CE48" s="607"/>
      <c r="CF48" s="607"/>
      <c r="CG48" s="607"/>
      <c r="CH48" s="608"/>
    </row>
    <row r="49" spans="2:86" ht="22.5" customHeight="1">
      <c r="B49" s="486">
        <v>203</v>
      </c>
      <c r="C49" s="606"/>
      <c r="D49" s="317" t="s">
        <v>570</v>
      </c>
      <c r="E49" s="317"/>
      <c r="F49" s="317"/>
      <c r="G49" s="317"/>
      <c r="H49" s="317"/>
      <c r="I49" s="317"/>
      <c r="J49" s="426">
        <v>3</v>
      </c>
      <c r="K49" s="426"/>
      <c r="L49" s="607"/>
      <c r="M49" s="607"/>
      <c r="N49" s="607"/>
      <c r="O49" s="607"/>
      <c r="P49" s="607"/>
      <c r="Q49" s="607"/>
      <c r="R49" s="607"/>
      <c r="S49" s="209"/>
      <c r="T49" s="607"/>
      <c r="U49" s="607"/>
      <c r="V49" s="607"/>
      <c r="W49" s="607"/>
      <c r="X49" s="608"/>
      <c r="Y49" s="319"/>
      <c r="Z49" s="317"/>
      <c r="AA49" s="317"/>
      <c r="AB49" s="317"/>
      <c r="AC49" s="317"/>
      <c r="AD49" s="317"/>
      <c r="AE49" s="317"/>
      <c r="AF49" s="317"/>
      <c r="AG49" s="317"/>
      <c r="AH49" s="317"/>
      <c r="AI49" s="317"/>
      <c r="AJ49" s="320"/>
      <c r="AL49" s="600" t="s">
        <v>27</v>
      </c>
      <c r="AM49" s="600"/>
      <c r="AN49" s="600" t="s">
        <v>58</v>
      </c>
      <c r="AO49" s="600"/>
      <c r="AP49" s="600" t="s">
        <v>14</v>
      </c>
      <c r="AQ49" s="600"/>
      <c r="AR49" s="600" t="s">
        <v>22</v>
      </c>
      <c r="AS49" s="600"/>
      <c r="AT49" s="600" t="s">
        <v>1</v>
      </c>
      <c r="AU49" s="600"/>
      <c r="AV49" s="600" t="s">
        <v>18</v>
      </c>
      <c r="AW49" s="600"/>
      <c r="AX49" s="600" t="s">
        <v>28</v>
      </c>
      <c r="AY49" s="600"/>
      <c r="AZ49" s="600" t="s">
        <v>24</v>
      </c>
      <c r="BA49" s="600"/>
      <c r="BB49" s="600" t="s">
        <v>16</v>
      </c>
      <c r="BC49" s="600"/>
      <c r="BD49" s="600" t="s">
        <v>67</v>
      </c>
      <c r="BE49" s="600"/>
      <c r="BF49" s="600" t="s">
        <v>20</v>
      </c>
      <c r="BG49" s="600"/>
      <c r="BH49" s="600" t="s">
        <v>68</v>
      </c>
      <c r="BI49" s="600"/>
      <c r="BK49" s="658" t="s">
        <v>108</v>
      </c>
      <c r="BL49" s="326"/>
      <c r="BM49" s="659">
        <f>SUM(AL50:BI50)</f>
        <v>4</v>
      </c>
      <c r="BN49" s="660"/>
      <c r="BO49" s="661"/>
      <c r="BP49" s="327" t="s">
        <v>107</v>
      </c>
      <c r="BQ49" s="328"/>
      <c r="BR49" s="326"/>
      <c r="BS49" s="665"/>
      <c r="BT49" s="666"/>
      <c r="BU49" s="667"/>
      <c r="BV49" s="164"/>
      <c r="BW49" s="655"/>
      <c r="BX49" s="656"/>
      <c r="BY49" s="656"/>
      <c r="BZ49" s="656"/>
      <c r="CA49" s="656"/>
      <c r="CB49" s="656"/>
      <c r="CC49" s="656"/>
      <c r="CD49" s="656"/>
      <c r="CE49" s="656"/>
      <c r="CF49" s="656"/>
      <c r="CG49" s="656"/>
      <c r="CH49" s="657"/>
    </row>
    <row r="50" spans="2:86" ht="22.5" customHeight="1">
      <c r="B50" s="486">
        <v>204</v>
      </c>
      <c r="C50" s="606"/>
      <c r="D50" s="317" t="s">
        <v>571</v>
      </c>
      <c r="E50" s="317"/>
      <c r="F50" s="317"/>
      <c r="G50" s="317"/>
      <c r="H50" s="317"/>
      <c r="I50" s="317"/>
      <c r="J50" s="426">
        <v>4</v>
      </c>
      <c r="K50" s="426"/>
      <c r="L50" s="607"/>
      <c r="M50" s="607"/>
      <c r="N50" s="607"/>
      <c r="O50" s="607"/>
      <c r="P50" s="607"/>
      <c r="Q50" s="607"/>
      <c r="R50" s="607"/>
      <c r="S50" s="209"/>
      <c r="T50" s="607"/>
      <c r="U50" s="607"/>
      <c r="V50" s="607"/>
      <c r="W50" s="607"/>
      <c r="X50" s="608"/>
      <c r="Y50" s="319"/>
      <c r="Z50" s="317"/>
      <c r="AA50" s="317"/>
      <c r="AB50" s="317"/>
      <c r="AC50" s="317"/>
      <c r="AD50" s="317"/>
      <c r="AE50" s="317"/>
      <c r="AF50" s="317"/>
      <c r="AG50" s="317"/>
      <c r="AH50" s="317"/>
      <c r="AI50" s="317"/>
      <c r="AJ50" s="320"/>
      <c r="AL50" s="330">
        <v>2</v>
      </c>
      <c r="AM50" s="330"/>
      <c r="AN50" s="330">
        <v>2</v>
      </c>
      <c r="AO50" s="330"/>
      <c r="AP50" s="330"/>
      <c r="AQ50" s="330"/>
      <c r="AR50" s="330"/>
      <c r="AS50" s="330"/>
      <c r="AT50" s="330"/>
      <c r="AU50" s="330"/>
      <c r="AV50" s="330"/>
      <c r="AW50" s="330"/>
      <c r="AX50" s="330"/>
      <c r="AY50" s="330"/>
      <c r="AZ50" s="330"/>
      <c r="BA50" s="330"/>
      <c r="BB50" s="330"/>
      <c r="BC50" s="330"/>
      <c r="BD50" s="330"/>
      <c r="BE50" s="330"/>
      <c r="BF50" s="330"/>
      <c r="BG50" s="330"/>
      <c r="BH50" s="330"/>
      <c r="BI50" s="330"/>
      <c r="BK50" s="575"/>
      <c r="BL50" s="576"/>
      <c r="BM50" s="662"/>
      <c r="BN50" s="663"/>
      <c r="BO50" s="664"/>
      <c r="BP50" s="652">
        <f>IF(COUNT(AL50:BI50)=0,"",ROUND(AVERAGE(AL50:BI50),1))</f>
        <v>2</v>
      </c>
      <c r="BQ50" s="653"/>
      <c r="BR50" s="654"/>
      <c r="BS50" s="668"/>
      <c r="BT50" s="669"/>
      <c r="BU50" s="670"/>
      <c r="BV50" s="164"/>
    </row>
    <row r="51" spans="2:86" ht="22.5" customHeight="1">
      <c r="B51" s="486">
        <v>205</v>
      </c>
      <c r="C51" s="606"/>
      <c r="D51" s="317" t="s">
        <v>572</v>
      </c>
      <c r="E51" s="317"/>
      <c r="F51" s="317"/>
      <c r="G51" s="317"/>
      <c r="H51" s="317"/>
      <c r="I51" s="317"/>
      <c r="J51" s="426">
        <v>4</v>
      </c>
      <c r="K51" s="426"/>
      <c r="L51" s="607"/>
      <c r="M51" s="607"/>
      <c r="N51" s="607"/>
      <c r="O51" s="607"/>
      <c r="P51" s="607"/>
      <c r="Q51" s="607"/>
      <c r="R51" s="607"/>
      <c r="S51" s="209"/>
      <c r="T51" s="607"/>
      <c r="U51" s="607"/>
      <c r="V51" s="607"/>
      <c r="W51" s="607"/>
      <c r="X51" s="608"/>
      <c r="Y51" s="319"/>
      <c r="Z51" s="317"/>
      <c r="AA51" s="317"/>
      <c r="AB51" s="317"/>
      <c r="AC51" s="317"/>
      <c r="AD51" s="317"/>
      <c r="AE51" s="317"/>
      <c r="AF51" s="317"/>
      <c r="AG51" s="317"/>
      <c r="AH51" s="317"/>
      <c r="AI51" s="317"/>
      <c r="AJ51" s="320"/>
      <c r="AQ51" s="169"/>
      <c r="AR51" s="168"/>
      <c r="AS51" s="168"/>
      <c r="AT51" s="168"/>
      <c r="AU51" s="168"/>
      <c r="AV51" s="168"/>
      <c r="AW51" s="169"/>
      <c r="AX51" s="172"/>
      <c r="AY51" s="172"/>
      <c r="AZ51" s="172"/>
      <c r="BA51" s="172"/>
      <c r="BB51" s="168"/>
      <c r="BC51" s="168"/>
      <c r="BD51" s="168"/>
      <c r="BE51" s="168"/>
      <c r="BF51" s="169"/>
      <c r="BG51" s="169"/>
      <c r="BH51" s="169"/>
      <c r="BI51" s="169"/>
      <c r="BW51" s="179" t="s">
        <v>259</v>
      </c>
      <c r="BX51" s="179"/>
      <c r="BY51" s="179"/>
      <c r="BZ51" s="179"/>
      <c r="CA51" s="179"/>
      <c r="CB51" s="179"/>
      <c r="CC51" s="179"/>
      <c r="CD51" s="179"/>
      <c r="CE51" s="179"/>
      <c r="CF51" s="179"/>
      <c r="CG51" s="179"/>
      <c r="CH51" s="179"/>
    </row>
    <row r="52" spans="2:86" ht="22.5" customHeight="1">
      <c r="B52" s="486">
        <v>206</v>
      </c>
      <c r="C52" s="606"/>
      <c r="D52" s="317" t="s">
        <v>573</v>
      </c>
      <c r="E52" s="317"/>
      <c r="F52" s="317"/>
      <c r="G52" s="317"/>
      <c r="H52" s="317"/>
      <c r="I52" s="317"/>
      <c r="J52" s="426">
        <v>3</v>
      </c>
      <c r="K52" s="426"/>
      <c r="L52" s="607"/>
      <c r="M52" s="607"/>
      <c r="N52" s="607"/>
      <c r="O52" s="607"/>
      <c r="P52" s="607"/>
      <c r="Q52" s="607"/>
      <c r="R52" s="607"/>
      <c r="S52" s="209"/>
      <c r="T52" s="607"/>
      <c r="U52" s="607"/>
      <c r="V52" s="607"/>
      <c r="W52" s="607"/>
      <c r="X52" s="608"/>
      <c r="Y52" s="319"/>
      <c r="Z52" s="317"/>
      <c r="AA52" s="317"/>
      <c r="AB52" s="317"/>
      <c r="AC52" s="317"/>
      <c r="AD52" s="317"/>
      <c r="AE52" s="317"/>
      <c r="AF52" s="317"/>
      <c r="AG52" s="317"/>
      <c r="AH52" s="317"/>
      <c r="AI52" s="317"/>
      <c r="AJ52" s="320"/>
      <c r="AL52" s="182" t="s">
        <v>242</v>
      </c>
      <c r="AM52" s="182"/>
      <c r="AN52" s="182"/>
      <c r="AO52" s="182"/>
      <c r="AP52" s="182"/>
      <c r="AQ52" s="182"/>
      <c r="AR52" s="183"/>
      <c r="AS52" s="183"/>
      <c r="AT52" s="183"/>
      <c r="AU52" s="183"/>
      <c r="AV52" s="183"/>
      <c r="AW52" s="183"/>
      <c r="AX52" s="184"/>
      <c r="AY52" s="184"/>
      <c r="AZ52" s="184"/>
      <c r="BA52" s="184"/>
      <c r="BB52" s="185"/>
      <c r="BC52" s="185"/>
      <c r="BD52" s="185"/>
      <c r="BE52" s="185"/>
      <c r="BF52" s="186"/>
      <c r="BG52" s="186"/>
      <c r="BH52" s="186"/>
      <c r="BI52" s="186"/>
      <c r="BJ52" s="163"/>
      <c r="BK52" s="163"/>
      <c r="BL52" s="163"/>
      <c r="BM52" s="163"/>
      <c r="BN52" s="163"/>
      <c r="BO52" s="163"/>
      <c r="BP52" s="163"/>
      <c r="BQ52" s="163"/>
      <c r="BR52" s="163"/>
      <c r="BS52" s="163"/>
      <c r="BT52" s="163"/>
      <c r="BU52" s="163"/>
      <c r="BW52" s="678"/>
      <c r="BX52" s="679"/>
      <c r="BY52" s="679"/>
      <c r="BZ52" s="679"/>
      <c r="CA52" s="679"/>
      <c r="CB52" s="679"/>
      <c r="CC52" s="679"/>
      <c r="CD52" s="679"/>
      <c r="CE52" s="679"/>
      <c r="CF52" s="679"/>
      <c r="CG52" s="679"/>
      <c r="CH52" s="680"/>
    </row>
    <row r="53" spans="2:86" ht="22.5" customHeight="1">
      <c r="B53" s="486">
        <v>207</v>
      </c>
      <c r="C53" s="606"/>
      <c r="D53" s="317" t="s">
        <v>574</v>
      </c>
      <c r="E53" s="317"/>
      <c r="F53" s="317"/>
      <c r="G53" s="317"/>
      <c r="H53" s="317"/>
      <c r="I53" s="317"/>
      <c r="J53" s="426">
        <v>6</v>
      </c>
      <c r="K53" s="426"/>
      <c r="L53" s="607"/>
      <c r="M53" s="607"/>
      <c r="N53" s="607"/>
      <c r="O53" s="607"/>
      <c r="P53" s="607"/>
      <c r="Q53" s="607"/>
      <c r="R53" s="607"/>
      <c r="S53" s="209"/>
      <c r="T53" s="607"/>
      <c r="U53" s="607"/>
      <c r="V53" s="607"/>
      <c r="W53" s="607"/>
      <c r="X53" s="608"/>
      <c r="Y53" s="319"/>
      <c r="Z53" s="317"/>
      <c r="AA53" s="317"/>
      <c r="AB53" s="317"/>
      <c r="AC53" s="317"/>
      <c r="AD53" s="317"/>
      <c r="AE53" s="317"/>
      <c r="AF53" s="317"/>
      <c r="AG53" s="317"/>
      <c r="AH53" s="317"/>
      <c r="AI53" s="317"/>
      <c r="AJ53" s="320"/>
      <c r="AL53" s="671" t="s">
        <v>27</v>
      </c>
      <c r="AM53" s="671"/>
      <c r="AN53" s="671" t="s">
        <v>58</v>
      </c>
      <c r="AO53" s="671"/>
      <c r="AP53" s="671" t="s">
        <v>14</v>
      </c>
      <c r="AQ53" s="671"/>
      <c r="AR53" s="671" t="s">
        <v>22</v>
      </c>
      <c r="AS53" s="671"/>
      <c r="AT53" s="671" t="s">
        <v>1</v>
      </c>
      <c r="AU53" s="671"/>
      <c r="AV53" s="671" t="s">
        <v>18</v>
      </c>
      <c r="AW53" s="671"/>
      <c r="AX53" s="671" t="s">
        <v>28</v>
      </c>
      <c r="AY53" s="671"/>
      <c r="AZ53" s="671" t="s">
        <v>24</v>
      </c>
      <c r="BA53" s="671"/>
      <c r="BB53" s="671" t="s">
        <v>16</v>
      </c>
      <c r="BC53" s="671"/>
      <c r="BD53" s="671" t="s">
        <v>67</v>
      </c>
      <c r="BE53" s="671"/>
      <c r="BF53" s="671" t="s">
        <v>20</v>
      </c>
      <c r="BG53" s="671"/>
      <c r="BH53" s="671" t="s">
        <v>68</v>
      </c>
      <c r="BI53" s="671"/>
      <c r="BK53" s="672" t="s">
        <v>108</v>
      </c>
      <c r="BL53" s="673"/>
      <c r="BM53" s="659">
        <f>SUM(AL54:BI54)</f>
        <v>2</v>
      </c>
      <c r="BN53" s="660"/>
      <c r="BO53" s="661"/>
      <c r="BP53" s="676" t="s">
        <v>107</v>
      </c>
      <c r="BQ53" s="677"/>
      <c r="BR53" s="673"/>
      <c r="BS53" s="665"/>
      <c r="BT53" s="666"/>
      <c r="BU53" s="667"/>
      <c r="BW53" s="681"/>
      <c r="BX53" s="682"/>
      <c r="BY53" s="682"/>
      <c r="BZ53" s="682"/>
      <c r="CA53" s="682"/>
      <c r="CB53" s="682"/>
      <c r="CC53" s="682"/>
      <c r="CD53" s="682"/>
      <c r="CE53" s="682"/>
      <c r="CF53" s="682"/>
      <c r="CG53" s="682"/>
      <c r="CH53" s="683"/>
    </row>
    <row r="54" spans="2:86" ht="22.5" customHeight="1">
      <c r="B54" s="486">
        <v>208</v>
      </c>
      <c r="C54" s="606"/>
      <c r="D54" s="317" t="s">
        <v>575</v>
      </c>
      <c r="E54" s="317"/>
      <c r="F54" s="317"/>
      <c r="G54" s="317"/>
      <c r="H54" s="317"/>
      <c r="I54" s="317"/>
      <c r="J54" s="426">
        <v>4</v>
      </c>
      <c r="K54" s="426"/>
      <c r="L54" s="607"/>
      <c r="M54" s="607"/>
      <c r="N54" s="607"/>
      <c r="O54" s="607"/>
      <c r="P54" s="607"/>
      <c r="Q54" s="607"/>
      <c r="R54" s="607"/>
      <c r="S54" s="209"/>
      <c r="T54" s="607"/>
      <c r="U54" s="607"/>
      <c r="V54" s="607"/>
      <c r="W54" s="607"/>
      <c r="X54" s="608"/>
      <c r="Y54" s="319"/>
      <c r="Z54" s="317"/>
      <c r="AA54" s="317"/>
      <c r="AB54" s="317"/>
      <c r="AC54" s="317"/>
      <c r="AD54" s="317"/>
      <c r="AE54" s="317"/>
      <c r="AF54" s="317"/>
      <c r="AG54" s="317"/>
      <c r="AH54" s="317"/>
      <c r="AI54" s="317"/>
      <c r="AJ54" s="320"/>
      <c r="AL54" s="330">
        <v>1</v>
      </c>
      <c r="AM54" s="330"/>
      <c r="AN54" s="330">
        <v>1</v>
      </c>
      <c r="AO54" s="330"/>
      <c r="AP54" s="330">
        <v>0</v>
      </c>
      <c r="AQ54" s="330"/>
      <c r="AR54" s="330"/>
      <c r="AS54" s="330"/>
      <c r="AT54" s="330"/>
      <c r="AU54" s="330"/>
      <c r="AV54" s="330"/>
      <c r="AW54" s="330"/>
      <c r="AX54" s="330"/>
      <c r="AY54" s="330"/>
      <c r="AZ54" s="330"/>
      <c r="BA54" s="330"/>
      <c r="BB54" s="330"/>
      <c r="BC54" s="330"/>
      <c r="BD54" s="330"/>
      <c r="BE54" s="330"/>
      <c r="BF54" s="330"/>
      <c r="BG54" s="330"/>
      <c r="BH54" s="330"/>
      <c r="BI54" s="330"/>
      <c r="BK54" s="674"/>
      <c r="BL54" s="675"/>
      <c r="BM54" s="662"/>
      <c r="BN54" s="663"/>
      <c r="BO54" s="664"/>
      <c r="BP54" s="652">
        <f>IF(COUNT(AL54:BI54)=0,"",ROUND(AVERAGE(AL54:BI54),1))</f>
        <v>0.7</v>
      </c>
      <c r="BQ54" s="653"/>
      <c r="BR54" s="654"/>
      <c r="BS54" s="668"/>
      <c r="BT54" s="669"/>
      <c r="BU54" s="670"/>
      <c r="BW54" s="681"/>
      <c r="BX54" s="682"/>
      <c r="BY54" s="682"/>
      <c r="BZ54" s="682"/>
      <c r="CA54" s="682"/>
      <c r="CB54" s="682"/>
      <c r="CC54" s="682"/>
      <c r="CD54" s="682"/>
      <c r="CE54" s="682"/>
      <c r="CF54" s="682"/>
      <c r="CG54" s="682"/>
      <c r="CH54" s="683"/>
    </row>
    <row r="55" spans="2:86" ht="22.5" customHeight="1">
      <c r="B55" s="486">
        <v>209</v>
      </c>
      <c r="C55" s="606"/>
      <c r="D55" s="317" t="s">
        <v>576</v>
      </c>
      <c r="E55" s="317"/>
      <c r="F55" s="317"/>
      <c r="G55" s="317"/>
      <c r="H55" s="317"/>
      <c r="I55" s="317"/>
      <c r="J55" s="426">
        <v>3</v>
      </c>
      <c r="K55" s="426"/>
      <c r="L55" s="607" t="s">
        <v>937</v>
      </c>
      <c r="M55" s="607"/>
      <c r="N55" s="607"/>
      <c r="O55" s="607"/>
      <c r="P55" s="607"/>
      <c r="Q55" s="607"/>
      <c r="R55" s="607"/>
      <c r="S55" s="209"/>
      <c r="T55" s="607"/>
      <c r="U55" s="607"/>
      <c r="V55" s="607"/>
      <c r="W55" s="607"/>
      <c r="X55" s="608"/>
      <c r="Y55" s="319"/>
      <c r="Z55" s="317"/>
      <c r="AA55" s="317"/>
      <c r="AB55" s="317"/>
      <c r="AC55" s="317"/>
      <c r="AD55" s="317"/>
      <c r="AE55" s="317"/>
      <c r="AF55" s="317"/>
      <c r="AG55" s="317"/>
      <c r="AH55" s="317"/>
      <c r="AI55" s="317"/>
      <c r="AJ55" s="320"/>
      <c r="AL55" s="173"/>
      <c r="AM55" s="174"/>
      <c r="AN55" s="174"/>
      <c r="AO55" s="174"/>
      <c r="AQ55" s="169"/>
      <c r="AR55" s="168"/>
      <c r="AS55" s="168"/>
      <c r="AT55" s="168"/>
      <c r="AU55" s="168"/>
      <c r="AV55" s="168"/>
      <c r="AW55" s="169"/>
      <c r="AX55" s="172"/>
      <c r="AY55" s="172"/>
      <c r="AZ55" s="172"/>
      <c r="BA55" s="172"/>
      <c r="BB55" s="168"/>
      <c r="BC55" s="168"/>
      <c r="BD55" s="168"/>
      <c r="BE55" s="168"/>
      <c r="BF55" s="169"/>
      <c r="BG55" s="169"/>
      <c r="BH55" s="169"/>
      <c r="BI55" s="169"/>
      <c r="BW55" s="681"/>
      <c r="BX55" s="682"/>
      <c r="BY55" s="682"/>
      <c r="BZ55" s="682"/>
      <c r="CA55" s="682"/>
      <c r="CB55" s="682"/>
      <c r="CC55" s="682"/>
      <c r="CD55" s="682"/>
      <c r="CE55" s="682"/>
      <c r="CF55" s="682"/>
      <c r="CG55" s="682"/>
      <c r="CH55" s="683"/>
    </row>
    <row r="56" spans="2:86" ht="22.5" customHeight="1" thickBot="1">
      <c r="B56" s="622">
        <v>210</v>
      </c>
      <c r="C56" s="623"/>
      <c r="D56" s="624" t="s">
        <v>577</v>
      </c>
      <c r="E56" s="624"/>
      <c r="F56" s="624"/>
      <c r="G56" s="624"/>
      <c r="H56" s="624"/>
      <c r="I56" s="624"/>
      <c r="J56" s="625">
        <v>3</v>
      </c>
      <c r="K56" s="625"/>
      <c r="L56" s="626"/>
      <c r="M56" s="626"/>
      <c r="N56" s="626"/>
      <c r="O56" s="626"/>
      <c r="P56" s="626"/>
      <c r="Q56" s="626"/>
      <c r="R56" s="626"/>
      <c r="S56" s="211"/>
      <c r="T56" s="626"/>
      <c r="U56" s="626"/>
      <c r="V56" s="626"/>
      <c r="W56" s="626"/>
      <c r="X56" s="627"/>
      <c r="Y56" s="628"/>
      <c r="Z56" s="624"/>
      <c r="AA56" s="624"/>
      <c r="AB56" s="624"/>
      <c r="AC56" s="624"/>
      <c r="AD56" s="624"/>
      <c r="AE56" s="624"/>
      <c r="AF56" s="624"/>
      <c r="AG56" s="624"/>
      <c r="AH56" s="624"/>
      <c r="AI56" s="624"/>
      <c r="AJ56" s="629"/>
      <c r="AL56" s="182" t="s">
        <v>243</v>
      </c>
      <c r="AM56" s="182"/>
      <c r="AN56" s="182"/>
      <c r="AO56" s="182"/>
      <c r="AP56" s="182"/>
      <c r="AQ56" s="182"/>
      <c r="AR56" s="183"/>
      <c r="AS56" s="183"/>
      <c r="AT56" s="183"/>
      <c r="AU56" s="183"/>
      <c r="AV56" s="183"/>
      <c r="AW56" s="183"/>
      <c r="AX56" s="179"/>
      <c r="AY56" s="184"/>
      <c r="AZ56" s="184"/>
      <c r="BA56" s="184"/>
      <c r="BB56" s="185"/>
      <c r="BC56" s="185"/>
      <c r="BD56" s="185"/>
      <c r="BE56" s="185"/>
      <c r="BF56" s="186"/>
      <c r="BG56" s="186"/>
      <c r="BH56" s="186"/>
      <c r="BI56" s="186"/>
      <c r="BJ56" s="163"/>
      <c r="BK56" s="163"/>
      <c r="BL56" s="163"/>
      <c r="BM56" s="163"/>
      <c r="BN56" s="163"/>
      <c r="BO56" s="163"/>
      <c r="BP56" s="163"/>
      <c r="BQ56" s="163"/>
      <c r="BR56" s="163"/>
      <c r="BS56" s="163"/>
      <c r="BT56" s="163"/>
      <c r="BU56" s="163"/>
      <c r="BW56" s="681"/>
      <c r="BX56" s="682"/>
      <c r="BY56" s="682"/>
      <c r="BZ56" s="682"/>
      <c r="CA56" s="682"/>
      <c r="CB56" s="682"/>
      <c r="CC56" s="682"/>
      <c r="CD56" s="682"/>
      <c r="CE56" s="682"/>
      <c r="CF56" s="682"/>
      <c r="CG56" s="682"/>
      <c r="CH56" s="683"/>
    </row>
    <row r="57" spans="2:86" ht="22.5" customHeight="1">
      <c r="B57" s="550">
        <v>301</v>
      </c>
      <c r="C57" s="645"/>
      <c r="D57" s="646"/>
      <c r="E57" s="646"/>
      <c r="F57" s="646"/>
      <c r="G57" s="646"/>
      <c r="H57" s="646"/>
      <c r="I57" s="646"/>
      <c r="J57" s="647"/>
      <c r="K57" s="647"/>
      <c r="L57" s="648"/>
      <c r="M57" s="648"/>
      <c r="N57" s="648"/>
      <c r="O57" s="648"/>
      <c r="P57" s="648"/>
      <c r="Q57" s="648"/>
      <c r="R57" s="648"/>
      <c r="S57" s="212"/>
      <c r="T57" s="648"/>
      <c r="U57" s="648"/>
      <c r="V57" s="648"/>
      <c r="W57" s="648"/>
      <c r="X57" s="649"/>
      <c r="Y57" s="650"/>
      <c r="Z57" s="646"/>
      <c r="AA57" s="646"/>
      <c r="AB57" s="646"/>
      <c r="AC57" s="646"/>
      <c r="AD57" s="646"/>
      <c r="AE57" s="646"/>
      <c r="AF57" s="646"/>
      <c r="AG57" s="646"/>
      <c r="AH57" s="646"/>
      <c r="AI57" s="646"/>
      <c r="AJ57" s="651"/>
      <c r="AL57" s="600" t="s">
        <v>27</v>
      </c>
      <c r="AM57" s="600"/>
      <c r="AN57" s="600" t="s">
        <v>58</v>
      </c>
      <c r="AO57" s="600"/>
      <c r="AP57" s="600" t="s">
        <v>14</v>
      </c>
      <c r="AQ57" s="600"/>
      <c r="AR57" s="600" t="s">
        <v>22</v>
      </c>
      <c r="AS57" s="600"/>
      <c r="AT57" s="600" t="s">
        <v>1</v>
      </c>
      <c r="AU57" s="600"/>
      <c r="AV57" s="600" t="s">
        <v>18</v>
      </c>
      <c r="AW57" s="600"/>
      <c r="AX57" s="600" t="s">
        <v>28</v>
      </c>
      <c r="AY57" s="600"/>
      <c r="AZ57" s="600" t="s">
        <v>24</v>
      </c>
      <c r="BA57" s="600"/>
      <c r="BB57" s="600" t="s">
        <v>16</v>
      </c>
      <c r="BC57" s="600"/>
      <c r="BD57" s="600" t="s">
        <v>67</v>
      </c>
      <c r="BE57" s="600"/>
      <c r="BF57" s="600" t="s">
        <v>20</v>
      </c>
      <c r="BG57" s="600"/>
      <c r="BH57" s="600" t="s">
        <v>68</v>
      </c>
      <c r="BI57" s="600"/>
      <c r="BK57" s="658" t="s">
        <v>108</v>
      </c>
      <c r="BL57" s="326"/>
      <c r="BM57" s="659">
        <f>SUM(AL58:BI58)</f>
        <v>0</v>
      </c>
      <c r="BN57" s="660"/>
      <c r="BO57" s="661"/>
      <c r="BP57" s="327" t="s">
        <v>107</v>
      </c>
      <c r="BQ57" s="328"/>
      <c r="BR57" s="326"/>
      <c r="BS57" s="665"/>
      <c r="BT57" s="666"/>
      <c r="BU57" s="667"/>
      <c r="BW57" s="684"/>
      <c r="BX57" s="685"/>
      <c r="BY57" s="685"/>
      <c r="BZ57" s="685"/>
      <c r="CA57" s="685"/>
      <c r="CB57" s="685"/>
      <c r="CC57" s="685"/>
      <c r="CD57" s="685"/>
      <c r="CE57" s="685"/>
      <c r="CF57" s="685"/>
      <c r="CG57" s="685"/>
      <c r="CH57" s="686"/>
    </row>
    <row r="58" spans="2:86" ht="22.5" customHeight="1">
      <c r="B58" s="486">
        <v>302</v>
      </c>
      <c r="C58" s="606"/>
      <c r="D58" s="317"/>
      <c r="E58" s="317"/>
      <c r="F58" s="317"/>
      <c r="G58" s="317"/>
      <c r="H58" s="317"/>
      <c r="I58" s="317"/>
      <c r="J58" s="426"/>
      <c r="K58" s="426"/>
      <c r="L58" s="607"/>
      <c r="M58" s="607"/>
      <c r="N58" s="607"/>
      <c r="O58" s="607"/>
      <c r="P58" s="607"/>
      <c r="Q58" s="607"/>
      <c r="R58" s="607"/>
      <c r="S58" s="209"/>
      <c r="T58" s="607"/>
      <c r="U58" s="607"/>
      <c r="V58" s="607"/>
      <c r="W58" s="607"/>
      <c r="X58" s="608"/>
      <c r="Y58" s="319"/>
      <c r="Z58" s="317"/>
      <c r="AA58" s="317"/>
      <c r="AB58" s="317"/>
      <c r="AC58" s="317"/>
      <c r="AD58" s="317"/>
      <c r="AE58" s="317"/>
      <c r="AF58" s="317"/>
      <c r="AG58" s="317"/>
      <c r="AH58" s="317"/>
      <c r="AI58" s="317"/>
      <c r="AJ58" s="320"/>
      <c r="AL58" s="330">
        <v>0</v>
      </c>
      <c r="AM58" s="330"/>
      <c r="AN58" s="330">
        <v>0</v>
      </c>
      <c r="AO58" s="330"/>
      <c r="AP58" s="330">
        <v>0</v>
      </c>
      <c r="AQ58" s="330"/>
      <c r="AR58" s="330">
        <v>0</v>
      </c>
      <c r="AS58" s="330"/>
      <c r="AT58" s="330"/>
      <c r="AU58" s="330"/>
      <c r="AV58" s="330"/>
      <c r="AW58" s="330"/>
      <c r="AX58" s="330"/>
      <c r="AY58" s="330"/>
      <c r="AZ58" s="330"/>
      <c r="BA58" s="330"/>
      <c r="BB58" s="330"/>
      <c r="BC58" s="330"/>
      <c r="BD58" s="330"/>
      <c r="BE58" s="330"/>
      <c r="BF58" s="330"/>
      <c r="BG58" s="330"/>
      <c r="BH58" s="330"/>
      <c r="BI58" s="330"/>
      <c r="BK58" s="575"/>
      <c r="BL58" s="576"/>
      <c r="BM58" s="662"/>
      <c r="BN58" s="663"/>
      <c r="BO58" s="664"/>
      <c r="BP58" s="652">
        <f>IF(COUNT(AL58:BI58)=0,"",ROUND(AVERAGE(AL58:BI58),1))</f>
        <v>0</v>
      </c>
      <c r="BQ58" s="653"/>
      <c r="BR58" s="654"/>
      <c r="BS58" s="668"/>
      <c r="BT58" s="669"/>
      <c r="BU58" s="670"/>
    </row>
    <row r="59" spans="2:86" ht="22.5" customHeight="1">
      <c r="B59" s="486">
        <v>303</v>
      </c>
      <c r="C59" s="606"/>
      <c r="D59" s="317"/>
      <c r="E59" s="317"/>
      <c r="F59" s="317"/>
      <c r="G59" s="317"/>
      <c r="H59" s="317"/>
      <c r="I59" s="317"/>
      <c r="J59" s="426"/>
      <c r="K59" s="426"/>
      <c r="L59" s="607"/>
      <c r="M59" s="607"/>
      <c r="N59" s="607"/>
      <c r="O59" s="607"/>
      <c r="P59" s="607"/>
      <c r="Q59" s="607"/>
      <c r="R59" s="607"/>
      <c r="S59" s="209"/>
      <c r="T59" s="607"/>
      <c r="U59" s="607"/>
      <c r="V59" s="607"/>
      <c r="W59" s="607"/>
      <c r="X59" s="608"/>
      <c r="Y59" s="319"/>
      <c r="Z59" s="317"/>
      <c r="AA59" s="317"/>
      <c r="AB59" s="317"/>
      <c r="AC59" s="317"/>
      <c r="AD59" s="317"/>
      <c r="AE59" s="317"/>
      <c r="AF59" s="317"/>
      <c r="AG59" s="317"/>
      <c r="AH59" s="317"/>
      <c r="AI59" s="317"/>
      <c r="AJ59" s="320"/>
      <c r="AY59" s="172"/>
      <c r="AZ59" s="172"/>
      <c r="BA59" s="172"/>
      <c r="BB59" s="168"/>
      <c r="BC59" s="168"/>
      <c r="BD59" s="168"/>
      <c r="BE59" s="168"/>
      <c r="BF59" s="169"/>
      <c r="BG59" s="169"/>
      <c r="BH59" s="169"/>
      <c r="BI59" s="169"/>
      <c r="BW59" s="179" t="s">
        <v>259</v>
      </c>
      <c r="BX59" s="179"/>
      <c r="BY59" s="179"/>
      <c r="BZ59" s="179"/>
      <c r="CA59" s="179"/>
      <c r="CB59" s="179"/>
      <c r="CC59" s="179"/>
      <c r="CD59" s="179"/>
      <c r="CE59" s="179"/>
      <c r="CF59" s="179"/>
      <c r="CG59" s="179"/>
      <c r="CH59" s="179"/>
    </row>
    <row r="60" spans="2:86" ht="22.5" customHeight="1">
      <c r="B60" s="486">
        <v>304</v>
      </c>
      <c r="C60" s="606"/>
      <c r="D60" s="317"/>
      <c r="E60" s="317"/>
      <c r="F60" s="317"/>
      <c r="G60" s="317"/>
      <c r="H60" s="317"/>
      <c r="I60" s="317"/>
      <c r="J60" s="426"/>
      <c r="K60" s="426"/>
      <c r="L60" s="607"/>
      <c r="M60" s="607"/>
      <c r="N60" s="607"/>
      <c r="O60" s="607"/>
      <c r="P60" s="607"/>
      <c r="Q60" s="607"/>
      <c r="R60" s="607"/>
      <c r="S60" s="209"/>
      <c r="T60" s="607"/>
      <c r="U60" s="607"/>
      <c r="V60" s="607"/>
      <c r="W60" s="607"/>
      <c r="X60" s="608"/>
      <c r="Y60" s="319"/>
      <c r="Z60" s="317"/>
      <c r="AA60" s="317"/>
      <c r="AB60" s="317"/>
      <c r="AC60" s="317"/>
      <c r="AD60" s="317"/>
      <c r="AE60" s="317"/>
      <c r="AF60" s="317"/>
      <c r="AG60" s="317"/>
      <c r="AH60" s="317"/>
      <c r="AI60" s="317"/>
      <c r="AJ60" s="320"/>
      <c r="AL60" s="182" t="s">
        <v>231</v>
      </c>
      <c r="AM60" s="182"/>
      <c r="AN60" s="182"/>
      <c r="AO60" s="182"/>
      <c r="AP60" s="182"/>
      <c r="AQ60" s="182"/>
      <c r="AR60" s="183"/>
      <c r="AS60" s="183"/>
      <c r="AT60" s="183"/>
      <c r="AU60" s="183"/>
      <c r="AV60" s="183"/>
      <c r="AW60" s="183"/>
      <c r="AX60" s="184"/>
      <c r="AY60" s="184"/>
      <c r="AZ60" s="184"/>
      <c r="BA60" s="184"/>
      <c r="BB60" s="185"/>
      <c r="BC60" s="185"/>
      <c r="BD60" s="185"/>
      <c r="BE60" s="185"/>
      <c r="BF60" s="186"/>
      <c r="BG60" s="186"/>
      <c r="BH60" s="186"/>
      <c r="BI60" s="186"/>
      <c r="BJ60" s="163"/>
      <c r="BK60" s="163"/>
      <c r="BL60" s="163"/>
      <c r="BM60" s="163"/>
      <c r="BN60" s="163"/>
      <c r="BO60" s="163"/>
      <c r="BP60" s="163"/>
      <c r="BQ60" s="163"/>
      <c r="BR60" s="163"/>
      <c r="BS60" s="163"/>
      <c r="BT60" s="163"/>
      <c r="BU60" s="163"/>
      <c r="BW60" s="687"/>
      <c r="BX60" s="688"/>
      <c r="BY60" s="688"/>
      <c r="BZ60" s="688"/>
      <c r="CA60" s="688"/>
      <c r="CB60" s="688"/>
      <c r="CC60" s="688"/>
      <c r="CD60" s="688"/>
      <c r="CE60" s="688"/>
      <c r="CF60" s="688"/>
      <c r="CG60" s="688"/>
      <c r="CH60" s="689"/>
    </row>
    <row r="61" spans="2:86" ht="22.5" customHeight="1">
      <c r="B61" s="486">
        <v>305</v>
      </c>
      <c r="C61" s="606"/>
      <c r="D61" s="317"/>
      <c r="E61" s="317"/>
      <c r="F61" s="317"/>
      <c r="G61" s="317"/>
      <c r="H61" s="317"/>
      <c r="I61" s="317"/>
      <c r="J61" s="426"/>
      <c r="K61" s="426"/>
      <c r="L61" s="607"/>
      <c r="M61" s="607"/>
      <c r="N61" s="607"/>
      <c r="O61" s="607"/>
      <c r="P61" s="607"/>
      <c r="Q61" s="607"/>
      <c r="R61" s="607"/>
      <c r="S61" s="209"/>
      <c r="T61" s="607"/>
      <c r="U61" s="607"/>
      <c r="V61" s="607"/>
      <c r="W61" s="607"/>
      <c r="X61" s="608"/>
      <c r="Y61" s="319"/>
      <c r="Z61" s="317"/>
      <c r="AA61" s="317"/>
      <c r="AB61" s="317"/>
      <c r="AC61" s="317"/>
      <c r="AD61" s="317"/>
      <c r="AE61" s="317"/>
      <c r="AF61" s="317"/>
      <c r="AG61" s="317"/>
      <c r="AH61" s="317"/>
      <c r="AI61" s="317"/>
      <c r="AJ61" s="320"/>
      <c r="AL61" s="600" t="s">
        <v>27</v>
      </c>
      <c r="AM61" s="600"/>
      <c r="AN61" s="600" t="s">
        <v>58</v>
      </c>
      <c r="AO61" s="600"/>
      <c r="AP61" s="600" t="s">
        <v>14</v>
      </c>
      <c r="AQ61" s="600"/>
      <c r="AR61" s="600" t="s">
        <v>22</v>
      </c>
      <c r="AS61" s="600"/>
      <c r="AT61" s="600" t="s">
        <v>1</v>
      </c>
      <c r="AU61" s="600"/>
      <c r="AV61" s="600" t="s">
        <v>18</v>
      </c>
      <c r="AW61" s="600"/>
      <c r="AX61" s="600" t="s">
        <v>28</v>
      </c>
      <c r="AY61" s="600"/>
      <c r="AZ61" s="600" t="s">
        <v>24</v>
      </c>
      <c r="BA61" s="600"/>
      <c r="BB61" s="600" t="s">
        <v>16</v>
      </c>
      <c r="BC61" s="600"/>
      <c r="BD61" s="600" t="s">
        <v>67</v>
      </c>
      <c r="BE61" s="600"/>
      <c r="BF61" s="600" t="s">
        <v>20</v>
      </c>
      <c r="BG61" s="600"/>
      <c r="BH61" s="600" t="s">
        <v>68</v>
      </c>
      <c r="BI61" s="600"/>
      <c r="BK61" s="658" t="s">
        <v>108</v>
      </c>
      <c r="BL61" s="326"/>
      <c r="BM61" s="699">
        <f>SUM(AL62:BI62)</f>
        <v>0</v>
      </c>
      <c r="BN61" s="700"/>
      <c r="BO61" s="701"/>
      <c r="BP61" s="327" t="s">
        <v>107</v>
      </c>
      <c r="BQ61" s="328"/>
      <c r="BR61" s="326"/>
      <c r="BS61" s="665"/>
      <c r="BT61" s="666"/>
      <c r="BU61" s="667"/>
      <c r="BW61" s="690"/>
      <c r="BX61" s="691"/>
      <c r="BY61" s="691"/>
      <c r="BZ61" s="691"/>
      <c r="CA61" s="691"/>
      <c r="CB61" s="691"/>
      <c r="CC61" s="691"/>
      <c r="CD61" s="691"/>
      <c r="CE61" s="691"/>
      <c r="CF61" s="691"/>
      <c r="CG61" s="691"/>
      <c r="CH61" s="692"/>
    </row>
    <row r="62" spans="2:86" ht="22.5" customHeight="1">
      <c r="B62" s="486">
        <v>306</v>
      </c>
      <c r="C62" s="606"/>
      <c r="D62" s="317"/>
      <c r="E62" s="317"/>
      <c r="F62" s="317"/>
      <c r="G62" s="317"/>
      <c r="H62" s="317"/>
      <c r="I62" s="317"/>
      <c r="J62" s="426"/>
      <c r="K62" s="426"/>
      <c r="L62" s="607"/>
      <c r="M62" s="607"/>
      <c r="N62" s="607"/>
      <c r="O62" s="607"/>
      <c r="P62" s="607"/>
      <c r="Q62" s="607"/>
      <c r="R62" s="607"/>
      <c r="S62" s="209"/>
      <c r="T62" s="607"/>
      <c r="U62" s="607"/>
      <c r="V62" s="607"/>
      <c r="W62" s="607"/>
      <c r="X62" s="608"/>
      <c r="Y62" s="319"/>
      <c r="Z62" s="317"/>
      <c r="AA62" s="317"/>
      <c r="AB62" s="317"/>
      <c r="AC62" s="317"/>
      <c r="AD62" s="317"/>
      <c r="AE62" s="317"/>
      <c r="AF62" s="317"/>
      <c r="AG62" s="317"/>
      <c r="AH62" s="317"/>
      <c r="AI62" s="317"/>
      <c r="AJ62" s="320"/>
      <c r="AL62" s="330"/>
      <c r="AM62" s="330"/>
      <c r="AN62" s="330"/>
      <c r="AO62" s="330"/>
      <c r="AP62" s="330"/>
      <c r="AQ62" s="330"/>
      <c r="AR62" s="330"/>
      <c r="AS62" s="330"/>
      <c r="AT62" s="330"/>
      <c r="AU62" s="330"/>
      <c r="AV62" s="330"/>
      <c r="AW62" s="330"/>
      <c r="AX62" s="330"/>
      <c r="AY62" s="330"/>
      <c r="AZ62" s="330"/>
      <c r="BA62" s="330"/>
      <c r="BB62" s="330"/>
      <c r="BC62" s="330"/>
      <c r="BD62" s="330"/>
      <c r="BE62" s="330"/>
      <c r="BF62" s="330"/>
      <c r="BG62" s="330"/>
      <c r="BH62" s="330"/>
      <c r="BI62" s="330"/>
      <c r="BK62" s="575"/>
      <c r="BL62" s="576"/>
      <c r="BM62" s="702"/>
      <c r="BN62" s="703"/>
      <c r="BO62" s="704"/>
      <c r="BP62" s="696" t="str">
        <f>IF(COUNT(AL62:BI62)=0,"",ROUND(AVERAGE(AL62:BI62),1))</f>
        <v/>
      </c>
      <c r="BQ62" s="697"/>
      <c r="BR62" s="698"/>
      <c r="BS62" s="668"/>
      <c r="BT62" s="669"/>
      <c r="BU62" s="670"/>
      <c r="BW62" s="690"/>
      <c r="BX62" s="691"/>
      <c r="BY62" s="691"/>
      <c r="BZ62" s="691"/>
      <c r="CA62" s="691"/>
      <c r="CB62" s="691"/>
      <c r="CC62" s="691"/>
      <c r="CD62" s="691"/>
      <c r="CE62" s="691"/>
      <c r="CF62" s="691"/>
      <c r="CG62" s="691"/>
      <c r="CH62" s="692"/>
    </row>
    <row r="63" spans="2:86" ht="22.5" customHeight="1">
      <c r="B63" s="486">
        <v>307</v>
      </c>
      <c r="C63" s="606"/>
      <c r="D63" s="317"/>
      <c r="E63" s="317"/>
      <c r="F63" s="317"/>
      <c r="G63" s="317"/>
      <c r="H63" s="317"/>
      <c r="I63" s="317"/>
      <c r="J63" s="426"/>
      <c r="K63" s="426"/>
      <c r="L63" s="607"/>
      <c r="M63" s="607"/>
      <c r="N63" s="607"/>
      <c r="O63" s="607"/>
      <c r="P63" s="607"/>
      <c r="Q63" s="607"/>
      <c r="R63" s="607"/>
      <c r="S63" s="209"/>
      <c r="T63" s="607"/>
      <c r="U63" s="607"/>
      <c r="V63" s="607"/>
      <c r="W63" s="607"/>
      <c r="X63" s="608"/>
      <c r="Y63" s="319"/>
      <c r="Z63" s="317"/>
      <c r="AA63" s="317"/>
      <c r="AB63" s="317"/>
      <c r="AC63" s="317"/>
      <c r="AD63" s="317"/>
      <c r="AE63" s="317"/>
      <c r="AF63" s="317"/>
      <c r="AG63" s="317"/>
      <c r="AH63" s="317"/>
      <c r="AI63" s="317"/>
      <c r="AJ63" s="320"/>
      <c r="AY63" s="172"/>
      <c r="AZ63" s="172"/>
      <c r="BA63" s="172"/>
      <c r="BB63" s="168"/>
      <c r="BC63" s="168"/>
      <c r="BD63" s="168"/>
      <c r="BE63" s="168"/>
      <c r="BF63" s="169"/>
      <c r="BG63" s="169"/>
      <c r="BH63" s="169"/>
      <c r="BI63" s="169"/>
      <c r="BW63" s="690"/>
      <c r="BX63" s="691"/>
      <c r="BY63" s="691"/>
      <c r="BZ63" s="691"/>
      <c r="CA63" s="691"/>
      <c r="CB63" s="691"/>
      <c r="CC63" s="691"/>
      <c r="CD63" s="691"/>
      <c r="CE63" s="691"/>
      <c r="CF63" s="691"/>
      <c r="CG63" s="691"/>
      <c r="CH63" s="692"/>
    </row>
    <row r="64" spans="2:86" ht="22.5" customHeight="1">
      <c r="B64" s="486">
        <v>308</v>
      </c>
      <c r="C64" s="606"/>
      <c r="D64" s="317"/>
      <c r="E64" s="317"/>
      <c r="F64" s="317"/>
      <c r="G64" s="317"/>
      <c r="H64" s="317"/>
      <c r="I64" s="317"/>
      <c r="J64" s="426"/>
      <c r="K64" s="426"/>
      <c r="L64" s="607"/>
      <c r="M64" s="607"/>
      <c r="N64" s="607"/>
      <c r="O64" s="607"/>
      <c r="P64" s="607"/>
      <c r="Q64" s="607"/>
      <c r="R64" s="607"/>
      <c r="S64" s="209"/>
      <c r="T64" s="607"/>
      <c r="U64" s="607"/>
      <c r="V64" s="607"/>
      <c r="W64" s="607"/>
      <c r="X64" s="608"/>
      <c r="Y64" s="319"/>
      <c r="Z64" s="317"/>
      <c r="AA64" s="317"/>
      <c r="AB64" s="317"/>
      <c r="AC64" s="317"/>
      <c r="AD64" s="317"/>
      <c r="AE64" s="317"/>
      <c r="AF64" s="317"/>
      <c r="AG64" s="317"/>
      <c r="AH64" s="317"/>
      <c r="AI64" s="317"/>
      <c r="AJ64" s="320"/>
      <c r="AL64" s="182" t="s">
        <v>230</v>
      </c>
      <c r="AM64" s="182"/>
      <c r="AN64" s="182"/>
      <c r="AO64" s="182"/>
      <c r="AP64" s="182"/>
      <c r="AQ64" s="182"/>
      <c r="AR64" s="183"/>
      <c r="AS64" s="183"/>
      <c r="AT64" s="183"/>
      <c r="AU64" s="183"/>
      <c r="AV64" s="183"/>
      <c r="AW64" s="183"/>
      <c r="AX64" s="179"/>
      <c r="AY64" s="184"/>
      <c r="AZ64" s="184"/>
      <c r="BA64" s="184"/>
      <c r="BB64" s="185"/>
      <c r="BC64" s="185"/>
      <c r="BD64" s="185"/>
      <c r="BE64" s="185"/>
      <c r="BF64" s="186"/>
      <c r="BG64" s="186"/>
      <c r="BH64" s="186"/>
      <c r="BI64" s="186"/>
      <c r="BJ64" s="163"/>
      <c r="BK64" s="163"/>
      <c r="BL64" s="163"/>
      <c r="BM64" s="163"/>
      <c r="BN64" s="163"/>
      <c r="BO64" s="163"/>
      <c r="BP64" s="163"/>
      <c r="BQ64" s="163"/>
      <c r="BR64" s="163"/>
      <c r="BS64" s="163"/>
      <c r="BT64" s="163"/>
      <c r="BU64" s="163"/>
      <c r="BW64" s="690"/>
      <c r="BX64" s="691"/>
      <c r="BY64" s="691"/>
      <c r="BZ64" s="691"/>
      <c r="CA64" s="691"/>
      <c r="CB64" s="691"/>
      <c r="CC64" s="691"/>
      <c r="CD64" s="691"/>
      <c r="CE64" s="691"/>
      <c r="CF64" s="691"/>
      <c r="CG64" s="691"/>
      <c r="CH64" s="692"/>
    </row>
    <row r="65" spans="2:86" ht="22.5" customHeight="1">
      <c r="B65" s="486">
        <v>309</v>
      </c>
      <c r="C65" s="606"/>
      <c r="D65" s="317"/>
      <c r="E65" s="317"/>
      <c r="F65" s="317"/>
      <c r="G65" s="317"/>
      <c r="H65" s="317"/>
      <c r="I65" s="317"/>
      <c r="J65" s="426"/>
      <c r="K65" s="426"/>
      <c r="L65" s="607"/>
      <c r="M65" s="607"/>
      <c r="N65" s="607"/>
      <c r="O65" s="607"/>
      <c r="P65" s="607"/>
      <c r="Q65" s="607"/>
      <c r="R65" s="607"/>
      <c r="S65" s="209"/>
      <c r="T65" s="607"/>
      <c r="U65" s="607"/>
      <c r="V65" s="607"/>
      <c r="W65" s="607"/>
      <c r="X65" s="608"/>
      <c r="Y65" s="319"/>
      <c r="Z65" s="317"/>
      <c r="AA65" s="317"/>
      <c r="AB65" s="317"/>
      <c r="AC65" s="317"/>
      <c r="AD65" s="317"/>
      <c r="AE65" s="317"/>
      <c r="AF65" s="317"/>
      <c r="AG65" s="317"/>
      <c r="AH65" s="317"/>
      <c r="AI65" s="317"/>
      <c r="AJ65" s="320"/>
      <c r="AL65" s="600" t="s">
        <v>27</v>
      </c>
      <c r="AM65" s="600"/>
      <c r="AN65" s="600" t="s">
        <v>58</v>
      </c>
      <c r="AO65" s="600"/>
      <c r="AP65" s="600" t="s">
        <v>14</v>
      </c>
      <c r="AQ65" s="600"/>
      <c r="AR65" s="600" t="s">
        <v>22</v>
      </c>
      <c r="AS65" s="600"/>
      <c r="AT65" s="600" t="s">
        <v>1</v>
      </c>
      <c r="AU65" s="600"/>
      <c r="AV65" s="600" t="s">
        <v>18</v>
      </c>
      <c r="AW65" s="600"/>
      <c r="AX65" s="600" t="s">
        <v>28</v>
      </c>
      <c r="AY65" s="600"/>
      <c r="AZ65" s="600" t="s">
        <v>24</v>
      </c>
      <c r="BA65" s="600"/>
      <c r="BB65" s="600" t="s">
        <v>16</v>
      </c>
      <c r="BC65" s="600"/>
      <c r="BD65" s="600" t="s">
        <v>67</v>
      </c>
      <c r="BE65" s="600"/>
      <c r="BF65" s="600" t="s">
        <v>20</v>
      </c>
      <c r="BG65" s="600"/>
      <c r="BH65" s="600" t="s">
        <v>68</v>
      </c>
      <c r="BI65" s="600"/>
      <c r="BK65" s="658" t="s">
        <v>108</v>
      </c>
      <c r="BL65" s="326"/>
      <c r="BM65" s="699">
        <f>SUM(AL66:BI66)</f>
        <v>0</v>
      </c>
      <c r="BN65" s="700"/>
      <c r="BO65" s="701"/>
      <c r="BP65" s="327" t="s">
        <v>107</v>
      </c>
      <c r="BQ65" s="328"/>
      <c r="BR65" s="326"/>
      <c r="BS65" s="665"/>
      <c r="BT65" s="666"/>
      <c r="BU65" s="667"/>
      <c r="BW65" s="690"/>
      <c r="BX65" s="691"/>
      <c r="BY65" s="691"/>
      <c r="BZ65" s="691"/>
      <c r="CA65" s="691"/>
      <c r="CB65" s="691"/>
      <c r="CC65" s="691"/>
      <c r="CD65" s="691"/>
      <c r="CE65" s="691"/>
      <c r="CF65" s="691"/>
      <c r="CG65" s="691"/>
      <c r="CH65" s="692"/>
    </row>
    <row r="66" spans="2:86" ht="22.5" customHeight="1">
      <c r="B66" s="575">
        <v>310</v>
      </c>
      <c r="C66" s="705"/>
      <c r="D66" s="534"/>
      <c r="E66" s="534"/>
      <c r="F66" s="534"/>
      <c r="G66" s="534"/>
      <c r="H66" s="534"/>
      <c r="I66" s="534"/>
      <c r="J66" s="706"/>
      <c r="K66" s="706"/>
      <c r="L66" s="656"/>
      <c r="M66" s="656"/>
      <c r="N66" s="656"/>
      <c r="O66" s="656"/>
      <c r="P66" s="656"/>
      <c r="Q66" s="656"/>
      <c r="R66" s="656"/>
      <c r="S66" s="213"/>
      <c r="T66" s="656"/>
      <c r="U66" s="656"/>
      <c r="V66" s="656"/>
      <c r="W66" s="656"/>
      <c r="X66" s="657"/>
      <c r="Y66" s="707"/>
      <c r="Z66" s="534"/>
      <c r="AA66" s="534"/>
      <c r="AB66" s="534"/>
      <c r="AC66" s="534"/>
      <c r="AD66" s="534"/>
      <c r="AE66" s="534"/>
      <c r="AF66" s="534"/>
      <c r="AG66" s="534"/>
      <c r="AH66" s="534"/>
      <c r="AI66" s="534"/>
      <c r="AJ66" s="535"/>
      <c r="AL66" s="330"/>
      <c r="AM66" s="330"/>
      <c r="AN66" s="330"/>
      <c r="AO66" s="330"/>
      <c r="AP66" s="330"/>
      <c r="AQ66" s="330"/>
      <c r="AR66" s="330"/>
      <c r="AS66" s="330"/>
      <c r="AT66" s="330"/>
      <c r="AU66" s="330"/>
      <c r="AV66" s="330"/>
      <c r="AW66" s="330"/>
      <c r="AX66" s="330"/>
      <c r="AY66" s="330"/>
      <c r="AZ66" s="330"/>
      <c r="BA66" s="330"/>
      <c r="BB66" s="330"/>
      <c r="BC66" s="330"/>
      <c r="BD66" s="330"/>
      <c r="BE66" s="330"/>
      <c r="BF66" s="330"/>
      <c r="BG66" s="330"/>
      <c r="BH66" s="330"/>
      <c r="BI66" s="330"/>
      <c r="BK66" s="575"/>
      <c r="BL66" s="576"/>
      <c r="BM66" s="702"/>
      <c r="BN66" s="703"/>
      <c r="BO66" s="704"/>
      <c r="BP66" s="696" t="str">
        <f>IF(COUNT(AL66:BI66)=0,"",ROUND(AVERAGE(AL66:BI66),1))</f>
        <v/>
      </c>
      <c r="BQ66" s="697"/>
      <c r="BR66" s="698"/>
      <c r="BS66" s="668"/>
      <c r="BT66" s="669"/>
      <c r="BU66" s="670"/>
      <c r="BW66" s="693"/>
      <c r="BX66" s="694"/>
      <c r="BY66" s="694"/>
      <c r="BZ66" s="694"/>
      <c r="CA66" s="694"/>
      <c r="CB66" s="694"/>
      <c r="CC66" s="694"/>
      <c r="CD66" s="694"/>
      <c r="CE66" s="694"/>
      <c r="CF66" s="694"/>
      <c r="CG66" s="694"/>
      <c r="CH66" s="695"/>
    </row>
    <row r="68" spans="2:86" ht="22.5" customHeight="1">
      <c r="B68" s="181" t="s">
        <v>31</v>
      </c>
      <c r="C68" s="179"/>
      <c r="D68" s="179"/>
      <c r="E68" s="179"/>
      <c r="F68" s="179"/>
      <c r="G68" s="179"/>
      <c r="H68" s="179"/>
      <c r="I68" s="179"/>
      <c r="J68" s="179"/>
      <c r="K68" s="179"/>
      <c r="L68" s="179"/>
      <c r="M68" s="179"/>
      <c r="N68" s="179"/>
      <c r="O68" s="179"/>
      <c r="P68" s="179"/>
      <c r="Q68" s="179"/>
      <c r="R68" s="179"/>
      <c r="S68" s="179"/>
      <c r="T68" s="179"/>
      <c r="U68" s="179"/>
      <c r="V68" s="179"/>
      <c r="W68" s="179"/>
      <c r="X68" s="179"/>
      <c r="Y68" s="179"/>
      <c r="Z68" s="179"/>
      <c r="AA68" s="179"/>
    </row>
    <row r="69" spans="2:86" ht="22.5" customHeight="1">
      <c r="B69" s="406" t="s">
        <v>0</v>
      </c>
      <c r="C69" s="406"/>
      <c r="D69" s="406"/>
      <c r="E69" s="406"/>
      <c r="F69" s="406"/>
      <c r="G69" s="406"/>
      <c r="H69" s="406"/>
      <c r="I69" s="406"/>
      <c r="J69" s="406"/>
      <c r="K69" s="406"/>
      <c r="L69" s="346" t="s">
        <v>30</v>
      </c>
      <c r="M69" s="343"/>
      <c r="N69" s="343"/>
      <c r="O69" s="343"/>
      <c r="P69" s="343"/>
      <c r="Q69" s="343"/>
      <c r="R69" s="343"/>
      <c r="S69" s="343"/>
      <c r="T69" s="343"/>
      <c r="U69" s="343"/>
      <c r="V69" s="343"/>
      <c r="W69" s="343"/>
      <c r="X69" s="343"/>
      <c r="Y69" s="343"/>
      <c r="Z69" s="343"/>
      <c r="AA69" s="345"/>
    </row>
    <row r="70" spans="2:86" ht="22.5" customHeight="1">
      <c r="B70" s="166" t="s">
        <v>228</v>
      </c>
      <c r="C70" s="429" t="s">
        <v>5</v>
      </c>
      <c r="D70" s="429"/>
      <c r="E70" s="429"/>
      <c r="F70" s="430" t="s">
        <v>8</v>
      </c>
      <c r="G70" s="430"/>
      <c r="H70" s="430"/>
      <c r="I70" s="430"/>
      <c r="J70" s="430"/>
      <c r="K70" s="430"/>
      <c r="L70" s="431" t="s">
        <v>12</v>
      </c>
      <c r="M70" s="432"/>
      <c r="N70" s="433" t="s">
        <v>11</v>
      </c>
      <c r="O70" s="434"/>
      <c r="P70" s="435"/>
      <c r="Q70" s="436"/>
      <c r="R70" s="436"/>
      <c r="S70" s="437"/>
      <c r="T70" s="431" t="s">
        <v>12</v>
      </c>
      <c r="U70" s="432"/>
      <c r="V70" s="433"/>
      <c r="W70" s="434"/>
      <c r="X70" s="435"/>
      <c r="Y70" s="436"/>
      <c r="Z70" s="436"/>
      <c r="AA70" s="438"/>
    </row>
    <row r="71" spans="2:86" ht="22.5" customHeight="1">
      <c r="B71" s="166" t="s">
        <v>228</v>
      </c>
      <c r="C71" s="429"/>
      <c r="D71" s="429"/>
      <c r="E71" s="429"/>
      <c r="F71" s="430" t="s">
        <v>7</v>
      </c>
      <c r="G71" s="430"/>
      <c r="H71" s="430"/>
      <c r="I71" s="430"/>
      <c r="J71" s="430"/>
      <c r="K71" s="430"/>
      <c r="L71" s="431" t="s">
        <v>12</v>
      </c>
      <c r="M71" s="432"/>
      <c r="N71" s="433" t="s">
        <v>11</v>
      </c>
      <c r="O71" s="434"/>
      <c r="P71" s="435"/>
      <c r="Q71" s="436"/>
      <c r="R71" s="436"/>
      <c r="S71" s="437"/>
      <c r="T71" s="431" t="s">
        <v>12</v>
      </c>
      <c r="U71" s="432"/>
      <c r="V71" s="433"/>
      <c r="W71" s="434"/>
      <c r="X71" s="435"/>
      <c r="Y71" s="436"/>
      <c r="Z71" s="436"/>
      <c r="AA71" s="438"/>
    </row>
    <row r="72" spans="2:86" ht="22.5" customHeight="1">
      <c r="B72" s="166" t="s">
        <v>228</v>
      </c>
      <c r="C72" s="429"/>
      <c r="D72" s="429"/>
      <c r="E72" s="429"/>
      <c r="F72" s="430" t="s">
        <v>9</v>
      </c>
      <c r="G72" s="430"/>
      <c r="H72" s="430"/>
      <c r="I72" s="430"/>
      <c r="J72" s="430"/>
      <c r="K72" s="430"/>
      <c r="L72" s="431" t="s">
        <v>12</v>
      </c>
      <c r="M72" s="432"/>
      <c r="N72" s="433" t="s">
        <v>15</v>
      </c>
      <c r="O72" s="434"/>
      <c r="P72" s="205"/>
      <c r="Q72" s="465" t="s">
        <v>17</v>
      </c>
      <c r="R72" s="465"/>
      <c r="S72" s="205"/>
      <c r="T72" s="431" t="s">
        <v>13</v>
      </c>
      <c r="U72" s="432"/>
      <c r="V72" s="433" t="s">
        <v>19</v>
      </c>
      <c r="W72" s="434"/>
      <c r="X72" s="206"/>
      <c r="Y72" s="465" t="s">
        <v>21</v>
      </c>
      <c r="Z72" s="465"/>
      <c r="AA72" s="207"/>
    </row>
    <row r="73" spans="2:86" ht="22.5" customHeight="1">
      <c r="B73" s="166" t="s">
        <v>228</v>
      </c>
      <c r="C73" s="429"/>
      <c r="D73" s="429"/>
      <c r="E73" s="429"/>
      <c r="F73" s="430" t="s">
        <v>6</v>
      </c>
      <c r="G73" s="430"/>
      <c r="H73" s="430"/>
      <c r="I73" s="430"/>
      <c r="J73" s="430"/>
      <c r="K73" s="430"/>
      <c r="L73" s="431" t="s">
        <v>12</v>
      </c>
      <c r="M73" s="432"/>
      <c r="N73" s="433" t="s">
        <v>23</v>
      </c>
      <c r="O73" s="434"/>
      <c r="P73" s="435"/>
      <c r="Q73" s="436"/>
      <c r="R73" s="436"/>
      <c r="S73" s="437"/>
      <c r="T73" s="431" t="s">
        <v>13</v>
      </c>
      <c r="U73" s="432"/>
      <c r="V73" s="433" t="s">
        <v>25</v>
      </c>
      <c r="W73" s="434"/>
      <c r="X73" s="435"/>
      <c r="Y73" s="436"/>
      <c r="Z73" s="436"/>
      <c r="AA73" s="438"/>
    </row>
    <row r="74" spans="2:86" ht="22.5" customHeight="1">
      <c r="B74" s="166" t="s">
        <v>228</v>
      </c>
      <c r="C74" s="429"/>
      <c r="D74" s="429"/>
      <c r="E74" s="429"/>
      <c r="F74" s="461"/>
      <c r="G74" s="461"/>
      <c r="H74" s="461"/>
      <c r="I74" s="461"/>
      <c r="J74" s="461"/>
      <c r="K74" s="461"/>
      <c r="L74" s="431" t="s">
        <v>12</v>
      </c>
      <c r="M74" s="432"/>
      <c r="N74" s="433"/>
      <c r="O74" s="434"/>
      <c r="P74" s="435"/>
      <c r="Q74" s="436"/>
      <c r="R74" s="436"/>
      <c r="S74" s="437"/>
      <c r="T74" s="431" t="s">
        <v>12</v>
      </c>
      <c r="U74" s="432"/>
      <c r="V74" s="433"/>
      <c r="W74" s="434"/>
      <c r="X74" s="435"/>
      <c r="Y74" s="436"/>
      <c r="Z74" s="436"/>
      <c r="AA74" s="438"/>
    </row>
    <row r="75" spans="2:86" ht="22.5" customHeight="1">
      <c r="B75" s="166" t="s">
        <v>228</v>
      </c>
      <c r="C75" s="466" t="s">
        <v>10</v>
      </c>
      <c r="D75" s="466"/>
      <c r="E75" s="466"/>
      <c r="F75" s="466"/>
      <c r="G75" s="466"/>
      <c r="H75" s="466"/>
      <c r="I75" s="466"/>
      <c r="J75" s="466"/>
      <c r="K75" s="466"/>
      <c r="L75" s="472" t="s">
        <v>26</v>
      </c>
      <c r="M75" s="472"/>
      <c r="N75" s="472"/>
      <c r="O75" s="472"/>
      <c r="P75" s="217" t="s">
        <v>724</v>
      </c>
      <c r="Q75" s="218" t="s">
        <v>724</v>
      </c>
      <c r="R75" s="218" t="s">
        <v>724</v>
      </c>
      <c r="S75" s="218" t="s">
        <v>724</v>
      </c>
      <c r="T75" s="218" t="s">
        <v>724</v>
      </c>
      <c r="U75" s="218">
        <v>6</v>
      </c>
      <c r="V75" s="218">
        <v>7</v>
      </c>
      <c r="W75" s="218">
        <v>8</v>
      </c>
      <c r="X75" s="218">
        <v>9</v>
      </c>
      <c r="Y75" s="218">
        <v>10</v>
      </c>
      <c r="Z75" s="218">
        <v>11</v>
      </c>
      <c r="AA75" s="219">
        <v>12</v>
      </c>
    </row>
    <row r="76" spans="2:86" ht="22.5" customHeight="1">
      <c r="B76" s="166" t="s">
        <v>228</v>
      </c>
      <c r="C76" s="466" t="s">
        <v>2</v>
      </c>
      <c r="D76" s="466"/>
      <c r="E76" s="466"/>
      <c r="F76" s="466"/>
      <c r="G76" s="466"/>
      <c r="H76" s="466"/>
      <c r="I76" s="466"/>
      <c r="J76" s="466"/>
      <c r="K76" s="466"/>
      <c r="L76" s="431" t="s">
        <v>13</v>
      </c>
      <c r="M76" s="432"/>
      <c r="N76" s="433" t="s">
        <v>27</v>
      </c>
      <c r="O76" s="434"/>
      <c r="P76" s="435" t="s">
        <v>267</v>
      </c>
      <c r="Q76" s="436"/>
      <c r="R76" s="436"/>
      <c r="S76" s="437"/>
      <c r="T76" s="431" t="s">
        <v>13</v>
      </c>
      <c r="U76" s="432"/>
      <c r="V76" s="433" t="s">
        <v>29</v>
      </c>
      <c r="W76" s="434"/>
      <c r="X76" s="435"/>
      <c r="Y76" s="436"/>
      <c r="Z76" s="436"/>
      <c r="AA76" s="438"/>
    </row>
    <row r="77" spans="2:86" ht="22.5" customHeight="1">
      <c r="B77" s="166" t="s">
        <v>228</v>
      </c>
      <c r="C77" s="466" t="s">
        <v>3</v>
      </c>
      <c r="D77" s="466"/>
      <c r="E77" s="466"/>
      <c r="F77" s="466"/>
      <c r="G77" s="466"/>
      <c r="H77" s="466"/>
      <c r="I77" s="466"/>
      <c r="J77" s="466"/>
      <c r="K77" s="466"/>
      <c r="L77" s="477" t="s">
        <v>252</v>
      </c>
      <c r="M77" s="477"/>
      <c r="N77" s="477"/>
      <c r="O77" s="477"/>
      <c r="P77" s="435"/>
      <c r="Q77" s="436"/>
      <c r="R77" s="436"/>
      <c r="S77" s="437"/>
      <c r="T77" s="455" t="s">
        <v>253</v>
      </c>
      <c r="U77" s="456"/>
      <c r="V77" s="456"/>
      <c r="W77" s="456"/>
      <c r="X77" s="456"/>
      <c r="Y77" s="456"/>
      <c r="Z77" s="456"/>
      <c r="AA77" s="457"/>
    </row>
    <row r="78" spans="2:86" ht="22.5" customHeight="1">
      <c r="B78" s="166" t="s">
        <v>228</v>
      </c>
      <c r="C78" s="466" t="s">
        <v>126</v>
      </c>
      <c r="D78" s="466"/>
      <c r="E78" s="466"/>
      <c r="F78" s="466"/>
      <c r="G78" s="466"/>
      <c r="H78" s="466"/>
      <c r="I78" s="466"/>
      <c r="J78" s="466"/>
      <c r="K78" s="466"/>
      <c r="L78" s="431" t="s">
        <v>36</v>
      </c>
      <c r="M78" s="432"/>
      <c r="N78" s="433" t="s">
        <v>245</v>
      </c>
      <c r="O78" s="434"/>
      <c r="P78" s="435"/>
      <c r="Q78" s="436"/>
      <c r="R78" s="436"/>
      <c r="S78" s="437"/>
      <c r="T78" s="431" t="s">
        <v>37</v>
      </c>
      <c r="U78" s="432"/>
      <c r="V78" s="433" t="s">
        <v>245</v>
      </c>
      <c r="W78" s="434"/>
      <c r="X78" s="435"/>
      <c r="Y78" s="436"/>
      <c r="Z78" s="436"/>
      <c r="AA78" s="438"/>
    </row>
    <row r="79" spans="2:86" ht="22.5" customHeight="1">
      <c r="B79" s="166" t="s">
        <v>228</v>
      </c>
      <c r="C79" s="466" t="s">
        <v>4</v>
      </c>
      <c r="D79" s="466"/>
      <c r="E79" s="466"/>
      <c r="F79" s="466"/>
      <c r="G79" s="466"/>
      <c r="H79" s="466"/>
      <c r="I79" s="466"/>
      <c r="J79" s="466"/>
      <c r="K79" s="466"/>
      <c r="L79" s="483"/>
      <c r="M79" s="484"/>
      <c r="N79" s="484"/>
      <c r="O79" s="484"/>
      <c r="P79" s="484"/>
      <c r="Q79" s="484"/>
      <c r="R79" s="484"/>
      <c r="S79" s="484"/>
      <c r="T79" s="484"/>
      <c r="U79" s="484"/>
      <c r="V79" s="484"/>
      <c r="W79" s="484"/>
      <c r="X79" s="484"/>
      <c r="Y79" s="484"/>
      <c r="Z79" s="484"/>
      <c r="AA79" s="485"/>
    </row>
    <row r="81" spans="2:63" ht="22.5" customHeight="1">
      <c r="B81" s="179" t="s">
        <v>40</v>
      </c>
      <c r="C81" s="179"/>
      <c r="D81" s="179"/>
      <c r="E81" s="179"/>
      <c r="F81" s="179"/>
      <c r="G81" s="179"/>
      <c r="H81" s="179"/>
      <c r="I81" s="179"/>
      <c r="J81" s="179"/>
      <c r="K81" s="179"/>
      <c r="L81" s="179"/>
      <c r="M81" s="179"/>
      <c r="N81" s="179"/>
      <c r="O81" s="183"/>
      <c r="P81" s="179"/>
      <c r="Q81" s="179"/>
      <c r="R81" s="179"/>
      <c r="S81" s="179"/>
      <c r="T81" s="179"/>
      <c r="U81" s="179"/>
      <c r="V81" s="179"/>
      <c r="W81" s="179"/>
      <c r="X81" s="179"/>
      <c r="Y81" s="179"/>
      <c r="Z81" s="179"/>
      <c r="AA81" s="179"/>
    </row>
    <row r="82" spans="2:63" ht="22.5" customHeight="1">
      <c r="B82" s="342" t="s">
        <v>48</v>
      </c>
      <c r="C82" s="343"/>
      <c r="D82" s="344"/>
      <c r="E82" s="544" t="s">
        <v>49</v>
      </c>
      <c r="F82" s="545"/>
      <c r="G82" s="546"/>
      <c r="H82" s="547" t="s">
        <v>113</v>
      </c>
      <c r="I82" s="548"/>
      <c r="J82" s="548" t="s">
        <v>114</v>
      </c>
      <c r="K82" s="549"/>
      <c r="L82" s="544" t="s">
        <v>116</v>
      </c>
      <c r="M82" s="545"/>
      <c r="N82" s="545"/>
      <c r="O82" s="545"/>
      <c r="P82" s="545"/>
      <c r="Q82" s="545"/>
      <c r="R82" s="545"/>
      <c r="S82" s="545"/>
      <c r="T82" s="545"/>
      <c r="U82" s="545"/>
      <c r="V82" s="545"/>
      <c r="W82" s="545"/>
      <c r="X82" s="545"/>
      <c r="Y82" s="545"/>
      <c r="Z82" s="545"/>
      <c r="AA82" s="546"/>
    </row>
    <row r="83" spans="2:63" ht="22.5" customHeight="1">
      <c r="B83" s="512"/>
      <c r="C83" s="513"/>
      <c r="D83" s="514"/>
      <c r="E83" s="518"/>
      <c r="F83" s="519"/>
      <c r="G83" s="520"/>
      <c r="H83" s="524" t="str" cm="1">
        <f t="array" ref="H83">IF(SUM(COUNTIF(BF3:BF32,{"月給","常時給"}))=0,"",
IF(SUMPRODUCT((BF3:BF32={"月給","常時給"})*(BR3:BR32="●"))/SUM(COUNTIF(BF3:BF32,{"月給","常時給"}))&gt;=35%,"〇","×"))</f>
        <v>×</v>
      </c>
      <c r="I83" s="525"/>
      <c r="J83" s="525" t="str" cm="1">
        <f t="array" ref="J83">IFERROR(
  IF(
    SUMPRODUCT((BF3:BF32={"月給","常時給"})*(BR3:BR32="●"))/
    SUM(COUNTIF(BF3:BF32,{"月給","常時給"}))&gt;=25%,
    "〇",
    "×"
  ),
"")</f>
        <v>〇</v>
      </c>
      <c r="K83" s="528"/>
      <c r="L83" s="838"/>
      <c r="M83" s="744"/>
      <c r="N83" s="744"/>
      <c r="O83" s="744"/>
      <c r="P83" s="744"/>
      <c r="Q83" s="744"/>
      <c r="R83" s="744"/>
      <c r="S83" s="744"/>
      <c r="T83" s="744"/>
      <c r="U83" s="744"/>
      <c r="V83" s="744"/>
      <c r="W83" s="744"/>
      <c r="X83" s="744"/>
      <c r="Y83" s="744"/>
      <c r="Z83" s="744"/>
      <c r="AA83" s="745"/>
    </row>
    <row r="84" spans="2:63" ht="22.5" customHeight="1">
      <c r="B84" s="515"/>
      <c r="C84" s="516"/>
      <c r="D84" s="517"/>
      <c r="E84" s="521"/>
      <c r="F84" s="522"/>
      <c r="G84" s="523"/>
      <c r="H84" s="526"/>
      <c r="I84" s="527"/>
      <c r="J84" s="527"/>
      <c r="K84" s="529"/>
      <c r="L84" s="746"/>
      <c r="M84" s="747"/>
      <c r="N84" s="747"/>
      <c r="O84" s="747"/>
      <c r="P84" s="747"/>
      <c r="Q84" s="747"/>
      <c r="R84" s="747"/>
      <c r="S84" s="747"/>
      <c r="T84" s="747"/>
      <c r="U84" s="747"/>
      <c r="V84" s="747"/>
      <c r="W84" s="747"/>
      <c r="X84" s="747"/>
      <c r="Y84" s="747"/>
      <c r="Z84" s="747"/>
      <c r="AA84" s="748"/>
    </row>
    <row r="87" spans="2:63" ht="22.5" customHeight="1">
      <c r="B87" s="725" t="s">
        <v>792</v>
      </c>
      <c r="C87" s="725"/>
      <c r="D87" s="725"/>
      <c r="E87" s="725"/>
      <c r="F87" s="725" t="s">
        <v>793</v>
      </c>
      <c r="G87" s="725"/>
      <c r="H87" s="725"/>
      <c r="I87" s="725"/>
      <c r="J87" s="725" t="s">
        <v>794</v>
      </c>
      <c r="K87" s="725"/>
      <c r="L87" s="725"/>
      <c r="M87" s="725"/>
      <c r="N87" s="729" t="s">
        <v>806</v>
      </c>
      <c r="O87" s="730"/>
      <c r="P87" s="730"/>
      <c r="Q87" s="730"/>
      <c r="R87" s="730"/>
      <c r="S87" s="730"/>
      <c r="T87" s="730"/>
      <c r="U87" s="730"/>
      <c r="V87" s="730"/>
      <c r="W87" s="730"/>
      <c r="X87" s="730"/>
      <c r="Y87" s="730"/>
      <c r="Z87" s="730"/>
      <c r="AA87" s="730"/>
      <c r="AB87" s="730"/>
      <c r="AC87" s="730"/>
      <c r="AD87" s="730"/>
      <c r="AE87" s="730"/>
      <c r="AF87" s="730"/>
      <c r="AG87" s="730"/>
      <c r="AH87" s="730"/>
      <c r="AI87" s="730"/>
      <c r="AJ87" s="730"/>
      <c r="AK87" s="730"/>
      <c r="AL87" s="730"/>
      <c r="AM87" s="730"/>
      <c r="AN87" s="730"/>
      <c r="AO87" s="730"/>
      <c r="AP87" s="730"/>
      <c r="AQ87" s="730"/>
      <c r="AR87" s="730"/>
      <c r="AS87" s="730"/>
      <c r="AT87" s="731"/>
      <c r="AU87" s="725"/>
      <c r="AV87" s="725"/>
      <c r="AW87" s="725"/>
      <c r="AX87" s="725"/>
      <c r="AY87" s="725"/>
      <c r="AZ87" s="725"/>
      <c r="BA87" s="725"/>
      <c r="BB87" s="725"/>
      <c r="BC87" s="725"/>
      <c r="BD87" s="725"/>
      <c r="BE87" s="725"/>
      <c r="BF87" s="725"/>
      <c r="BG87" s="725"/>
      <c r="BH87" s="725"/>
      <c r="BI87" s="725"/>
      <c r="BJ87" s="725"/>
      <c r="BK87" s="725"/>
    </row>
    <row r="88" spans="2:63" ht="22.5" customHeight="1">
      <c r="B88" s="727" t="s">
        <v>795</v>
      </c>
      <c r="C88" s="727"/>
      <c r="D88" s="727"/>
      <c r="E88" s="727"/>
      <c r="F88" s="465" t="s">
        <v>796</v>
      </c>
      <c r="G88" s="465"/>
      <c r="H88" s="465"/>
      <c r="I88" s="465"/>
      <c r="J88" s="726" t="s">
        <v>862</v>
      </c>
      <c r="K88" s="726"/>
      <c r="L88" s="726"/>
      <c r="M88" s="726"/>
      <c r="N88" s="732" t="s">
        <v>863</v>
      </c>
      <c r="O88" s="733"/>
      <c r="P88" s="733"/>
      <c r="Q88" s="733"/>
      <c r="R88" s="733"/>
      <c r="S88" s="733"/>
      <c r="T88" s="733"/>
      <c r="U88" s="733"/>
      <c r="V88" s="733"/>
      <c r="W88" s="733"/>
      <c r="X88" s="733"/>
      <c r="Y88" s="733"/>
      <c r="Z88" s="733"/>
      <c r="AA88" s="733"/>
      <c r="AB88" s="733"/>
      <c r="AC88" s="733"/>
      <c r="AD88" s="733"/>
      <c r="AE88" s="733"/>
      <c r="AF88" s="733"/>
      <c r="AG88" s="733"/>
      <c r="AH88" s="733"/>
      <c r="AI88" s="733"/>
      <c r="AJ88" s="733"/>
      <c r="AK88" s="733"/>
      <c r="AL88" s="733"/>
      <c r="AM88" s="733"/>
      <c r="AN88" s="733"/>
      <c r="AO88" s="733"/>
      <c r="AP88" s="733"/>
      <c r="AQ88" s="733"/>
      <c r="AR88" s="733"/>
      <c r="AS88" s="733"/>
      <c r="AT88" s="734"/>
      <c r="AU88" s="726"/>
      <c r="AV88" s="726"/>
      <c r="AW88" s="726"/>
      <c r="AX88" s="726"/>
      <c r="AY88" s="726"/>
      <c r="AZ88" s="726"/>
      <c r="BA88" s="726"/>
      <c r="BB88" s="726"/>
      <c r="BC88" s="726"/>
      <c r="BD88" s="726"/>
      <c r="BE88" s="726"/>
      <c r="BF88" s="726"/>
      <c r="BG88" s="726"/>
      <c r="BH88" s="726"/>
      <c r="BI88" s="726"/>
      <c r="BJ88" s="726"/>
      <c r="BK88" s="726"/>
    </row>
    <row r="89" spans="2:63" ht="22.5" customHeight="1">
      <c r="B89" s="727" t="s">
        <v>804</v>
      </c>
      <c r="C89" s="727"/>
      <c r="D89" s="727"/>
      <c r="E89" s="727"/>
      <c r="F89" s="465" t="s">
        <v>817</v>
      </c>
      <c r="G89" s="465"/>
      <c r="H89" s="465"/>
      <c r="I89" s="465"/>
      <c r="J89" s="726" t="s">
        <v>864</v>
      </c>
      <c r="K89" s="726"/>
      <c r="L89" s="726"/>
      <c r="M89" s="726"/>
      <c r="N89" s="732" t="s">
        <v>865</v>
      </c>
      <c r="O89" s="733"/>
      <c r="P89" s="733"/>
      <c r="Q89" s="733"/>
      <c r="R89" s="733"/>
      <c r="S89" s="733"/>
      <c r="T89" s="733"/>
      <c r="U89" s="733"/>
      <c r="V89" s="733"/>
      <c r="W89" s="733"/>
      <c r="X89" s="733"/>
      <c r="Y89" s="733"/>
      <c r="Z89" s="733"/>
      <c r="AA89" s="733"/>
      <c r="AB89" s="733"/>
      <c r="AC89" s="733"/>
      <c r="AD89" s="733"/>
      <c r="AE89" s="733"/>
      <c r="AF89" s="733"/>
      <c r="AG89" s="733"/>
      <c r="AH89" s="733"/>
      <c r="AI89" s="733"/>
      <c r="AJ89" s="733"/>
      <c r="AK89" s="733"/>
      <c r="AL89" s="733"/>
      <c r="AM89" s="733"/>
      <c r="AN89" s="733"/>
      <c r="AO89" s="733"/>
      <c r="AP89" s="733"/>
      <c r="AQ89" s="733"/>
      <c r="AR89" s="733"/>
      <c r="AS89" s="733"/>
      <c r="AT89" s="734"/>
      <c r="AU89" s="726"/>
      <c r="AV89" s="726"/>
      <c r="AW89" s="726"/>
      <c r="AX89" s="726"/>
      <c r="AY89" s="726"/>
      <c r="AZ89" s="726"/>
      <c r="BA89" s="726"/>
      <c r="BB89" s="726"/>
      <c r="BC89" s="726"/>
      <c r="BD89" s="726"/>
      <c r="BE89" s="726"/>
      <c r="BF89" s="726"/>
      <c r="BG89" s="726"/>
      <c r="BH89" s="726"/>
      <c r="BI89" s="726"/>
      <c r="BJ89" s="726"/>
      <c r="BK89" s="726"/>
    </row>
    <row r="90" spans="2:63" ht="22.5" customHeight="1">
      <c r="B90" s="727" t="s">
        <v>807</v>
      </c>
      <c r="C90" s="727"/>
      <c r="D90" s="727"/>
      <c r="E90" s="727"/>
      <c r="F90" s="465" t="s">
        <v>859</v>
      </c>
      <c r="G90" s="465"/>
      <c r="H90" s="465"/>
      <c r="I90" s="465"/>
      <c r="J90" s="726" t="s">
        <v>866</v>
      </c>
      <c r="K90" s="726"/>
      <c r="L90" s="726"/>
      <c r="M90" s="726"/>
      <c r="N90" s="732" t="s">
        <v>867</v>
      </c>
      <c r="O90" s="733"/>
      <c r="P90" s="733"/>
      <c r="Q90" s="733"/>
      <c r="R90" s="733"/>
      <c r="S90" s="733"/>
      <c r="T90" s="733"/>
      <c r="U90" s="733"/>
      <c r="V90" s="733"/>
      <c r="W90" s="733"/>
      <c r="X90" s="733"/>
      <c r="Y90" s="733"/>
      <c r="Z90" s="733"/>
      <c r="AA90" s="733"/>
      <c r="AB90" s="733"/>
      <c r="AC90" s="733"/>
      <c r="AD90" s="733"/>
      <c r="AE90" s="733"/>
      <c r="AF90" s="733"/>
      <c r="AG90" s="733"/>
      <c r="AH90" s="733"/>
      <c r="AI90" s="733"/>
      <c r="AJ90" s="733"/>
      <c r="AK90" s="733"/>
      <c r="AL90" s="733"/>
      <c r="AM90" s="733"/>
      <c r="AN90" s="733"/>
      <c r="AO90" s="733"/>
      <c r="AP90" s="733"/>
      <c r="AQ90" s="733"/>
      <c r="AR90" s="733"/>
      <c r="AS90" s="733"/>
      <c r="AT90" s="734"/>
      <c r="AU90" s="726"/>
      <c r="AV90" s="726"/>
      <c r="AW90" s="726"/>
      <c r="AX90" s="726"/>
      <c r="AY90" s="726"/>
      <c r="AZ90" s="726"/>
      <c r="BA90" s="726"/>
      <c r="BB90" s="726"/>
      <c r="BC90" s="726"/>
      <c r="BD90" s="726"/>
      <c r="BE90" s="726"/>
      <c r="BF90" s="726"/>
      <c r="BG90" s="726"/>
      <c r="BH90" s="726"/>
      <c r="BI90" s="726"/>
      <c r="BJ90" s="726"/>
      <c r="BK90" s="726"/>
    </row>
    <row r="91" spans="2:63" ht="22.5" customHeight="1">
      <c r="B91" s="727" t="s">
        <v>808</v>
      </c>
      <c r="C91" s="727"/>
      <c r="D91" s="727"/>
      <c r="E91" s="727"/>
      <c r="F91" s="465" t="s">
        <v>857</v>
      </c>
      <c r="G91" s="465"/>
      <c r="H91" s="465"/>
      <c r="I91" s="465"/>
      <c r="J91" s="726" t="s">
        <v>856</v>
      </c>
      <c r="K91" s="726"/>
      <c r="L91" s="726"/>
      <c r="M91" s="726"/>
      <c r="N91" s="732" t="s">
        <v>868</v>
      </c>
      <c r="O91" s="733"/>
      <c r="P91" s="733"/>
      <c r="Q91" s="733"/>
      <c r="R91" s="733"/>
      <c r="S91" s="733"/>
      <c r="T91" s="733"/>
      <c r="U91" s="733"/>
      <c r="V91" s="733"/>
      <c r="W91" s="733"/>
      <c r="X91" s="733"/>
      <c r="Y91" s="733"/>
      <c r="Z91" s="733"/>
      <c r="AA91" s="733"/>
      <c r="AB91" s="733"/>
      <c r="AC91" s="733"/>
      <c r="AD91" s="733"/>
      <c r="AE91" s="733"/>
      <c r="AF91" s="733"/>
      <c r="AG91" s="733"/>
      <c r="AH91" s="733"/>
      <c r="AI91" s="733"/>
      <c r="AJ91" s="733"/>
      <c r="AK91" s="733"/>
      <c r="AL91" s="733"/>
      <c r="AM91" s="733"/>
      <c r="AN91" s="733"/>
      <c r="AO91" s="733"/>
      <c r="AP91" s="733"/>
      <c r="AQ91" s="733"/>
      <c r="AR91" s="733"/>
      <c r="AS91" s="733"/>
      <c r="AT91" s="734"/>
      <c r="AU91" s="726"/>
      <c r="AV91" s="726"/>
      <c r="AW91" s="726"/>
      <c r="AX91" s="726"/>
      <c r="AY91" s="726"/>
      <c r="AZ91" s="726"/>
      <c r="BA91" s="726"/>
      <c r="BB91" s="726"/>
      <c r="BC91" s="726"/>
      <c r="BD91" s="726"/>
      <c r="BE91" s="726"/>
      <c r="BF91" s="726"/>
      <c r="BG91" s="726"/>
      <c r="BH91" s="726"/>
      <c r="BI91" s="726"/>
      <c r="BJ91" s="726"/>
      <c r="BK91" s="726"/>
    </row>
    <row r="92" spans="2:63" ht="22.5" customHeight="1">
      <c r="B92" s="727" t="s">
        <v>799</v>
      </c>
      <c r="C92" s="727"/>
      <c r="D92" s="727"/>
      <c r="E92" s="727"/>
      <c r="F92" s="465" t="s">
        <v>869</v>
      </c>
      <c r="G92" s="465"/>
      <c r="H92" s="465"/>
      <c r="I92" s="465"/>
      <c r="J92" s="726" t="s">
        <v>838</v>
      </c>
      <c r="K92" s="726"/>
      <c r="L92" s="726"/>
      <c r="M92" s="726"/>
      <c r="N92" s="732" t="s">
        <v>870</v>
      </c>
      <c r="O92" s="733"/>
      <c r="P92" s="733"/>
      <c r="Q92" s="733"/>
      <c r="R92" s="733"/>
      <c r="S92" s="733"/>
      <c r="T92" s="733"/>
      <c r="U92" s="733"/>
      <c r="V92" s="733"/>
      <c r="W92" s="733"/>
      <c r="X92" s="733"/>
      <c r="Y92" s="733"/>
      <c r="Z92" s="733"/>
      <c r="AA92" s="733"/>
      <c r="AB92" s="733"/>
      <c r="AC92" s="733"/>
      <c r="AD92" s="733"/>
      <c r="AE92" s="733"/>
      <c r="AF92" s="733"/>
      <c r="AG92" s="733"/>
      <c r="AH92" s="733"/>
      <c r="AI92" s="733"/>
      <c r="AJ92" s="733"/>
      <c r="AK92" s="733"/>
      <c r="AL92" s="733"/>
      <c r="AM92" s="733"/>
      <c r="AN92" s="733"/>
      <c r="AO92" s="733"/>
      <c r="AP92" s="733"/>
      <c r="AQ92" s="733"/>
      <c r="AR92" s="733"/>
      <c r="AS92" s="733"/>
      <c r="AT92" s="734"/>
      <c r="AU92" s="726"/>
      <c r="AV92" s="726"/>
      <c r="AW92" s="726"/>
      <c r="AX92" s="726"/>
      <c r="AY92" s="726"/>
      <c r="AZ92" s="726"/>
      <c r="BA92" s="726"/>
      <c r="BB92" s="726"/>
      <c r="BC92" s="726"/>
      <c r="BD92" s="726"/>
      <c r="BE92" s="726"/>
      <c r="BF92" s="726"/>
      <c r="BG92" s="726"/>
      <c r="BH92" s="726"/>
      <c r="BI92" s="726"/>
      <c r="BJ92" s="726"/>
      <c r="BK92" s="726"/>
    </row>
    <row r="93" spans="2:63" ht="22.5" customHeight="1">
      <c r="B93" s="715" t="s">
        <v>791</v>
      </c>
      <c r="C93" s="716"/>
      <c r="D93" s="716"/>
      <c r="E93" s="717"/>
      <c r="F93" s="718" t="s">
        <v>798</v>
      </c>
      <c r="G93" s="433"/>
      <c r="H93" s="433"/>
      <c r="I93" s="434"/>
      <c r="J93" s="719" t="s">
        <v>871</v>
      </c>
      <c r="K93" s="720"/>
      <c r="L93" s="720"/>
      <c r="M93" s="721"/>
      <c r="N93" s="732" t="s">
        <v>872</v>
      </c>
      <c r="O93" s="733"/>
      <c r="P93" s="733"/>
      <c r="Q93" s="733"/>
      <c r="R93" s="733"/>
      <c r="S93" s="733"/>
      <c r="T93" s="733"/>
      <c r="U93" s="733"/>
      <c r="V93" s="733"/>
      <c r="W93" s="733"/>
      <c r="X93" s="733"/>
      <c r="Y93" s="733"/>
      <c r="Z93" s="733"/>
      <c r="AA93" s="733"/>
      <c r="AB93" s="733"/>
      <c r="AC93" s="733"/>
      <c r="AD93" s="733"/>
      <c r="AE93" s="733"/>
      <c r="AF93" s="733"/>
      <c r="AG93" s="733"/>
      <c r="AH93" s="733"/>
      <c r="AI93" s="733"/>
      <c r="AJ93" s="733"/>
      <c r="AK93" s="733"/>
      <c r="AL93" s="733"/>
      <c r="AM93" s="733"/>
      <c r="AN93" s="733"/>
      <c r="AO93" s="733"/>
      <c r="AP93" s="733"/>
      <c r="AQ93" s="733"/>
      <c r="AR93" s="733"/>
      <c r="AS93" s="733"/>
      <c r="AT93" s="734"/>
      <c r="AU93" s="726"/>
      <c r="AV93" s="726"/>
      <c r="AW93" s="726"/>
      <c r="AX93" s="726"/>
      <c r="AY93" s="726"/>
      <c r="AZ93" s="726"/>
      <c r="BA93" s="726"/>
      <c r="BB93" s="726"/>
      <c r="BC93" s="726"/>
      <c r="BD93" s="726"/>
      <c r="BE93" s="726"/>
      <c r="BF93" s="726"/>
      <c r="BG93" s="726"/>
      <c r="BH93" s="726"/>
      <c r="BI93" s="726"/>
      <c r="BJ93" s="726"/>
      <c r="BK93" s="726"/>
    </row>
    <row r="94" spans="2:63" ht="22.5" customHeight="1">
      <c r="B94" s="715" t="s">
        <v>801</v>
      </c>
      <c r="C94" s="716"/>
      <c r="D94" s="716"/>
      <c r="E94" s="717"/>
      <c r="F94" s="718" t="s">
        <v>831</v>
      </c>
      <c r="G94" s="433"/>
      <c r="H94" s="433"/>
      <c r="I94" s="434"/>
      <c r="J94" s="719" t="s">
        <v>840</v>
      </c>
      <c r="K94" s="720"/>
      <c r="L94" s="720"/>
      <c r="M94" s="721"/>
      <c r="N94" s="732" t="s">
        <v>873</v>
      </c>
      <c r="O94" s="733"/>
      <c r="P94" s="733"/>
      <c r="Q94" s="733"/>
      <c r="R94" s="733"/>
      <c r="S94" s="733"/>
      <c r="T94" s="733"/>
      <c r="U94" s="733"/>
      <c r="V94" s="733"/>
      <c r="W94" s="733"/>
      <c r="X94" s="733"/>
      <c r="Y94" s="733"/>
      <c r="Z94" s="733"/>
      <c r="AA94" s="733"/>
      <c r="AB94" s="733"/>
      <c r="AC94" s="733"/>
      <c r="AD94" s="733"/>
      <c r="AE94" s="733"/>
      <c r="AF94" s="733"/>
      <c r="AG94" s="733"/>
      <c r="AH94" s="733"/>
      <c r="AI94" s="733"/>
      <c r="AJ94" s="733"/>
      <c r="AK94" s="733"/>
      <c r="AL94" s="733"/>
      <c r="AM94" s="733"/>
      <c r="AN94" s="733"/>
      <c r="AO94" s="733"/>
      <c r="AP94" s="733"/>
      <c r="AQ94" s="733"/>
      <c r="AR94" s="733"/>
      <c r="AS94" s="733"/>
      <c r="AT94" s="734"/>
      <c r="AU94" s="726"/>
      <c r="AV94" s="726"/>
      <c r="AW94" s="726"/>
      <c r="AX94" s="726"/>
      <c r="AY94" s="726"/>
      <c r="AZ94" s="726"/>
      <c r="BA94" s="726"/>
      <c r="BB94" s="726"/>
      <c r="BC94" s="726"/>
      <c r="BD94" s="726"/>
      <c r="BE94" s="726"/>
      <c r="BF94" s="726"/>
      <c r="BG94" s="726"/>
      <c r="BH94" s="726"/>
      <c r="BI94" s="726"/>
      <c r="BJ94" s="726"/>
      <c r="BK94" s="726"/>
    </row>
    <row r="95" spans="2:63" ht="22.5" customHeight="1">
      <c r="B95" s="715" t="s">
        <v>802</v>
      </c>
      <c r="C95" s="716"/>
      <c r="D95" s="716"/>
      <c r="E95" s="717"/>
      <c r="F95" s="718" t="s">
        <v>849</v>
      </c>
      <c r="G95" s="433"/>
      <c r="H95" s="433"/>
      <c r="I95" s="434"/>
      <c r="J95" s="719" t="s">
        <v>840</v>
      </c>
      <c r="K95" s="720"/>
      <c r="L95" s="720"/>
      <c r="M95" s="721"/>
      <c r="N95" s="732" t="s">
        <v>850</v>
      </c>
      <c r="O95" s="733"/>
      <c r="P95" s="733"/>
      <c r="Q95" s="733"/>
      <c r="R95" s="733"/>
      <c r="S95" s="733"/>
      <c r="T95" s="733"/>
      <c r="U95" s="733"/>
      <c r="V95" s="733"/>
      <c r="W95" s="733"/>
      <c r="X95" s="733"/>
      <c r="Y95" s="733"/>
      <c r="Z95" s="733"/>
      <c r="AA95" s="733"/>
      <c r="AB95" s="733"/>
      <c r="AC95" s="733"/>
      <c r="AD95" s="733"/>
      <c r="AE95" s="733"/>
      <c r="AF95" s="733"/>
      <c r="AG95" s="733"/>
      <c r="AH95" s="733"/>
      <c r="AI95" s="733"/>
      <c r="AJ95" s="733"/>
      <c r="AK95" s="733"/>
      <c r="AL95" s="733"/>
      <c r="AM95" s="733"/>
      <c r="AN95" s="733"/>
      <c r="AO95" s="733"/>
      <c r="AP95" s="733"/>
      <c r="AQ95" s="733"/>
      <c r="AR95" s="733"/>
      <c r="AS95" s="733"/>
      <c r="AT95" s="734"/>
      <c r="AU95" s="726"/>
      <c r="AV95" s="726"/>
      <c r="AW95" s="726"/>
      <c r="AX95" s="726"/>
      <c r="AY95" s="726"/>
      <c r="AZ95" s="726"/>
      <c r="BA95" s="726"/>
      <c r="BB95" s="726"/>
      <c r="BC95" s="726"/>
      <c r="BD95" s="726"/>
      <c r="BE95" s="726"/>
      <c r="BF95" s="726"/>
      <c r="BG95" s="726"/>
      <c r="BH95" s="726"/>
      <c r="BI95" s="726"/>
      <c r="BJ95" s="726"/>
      <c r="BK95" s="726"/>
    </row>
  </sheetData>
  <mergeCells count="1172">
    <mergeCell ref="B92:E92"/>
    <mergeCell ref="F92:I92"/>
    <mergeCell ref="J92:M92"/>
    <mergeCell ref="N92:AT92"/>
    <mergeCell ref="AU92:BK92"/>
    <mergeCell ref="B93:E93"/>
    <mergeCell ref="F93:I93"/>
    <mergeCell ref="J93:M93"/>
    <mergeCell ref="N93:AT93"/>
    <mergeCell ref="AU93:BK93"/>
    <mergeCell ref="B94:E94"/>
    <mergeCell ref="F94:I94"/>
    <mergeCell ref="J94:M94"/>
    <mergeCell ref="N94:AT94"/>
    <mergeCell ref="AU94:BK94"/>
    <mergeCell ref="B95:E95"/>
    <mergeCell ref="F95:I95"/>
    <mergeCell ref="J95:M95"/>
    <mergeCell ref="N95:AT95"/>
    <mergeCell ref="AU95:BK95"/>
    <mergeCell ref="AU87:BK87"/>
    <mergeCell ref="B88:E88"/>
    <mergeCell ref="F88:I88"/>
    <mergeCell ref="J88:M88"/>
    <mergeCell ref="N88:AT88"/>
    <mergeCell ref="AU88:BK88"/>
    <mergeCell ref="B89:E89"/>
    <mergeCell ref="F89:I89"/>
    <mergeCell ref="J89:M89"/>
    <mergeCell ref="N89:AT89"/>
    <mergeCell ref="AU89:BK89"/>
    <mergeCell ref="B90:E90"/>
    <mergeCell ref="F90:I90"/>
    <mergeCell ref="J90:M90"/>
    <mergeCell ref="N90:AT90"/>
    <mergeCell ref="AU90:BK90"/>
    <mergeCell ref="B91:E91"/>
    <mergeCell ref="F91:I91"/>
    <mergeCell ref="J91:M91"/>
    <mergeCell ref="N91:AT91"/>
    <mergeCell ref="AU91:BK91"/>
    <mergeCell ref="Y26:AA26"/>
    <mergeCell ref="B27:E29"/>
    <mergeCell ref="F27:I27"/>
    <mergeCell ref="Y27:AA27"/>
    <mergeCell ref="F28:I28"/>
    <mergeCell ref="Y28:AA28"/>
    <mergeCell ref="F29:I29"/>
    <mergeCell ref="Y29:AA29"/>
    <mergeCell ref="B30:E31"/>
    <mergeCell ref="F30:I30"/>
    <mergeCell ref="Y30:AA30"/>
    <mergeCell ref="F31:I31"/>
    <mergeCell ref="Y31:AA31"/>
    <mergeCell ref="F32:I32"/>
    <mergeCell ref="Y32:AA32"/>
    <mergeCell ref="B87:E87"/>
    <mergeCell ref="F87:I87"/>
    <mergeCell ref="J87:M87"/>
    <mergeCell ref="N87:AT87"/>
    <mergeCell ref="J31:L31"/>
    <mergeCell ref="M31:O31"/>
    <mergeCell ref="P31:R31"/>
    <mergeCell ref="S31:U31"/>
    <mergeCell ref="V31:X31"/>
    <mergeCell ref="J32:L32"/>
    <mergeCell ref="M32:O32"/>
    <mergeCell ref="P32:R32"/>
    <mergeCell ref="S32:U32"/>
    <mergeCell ref="V32:X32"/>
    <mergeCell ref="J29:L29"/>
    <mergeCell ref="M29:O29"/>
    <mergeCell ref="P29:R29"/>
    <mergeCell ref="S29:U29"/>
    <mergeCell ref="V29:X29"/>
    <mergeCell ref="J30:L30"/>
    <mergeCell ref="M30:O30"/>
    <mergeCell ref="P30:R30"/>
    <mergeCell ref="S30:U30"/>
    <mergeCell ref="V30:X30"/>
    <mergeCell ref="J27:L27"/>
    <mergeCell ref="M27:O27"/>
    <mergeCell ref="P27:R27"/>
    <mergeCell ref="S27:U27"/>
    <mergeCell ref="V27:X27"/>
    <mergeCell ref="J28:L28"/>
    <mergeCell ref="M28:O28"/>
    <mergeCell ref="P28:R28"/>
    <mergeCell ref="S28:U28"/>
    <mergeCell ref="V28:X28"/>
    <mergeCell ref="B25:F25"/>
    <mergeCell ref="G25:I25"/>
    <mergeCell ref="J25:L25"/>
    <mergeCell ref="M25:O25"/>
    <mergeCell ref="P25:R25"/>
    <mergeCell ref="S25:U25"/>
    <mergeCell ref="V25:X25"/>
    <mergeCell ref="J26:L26"/>
    <mergeCell ref="M26:O26"/>
    <mergeCell ref="P26:R26"/>
    <mergeCell ref="S26:U26"/>
    <mergeCell ref="V26:X26"/>
    <mergeCell ref="B26:I26"/>
    <mergeCell ref="B23:F23"/>
    <mergeCell ref="G23:I23"/>
    <mergeCell ref="J23:L23"/>
    <mergeCell ref="M23:O23"/>
    <mergeCell ref="P23:R23"/>
    <mergeCell ref="S23:U23"/>
    <mergeCell ref="V23:X23"/>
    <mergeCell ref="B24:F24"/>
    <mergeCell ref="G24:I24"/>
    <mergeCell ref="J24:L24"/>
    <mergeCell ref="M24:O24"/>
    <mergeCell ref="P24:R24"/>
    <mergeCell ref="S24:U24"/>
    <mergeCell ref="V24:X24"/>
    <mergeCell ref="B21:F21"/>
    <mergeCell ref="G21:I21"/>
    <mergeCell ref="J21:L21"/>
    <mergeCell ref="M21:O21"/>
    <mergeCell ref="P21:R21"/>
    <mergeCell ref="S21:U21"/>
    <mergeCell ref="V21:X21"/>
    <mergeCell ref="B22:F22"/>
    <mergeCell ref="G22:I22"/>
    <mergeCell ref="J22:L22"/>
    <mergeCell ref="M22:O22"/>
    <mergeCell ref="P22:R22"/>
    <mergeCell ref="S22:U22"/>
    <mergeCell ref="V22:X22"/>
    <mergeCell ref="B19:F19"/>
    <mergeCell ref="G19:I19"/>
    <mergeCell ref="J19:L19"/>
    <mergeCell ref="M19:O19"/>
    <mergeCell ref="P19:R19"/>
    <mergeCell ref="S19:U19"/>
    <mergeCell ref="V19:X19"/>
    <mergeCell ref="B20:F20"/>
    <mergeCell ref="G20:I20"/>
    <mergeCell ref="J20:L20"/>
    <mergeCell ref="M20:O20"/>
    <mergeCell ref="P20:R20"/>
    <mergeCell ref="S20:U20"/>
    <mergeCell ref="V20:X20"/>
    <mergeCell ref="B17:F17"/>
    <mergeCell ref="G17:I17"/>
    <mergeCell ref="J17:L17"/>
    <mergeCell ref="M17:O17"/>
    <mergeCell ref="P17:R17"/>
    <mergeCell ref="S17:U17"/>
    <mergeCell ref="V17:X17"/>
    <mergeCell ref="B18:F18"/>
    <mergeCell ref="G18:I18"/>
    <mergeCell ref="J18:L18"/>
    <mergeCell ref="M18:O18"/>
    <mergeCell ref="P18:R18"/>
    <mergeCell ref="S18:U18"/>
    <mergeCell ref="V18:X18"/>
    <mergeCell ref="BS65:BU66"/>
    <mergeCell ref="B66:C66"/>
    <mergeCell ref="D66:I66"/>
    <mergeCell ref="J66:K66"/>
    <mergeCell ref="L66:R66"/>
    <mergeCell ref="T66:X66"/>
    <mergeCell ref="Y66:AC66"/>
    <mergeCell ref="AX65:AY65"/>
    <mergeCell ref="AZ65:BA65"/>
    <mergeCell ref="BB65:BC65"/>
    <mergeCell ref="BD65:BE65"/>
    <mergeCell ref="BF65:BG65"/>
    <mergeCell ref="BH65:BI65"/>
    <mergeCell ref="AL65:AM65"/>
    <mergeCell ref="AN65:AO65"/>
    <mergeCell ref="AP65:AQ65"/>
    <mergeCell ref="AR65:AS65"/>
    <mergeCell ref="AT65:AU65"/>
    <mergeCell ref="AV65:AW65"/>
    <mergeCell ref="B65:C65"/>
    <mergeCell ref="D65:I65"/>
    <mergeCell ref="J65:K65"/>
    <mergeCell ref="L65:R65"/>
    <mergeCell ref="T65:X65"/>
    <mergeCell ref="Y65:AC65"/>
    <mergeCell ref="AD65:AE65"/>
    <mergeCell ref="AF65:AJ65"/>
    <mergeCell ref="B64:C64"/>
    <mergeCell ref="D64:I64"/>
    <mergeCell ref="J64:K64"/>
    <mergeCell ref="L64:R64"/>
    <mergeCell ref="T64:X64"/>
    <mergeCell ref="Y64:AC64"/>
    <mergeCell ref="AR66:AS66"/>
    <mergeCell ref="BK65:BL66"/>
    <mergeCell ref="BM65:BO66"/>
    <mergeCell ref="BF66:BG66"/>
    <mergeCell ref="BH66:BI66"/>
    <mergeCell ref="AT66:AU66"/>
    <mergeCell ref="AV66:AW66"/>
    <mergeCell ref="AX66:AY66"/>
    <mergeCell ref="AZ66:BA66"/>
    <mergeCell ref="BB66:BC66"/>
    <mergeCell ref="BD66:BE66"/>
    <mergeCell ref="AL62:AM62"/>
    <mergeCell ref="AN62:AO62"/>
    <mergeCell ref="AP62:AQ62"/>
    <mergeCell ref="AR62:AS62"/>
    <mergeCell ref="AT62:AU62"/>
    <mergeCell ref="BM61:BO62"/>
    <mergeCell ref="BP61:BR61"/>
    <mergeCell ref="Y62:AC62"/>
    <mergeCell ref="AD62:AE62"/>
    <mergeCell ref="AZ61:BA61"/>
    <mergeCell ref="BB61:BC61"/>
    <mergeCell ref="BD61:BE61"/>
    <mergeCell ref="BF61:BG61"/>
    <mergeCell ref="BH61:BI61"/>
    <mergeCell ref="BK61:BL62"/>
    <mergeCell ref="BH62:BI62"/>
    <mergeCell ref="AD66:AE66"/>
    <mergeCell ref="AF66:AJ66"/>
    <mergeCell ref="AL66:AM66"/>
    <mergeCell ref="AN66:AO66"/>
    <mergeCell ref="AP66:AQ66"/>
    <mergeCell ref="AD64:AE64"/>
    <mergeCell ref="AF64:AJ64"/>
    <mergeCell ref="BP65:BR65"/>
    <mergeCell ref="BP66:BR66"/>
    <mergeCell ref="BW60:CH66"/>
    <mergeCell ref="B61:C61"/>
    <mergeCell ref="D61:I61"/>
    <mergeCell ref="J61:K61"/>
    <mergeCell ref="L61:R61"/>
    <mergeCell ref="T61:X61"/>
    <mergeCell ref="Y61:AC61"/>
    <mergeCell ref="AD61:AE61"/>
    <mergeCell ref="AF61:AJ61"/>
    <mergeCell ref="AL61:AM61"/>
    <mergeCell ref="BS61:BU62"/>
    <mergeCell ref="B62:C62"/>
    <mergeCell ref="D62:I62"/>
    <mergeCell ref="J62:K62"/>
    <mergeCell ref="L62:R62"/>
    <mergeCell ref="T62:X62"/>
    <mergeCell ref="BP62:BR62"/>
    <mergeCell ref="B63:C63"/>
    <mergeCell ref="D63:I63"/>
    <mergeCell ref="J63:K63"/>
    <mergeCell ref="L63:R63"/>
    <mergeCell ref="T63:X63"/>
    <mergeCell ref="Y63:AC63"/>
    <mergeCell ref="AD63:AE63"/>
    <mergeCell ref="AF63:AJ63"/>
    <mergeCell ref="AV62:AW62"/>
    <mergeCell ref="AX62:AY62"/>
    <mergeCell ref="AZ62:BA62"/>
    <mergeCell ref="BB62:BC62"/>
    <mergeCell ref="BD62:BE62"/>
    <mergeCell ref="BF62:BG62"/>
    <mergeCell ref="AF62:AJ62"/>
    <mergeCell ref="B59:C59"/>
    <mergeCell ref="D59:I59"/>
    <mergeCell ref="J59:K59"/>
    <mergeCell ref="L59:R59"/>
    <mergeCell ref="T59:X59"/>
    <mergeCell ref="Y59:AC59"/>
    <mergeCell ref="AD59:AE59"/>
    <mergeCell ref="AT58:AU58"/>
    <mergeCell ref="AV58:AW58"/>
    <mergeCell ref="AF59:AJ59"/>
    <mergeCell ref="AN61:AO61"/>
    <mergeCell ref="AP61:AQ61"/>
    <mergeCell ref="AR61:AS61"/>
    <mergeCell ref="AT61:AU61"/>
    <mergeCell ref="AV61:AW61"/>
    <mergeCell ref="AX61:AY61"/>
    <mergeCell ref="B60:C60"/>
    <mergeCell ref="D60:I60"/>
    <mergeCell ref="J60:K60"/>
    <mergeCell ref="L60:R60"/>
    <mergeCell ref="T60:X60"/>
    <mergeCell ref="Y60:AC60"/>
    <mergeCell ref="AD60:AE60"/>
    <mergeCell ref="AF60:AJ60"/>
    <mergeCell ref="B55:C55"/>
    <mergeCell ref="D55:I55"/>
    <mergeCell ref="J55:K55"/>
    <mergeCell ref="BS57:BU58"/>
    <mergeCell ref="B58:C58"/>
    <mergeCell ref="D58:I58"/>
    <mergeCell ref="J58:K58"/>
    <mergeCell ref="L58:R58"/>
    <mergeCell ref="T58:X58"/>
    <mergeCell ref="Y58:AC58"/>
    <mergeCell ref="AX57:AY57"/>
    <mergeCell ref="AZ57:BA57"/>
    <mergeCell ref="BB57:BC57"/>
    <mergeCell ref="BD57:BE57"/>
    <mergeCell ref="BF57:BG57"/>
    <mergeCell ref="BH57:BI57"/>
    <mergeCell ref="AL57:AM57"/>
    <mergeCell ref="AN57:AO57"/>
    <mergeCell ref="AP57:AQ57"/>
    <mergeCell ref="AR57:AS57"/>
    <mergeCell ref="AT57:AU57"/>
    <mergeCell ref="AV57:AW57"/>
    <mergeCell ref="BF58:BG58"/>
    <mergeCell ref="BH58:BI58"/>
    <mergeCell ref="BP58:BR58"/>
    <mergeCell ref="AX58:AY58"/>
    <mergeCell ref="AZ58:BA58"/>
    <mergeCell ref="BB58:BC58"/>
    <mergeCell ref="BD58:BE58"/>
    <mergeCell ref="AD58:AE58"/>
    <mergeCell ref="AF58:AJ58"/>
    <mergeCell ref="AL58:AM58"/>
    <mergeCell ref="AD56:AE56"/>
    <mergeCell ref="AF56:AJ56"/>
    <mergeCell ref="B57:C57"/>
    <mergeCell ref="D57:I57"/>
    <mergeCell ref="J57:K57"/>
    <mergeCell ref="L57:R57"/>
    <mergeCell ref="T57:X57"/>
    <mergeCell ref="Y57:AC57"/>
    <mergeCell ref="AD57:AE57"/>
    <mergeCell ref="AF57:AJ57"/>
    <mergeCell ref="B56:C56"/>
    <mergeCell ref="D56:I56"/>
    <mergeCell ref="J56:K56"/>
    <mergeCell ref="L56:R56"/>
    <mergeCell ref="T56:X56"/>
    <mergeCell ref="Y56:AC56"/>
    <mergeCell ref="BP57:BR57"/>
    <mergeCell ref="BM57:BO58"/>
    <mergeCell ref="BK57:BL58"/>
    <mergeCell ref="AN58:AO58"/>
    <mergeCell ref="AP58:AQ58"/>
    <mergeCell ref="AR58:AS58"/>
    <mergeCell ref="L55:R55"/>
    <mergeCell ref="T55:X55"/>
    <mergeCell ref="Y55:AC55"/>
    <mergeCell ref="AD55:AE55"/>
    <mergeCell ref="AF55:AJ55"/>
    <mergeCell ref="AV54:AW54"/>
    <mergeCell ref="AX54:AY54"/>
    <mergeCell ref="AZ54:BA54"/>
    <mergeCell ref="BB54:BC54"/>
    <mergeCell ref="BD54:BE54"/>
    <mergeCell ref="BF54:BG54"/>
    <mergeCell ref="AF54:AJ54"/>
    <mergeCell ref="AL54:AM54"/>
    <mergeCell ref="BW52:CH57"/>
    <mergeCell ref="B53:C53"/>
    <mergeCell ref="D53:I53"/>
    <mergeCell ref="J53:K53"/>
    <mergeCell ref="L53:R53"/>
    <mergeCell ref="T53:X53"/>
    <mergeCell ref="Y53:AC53"/>
    <mergeCell ref="AD53:AE53"/>
    <mergeCell ref="AF53:AJ53"/>
    <mergeCell ref="AL53:AM53"/>
    <mergeCell ref="BS53:BU54"/>
    <mergeCell ref="B54:C54"/>
    <mergeCell ref="D54:I54"/>
    <mergeCell ref="J54:K54"/>
    <mergeCell ref="L54:R54"/>
    <mergeCell ref="T54:X54"/>
    <mergeCell ref="Y54:AC54"/>
    <mergeCell ref="AD54:AE54"/>
    <mergeCell ref="AZ53:BA53"/>
    <mergeCell ref="B50:C50"/>
    <mergeCell ref="D50:I50"/>
    <mergeCell ref="AF51:AJ51"/>
    <mergeCell ref="B52:C52"/>
    <mergeCell ref="D52:I52"/>
    <mergeCell ref="J52:K52"/>
    <mergeCell ref="L52:R52"/>
    <mergeCell ref="T52:X52"/>
    <mergeCell ref="Y52:AC52"/>
    <mergeCell ref="AD52:AE52"/>
    <mergeCell ref="AF52:AJ52"/>
    <mergeCell ref="Y50:AC50"/>
    <mergeCell ref="AN50:AO50"/>
    <mergeCell ref="AP50:AQ50"/>
    <mergeCell ref="AR50:AS50"/>
    <mergeCell ref="AN54:AO54"/>
    <mergeCell ref="AP54:AQ54"/>
    <mergeCell ref="AR54:AS54"/>
    <mergeCell ref="B51:C51"/>
    <mergeCell ref="D51:I51"/>
    <mergeCell ref="J51:K51"/>
    <mergeCell ref="L51:R51"/>
    <mergeCell ref="T51:X51"/>
    <mergeCell ref="Y51:AC51"/>
    <mergeCell ref="AD51:AE51"/>
    <mergeCell ref="AN53:AO53"/>
    <mergeCell ref="AP53:AQ53"/>
    <mergeCell ref="AR53:AS53"/>
    <mergeCell ref="AD50:AE50"/>
    <mergeCell ref="AF50:AJ50"/>
    <mergeCell ref="AL50:AM50"/>
    <mergeCell ref="AL49:AM49"/>
    <mergeCell ref="AN49:AO49"/>
    <mergeCell ref="AP49:AQ49"/>
    <mergeCell ref="AR49:AS49"/>
    <mergeCell ref="AT49:AU49"/>
    <mergeCell ref="J50:K50"/>
    <mergeCell ref="L50:R50"/>
    <mergeCell ref="T50:X50"/>
    <mergeCell ref="AD48:AE48"/>
    <mergeCell ref="AF48:AJ48"/>
    <mergeCell ref="BB53:BC53"/>
    <mergeCell ref="BD53:BE53"/>
    <mergeCell ref="BW48:CH48"/>
    <mergeCell ref="BF53:BG53"/>
    <mergeCell ref="BH53:BI53"/>
    <mergeCell ref="BK53:BL54"/>
    <mergeCell ref="AT54:AU54"/>
    <mergeCell ref="AT50:AU50"/>
    <mergeCell ref="AZ50:BA50"/>
    <mergeCell ref="BB50:BC50"/>
    <mergeCell ref="BM53:BO54"/>
    <mergeCell ref="BP53:BR53"/>
    <mergeCell ref="BH54:BI54"/>
    <mergeCell ref="AT53:AU53"/>
    <mergeCell ref="AV53:AW53"/>
    <mergeCell ref="AX53:AY53"/>
    <mergeCell ref="BP54:BR54"/>
    <mergeCell ref="B49:C49"/>
    <mergeCell ref="D49:I49"/>
    <mergeCell ref="J49:K49"/>
    <mergeCell ref="L49:R49"/>
    <mergeCell ref="T49:X49"/>
    <mergeCell ref="Y49:AC49"/>
    <mergeCell ref="AD49:AE49"/>
    <mergeCell ref="B48:C48"/>
    <mergeCell ref="D48:I48"/>
    <mergeCell ref="J48:K48"/>
    <mergeCell ref="L48:R48"/>
    <mergeCell ref="T48:X48"/>
    <mergeCell ref="Y48:AC48"/>
    <mergeCell ref="BW49:CH49"/>
    <mergeCell ref="AV49:AW49"/>
    <mergeCell ref="AX49:AY49"/>
    <mergeCell ref="AZ49:BA49"/>
    <mergeCell ref="BB49:BC49"/>
    <mergeCell ref="BD49:BE49"/>
    <mergeCell ref="BF49:BG49"/>
    <mergeCell ref="AF49:AJ49"/>
    <mergeCell ref="BH49:BI49"/>
    <mergeCell ref="BK49:BL50"/>
    <mergeCell ref="BM49:BO50"/>
    <mergeCell ref="BP49:BR49"/>
    <mergeCell ref="BS49:BU50"/>
    <mergeCell ref="BF50:BG50"/>
    <mergeCell ref="BH50:BI50"/>
    <mergeCell ref="BP50:BR50"/>
    <mergeCell ref="AV50:AW50"/>
    <mergeCell ref="AX50:AY50"/>
    <mergeCell ref="BD50:BE50"/>
    <mergeCell ref="BW46:CH46"/>
    <mergeCell ref="B47:C47"/>
    <mergeCell ref="D47:I47"/>
    <mergeCell ref="J47:K47"/>
    <mergeCell ref="L47:R47"/>
    <mergeCell ref="T47:X47"/>
    <mergeCell ref="Y47:AC47"/>
    <mergeCell ref="AD47:AE47"/>
    <mergeCell ref="AF47:AJ47"/>
    <mergeCell ref="BW47:CH47"/>
    <mergeCell ref="AZ46:BA46"/>
    <mergeCell ref="BB46:BC46"/>
    <mergeCell ref="BD46:BE46"/>
    <mergeCell ref="BF46:BG46"/>
    <mergeCell ref="BH46:BI46"/>
    <mergeCell ref="BP46:BR46"/>
    <mergeCell ref="AN46:AO46"/>
    <mergeCell ref="AP46:AQ46"/>
    <mergeCell ref="AR46:AS46"/>
    <mergeCell ref="AT46:AU46"/>
    <mergeCell ref="AV46:AW46"/>
    <mergeCell ref="AX46:AY46"/>
    <mergeCell ref="BW45:CH45"/>
    <mergeCell ref="B46:C46"/>
    <mergeCell ref="D46:I46"/>
    <mergeCell ref="J46:K46"/>
    <mergeCell ref="L46:R46"/>
    <mergeCell ref="T46:X46"/>
    <mergeCell ref="Y46:AC46"/>
    <mergeCell ref="AD46:AE46"/>
    <mergeCell ref="AF46:AJ46"/>
    <mergeCell ref="AL46:AM46"/>
    <mergeCell ref="BF45:BG45"/>
    <mergeCell ref="BH45:BI45"/>
    <mergeCell ref="BK45:BL46"/>
    <mergeCell ref="BM45:BO46"/>
    <mergeCell ref="BP45:BR45"/>
    <mergeCell ref="BS45:BU46"/>
    <mergeCell ref="AT45:AU45"/>
    <mergeCell ref="AV45:AW45"/>
    <mergeCell ref="AX45:AY45"/>
    <mergeCell ref="AZ45:BA45"/>
    <mergeCell ref="BB45:BC45"/>
    <mergeCell ref="BD45:BE45"/>
    <mergeCell ref="AD45:AE45"/>
    <mergeCell ref="AF45:AJ45"/>
    <mergeCell ref="AN45:AO45"/>
    <mergeCell ref="AP45:AQ45"/>
    <mergeCell ref="AR45:AS45"/>
    <mergeCell ref="B45:C45"/>
    <mergeCell ref="D45:I45"/>
    <mergeCell ref="J45:K45"/>
    <mergeCell ref="L45:R45"/>
    <mergeCell ref="T45:X45"/>
    <mergeCell ref="Y45:AC45"/>
    <mergeCell ref="B44:C44"/>
    <mergeCell ref="D44:I44"/>
    <mergeCell ref="J44:K44"/>
    <mergeCell ref="L44:R44"/>
    <mergeCell ref="T44:X44"/>
    <mergeCell ref="Y44:AC44"/>
    <mergeCell ref="AD44:AE44"/>
    <mergeCell ref="AF44:AJ44"/>
    <mergeCell ref="AL45:AM45"/>
    <mergeCell ref="BB42:BC42"/>
    <mergeCell ref="BD42:BE42"/>
    <mergeCell ref="BF42:BG42"/>
    <mergeCell ref="AF42:AJ42"/>
    <mergeCell ref="AL42:AM42"/>
    <mergeCell ref="AN42:AO42"/>
    <mergeCell ref="AP42:AQ42"/>
    <mergeCell ref="AR42:AS42"/>
    <mergeCell ref="AT42:AU42"/>
    <mergeCell ref="B43:C43"/>
    <mergeCell ref="D43:I43"/>
    <mergeCell ref="J43:K43"/>
    <mergeCell ref="L43:R43"/>
    <mergeCell ref="T43:X43"/>
    <mergeCell ref="Y43:AC43"/>
    <mergeCell ref="AD43:AE43"/>
    <mergeCell ref="AV42:AW42"/>
    <mergeCell ref="AX42:AY42"/>
    <mergeCell ref="AF43:AJ43"/>
    <mergeCell ref="BQ41:BU41"/>
    <mergeCell ref="B42:C42"/>
    <mergeCell ref="D42:I42"/>
    <mergeCell ref="J42:K42"/>
    <mergeCell ref="L42:R42"/>
    <mergeCell ref="T42:X42"/>
    <mergeCell ref="Y42:AC42"/>
    <mergeCell ref="AD42:AE42"/>
    <mergeCell ref="AV41:AW41"/>
    <mergeCell ref="AX41:AY41"/>
    <mergeCell ref="AZ41:BA41"/>
    <mergeCell ref="BB41:BC41"/>
    <mergeCell ref="BD41:BE41"/>
    <mergeCell ref="BF41:BG41"/>
    <mergeCell ref="AF41:AJ41"/>
    <mergeCell ref="AL41:AM41"/>
    <mergeCell ref="AN41:AO41"/>
    <mergeCell ref="AP41:AQ41"/>
    <mergeCell ref="AR41:AS41"/>
    <mergeCell ref="AT41:AU41"/>
    <mergeCell ref="BH42:BI42"/>
    <mergeCell ref="BK42:BP42"/>
    <mergeCell ref="BQ42:BU42"/>
    <mergeCell ref="AZ42:BA42"/>
    <mergeCell ref="B41:C41"/>
    <mergeCell ref="D41:I41"/>
    <mergeCell ref="J41:K41"/>
    <mergeCell ref="L41:R41"/>
    <mergeCell ref="T41:X41"/>
    <mergeCell ref="Y41:AC41"/>
    <mergeCell ref="AD41:AE41"/>
    <mergeCell ref="BH41:BI41"/>
    <mergeCell ref="BK41:BP41"/>
    <mergeCell ref="BQ39:BU39"/>
    <mergeCell ref="B40:C40"/>
    <mergeCell ref="D40:I40"/>
    <mergeCell ref="J40:K40"/>
    <mergeCell ref="L40:R40"/>
    <mergeCell ref="T40:X40"/>
    <mergeCell ref="Y40:AC40"/>
    <mergeCell ref="AD40:AE40"/>
    <mergeCell ref="AF40:AJ40"/>
    <mergeCell ref="BK40:BP40"/>
    <mergeCell ref="BQ40:BU40"/>
    <mergeCell ref="BH38:BI38"/>
    <mergeCell ref="BK38:BP38"/>
    <mergeCell ref="BQ38:BU38"/>
    <mergeCell ref="B39:C39"/>
    <mergeCell ref="D39:I39"/>
    <mergeCell ref="J39:K39"/>
    <mergeCell ref="L39:R39"/>
    <mergeCell ref="T39:X39"/>
    <mergeCell ref="Y39:AC39"/>
    <mergeCell ref="AD39:AE39"/>
    <mergeCell ref="AV38:AW38"/>
    <mergeCell ref="AX38:AY38"/>
    <mergeCell ref="AZ38:BA38"/>
    <mergeCell ref="BB38:BC38"/>
    <mergeCell ref="BD38:BE38"/>
    <mergeCell ref="BF38:BG38"/>
    <mergeCell ref="AF38:AJ38"/>
    <mergeCell ref="AL38:AM38"/>
    <mergeCell ref="AN38:AO38"/>
    <mergeCell ref="AP38:AQ38"/>
    <mergeCell ref="AR38:AS38"/>
    <mergeCell ref="AT38:AU38"/>
    <mergeCell ref="AF39:AJ39"/>
    <mergeCell ref="BK39:BP39"/>
    <mergeCell ref="B38:C38"/>
    <mergeCell ref="D38:I38"/>
    <mergeCell ref="J38:K38"/>
    <mergeCell ref="L38:R38"/>
    <mergeCell ref="T38:X38"/>
    <mergeCell ref="Y38:AC38"/>
    <mergeCell ref="AD38:AE38"/>
    <mergeCell ref="AV37:AW37"/>
    <mergeCell ref="AX37:AY37"/>
    <mergeCell ref="AF37:AJ37"/>
    <mergeCell ref="AL37:AM37"/>
    <mergeCell ref="AN37:AO37"/>
    <mergeCell ref="AP37:AQ37"/>
    <mergeCell ref="AR37:AS37"/>
    <mergeCell ref="AT37:AU37"/>
    <mergeCell ref="B37:C37"/>
    <mergeCell ref="D37:I37"/>
    <mergeCell ref="J37:K37"/>
    <mergeCell ref="L37:R37"/>
    <mergeCell ref="T37:X37"/>
    <mergeCell ref="Y37:AC37"/>
    <mergeCell ref="AD37:AE37"/>
    <mergeCell ref="B36:I36"/>
    <mergeCell ref="J36:K36"/>
    <mergeCell ref="L36:R36"/>
    <mergeCell ref="S36:X36"/>
    <mergeCell ref="Y36:AC36"/>
    <mergeCell ref="AD36:AE36"/>
    <mergeCell ref="BH37:BI37"/>
    <mergeCell ref="BK37:BP37"/>
    <mergeCell ref="BQ37:BU37"/>
    <mergeCell ref="AZ37:BA37"/>
    <mergeCell ref="BB37:BC37"/>
    <mergeCell ref="BD37:BE37"/>
    <mergeCell ref="BF37:BG37"/>
    <mergeCell ref="BR32:BS32"/>
    <mergeCell ref="BT32:BU32"/>
    <mergeCell ref="AC33:AD33"/>
    <mergeCell ref="AE33:AH33"/>
    <mergeCell ref="AI33:AL33"/>
    <mergeCell ref="AM33:AP33"/>
    <mergeCell ref="AQ33:AT33"/>
    <mergeCell ref="AU33:AX33"/>
    <mergeCell ref="AE32:AH32"/>
    <mergeCell ref="AI32:AL32"/>
    <mergeCell ref="AM32:AP32"/>
    <mergeCell ref="AQ32:AT32"/>
    <mergeCell ref="AU32:AX32"/>
    <mergeCell ref="AY32:BB32"/>
    <mergeCell ref="G33:I33"/>
    <mergeCell ref="J33:L33"/>
    <mergeCell ref="AF36:AJ36"/>
    <mergeCell ref="BK36:BP36"/>
    <mergeCell ref="BQ36:BU36"/>
    <mergeCell ref="M33:O33"/>
    <mergeCell ref="P33:R33"/>
    <mergeCell ref="S33:U33"/>
    <mergeCell ref="V33:X33"/>
    <mergeCell ref="BF31:BG31"/>
    <mergeCell ref="BH31:BK31"/>
    <mergeCell ref="BR31:BS31"/>
    <mergeCell ref="BT31:BU31"/>
    <mergeCell ref="B83:D84"/>
    <mergeCell ref="E83:G84"/>
    <mergeCell ref="H83:I84"/>
    <mergeCell ref="J83:K84"/>
    <mergeCell ref="L83:AA84"/>
    <mergeCell ref="AC32:AD32"/>
    <mergeCell ref="AE31:AH31"/>
    <mergeCell ref="AI31:AL31"/>
    <mergeCell ref="AM31:AP31"/>
    <mergeCell ref="AQ31:AT31"/>
    <mergeCell ref="AU31:AX31"/>
    <mergeCell ref="AY31:BB31"/>
    <mergeCell ref="B82:D82"/>
    <mergeCell ref="E82:G82"/>
    <mergeCell ref="H82:I82"/>
    <mergeCell ref="J82:K82"/>
    <mergeCell ref="L82:AA82"/>
    <mergeCell ref="AC31:AD31"/>
    <mergeCell ref="AY33:BB33"/>
    <mergeCell ref="BL33:BN34"/>
    <mergeCell ref="BO33:BR34"/>
    <mergeCell ref="BS33:BU34"/>
    <mergeCell ref="B35:U35"/>
    <mergeCell ref="V35:X35"/>
    <mergeCell ref="Y35:AG35"/>
    <mergeCell ref="AH35:AJ35"/>
    <mergeCell ref="BF32:BG32"/>
    <mergeCell ref="BH32:BK32"/>
    <mergeCell ref="AC30:AD30"/>
    <mergeCell ref="AE30:AF30"/>
    <mergeCell ref="AG30:AH30"/>
    <mergeCell ref="AI30:AJ30"/>
    <mergeCell ref="AK30:AL30"/>
    <mergeCell ref="AO29:AP29"/>
    <mergeCell ref="AQ29:AR29"/>
    <mergeCell ref="AS29:AT29"/>
    <mergeCell ref="AU29:AV29"/>
    <mergeCell ref="AW29:AX29"/>
    <mergeCell ref="AY29:AZ29"/>
    <mergeCell ref="AC29:AD29"/>
    <mergeCell ref="AE29:AF29"/>
    <mergeCell ref="AG29:AH29"/>
    <mergeCell ref="AI29:AJ29"/>
    <mergeCell ref="AK29:AL29"/>
    <mergeCell ref="AM29:AN29"/>
    <mergeCell ref="C79:K79"/>
    <mergeCell ref="L79:AA79"/>
    <mergeCell ref="AC28:AD28"/>
    <mergeCell ref="AE28:AF28"/>
    <mergeCell ref="AG28:AH28"/>
    <mergeCell ref="AI28:AJ28"/>
    <mergeCell ref="AK28:AL28"/>
    <mergeCell ref="AS27:AT27"/>
    <mergeCell ref="AU27:AV27"/>
    <mergeCell ref="AW27:AX27"/>
    <mergeCell ref="AY27:AZ27"/>
    <mergeCell ref="BA27:BB27"/>
    <mergeCell ref="BF27:BG27"/>
    <mergeCell ref="AG27:AH27"/>
    <mergeCell ref="AI27:AJ27"/>
    <mergeCell ref="AK27:AL27"/>
    <mergeCell ref="AI26:AJ26"/>
    <mergeCell ref="AY30:AZ30"/>
    <mergeCell ref="BA30:BB30"/>
    <mergeCell ref="AM27:AN27"/>
    <mergeCell ref="AO27:AP27"/>
    <mergeCell ref="AQ27:AR27"/>
    <mergeCell ref="AY28:AZ28"/>
    <mergeCell ref="BA28:BB28"/>
    <mergeCell ref="BF28:BG28"/>
    <mergeCell ref="AM28:AN28"/>
    <mergeCell ref="AO28:AP28"/>
    <mergeCell ref="AQ28:AR28"/>
    <mergeCell ref="AS28:AT28"/>
    <mergeCell ref="AU28:AV28"/>
    <mergeCell ref="AW28:AX28"/>
    <mergeCell ref="BF30:BG30"/>
    <mergeCell ref="C78:K78"/>
    <mergeCell ref="L78:M78"/>
    <mergeCell ref="N78:O78"/>
    <mergeCell ref="P78:S78"/>
    <mergeCell ref="T78:U78"/>
    <mergeCell ref="V78:W78"/>
    <mergeCell ref="X78:AA78"/>
    <mergeCell ref="AC27:AD27"/>
    <mergeCell ref="AE27:AF27"/>
    <mergeCell ref="AW26:AX26"/>
    <mergeCell ref="AY26:AZ26"/>
    <mergeCell ref="BA26:BB26"/>
    <mergeCell ref="BF26:BG26"/>
    <mergeCell ref="BH26:BK26"/>
    <mergeCell ref="BR26:BS26"/>
    <mergeCell ref="AK26:AL26"/>
    <mergeCell ref="C75:K75"/>
    <mergeCell ref="L75:O75"/>
    <mergeCell ref="AM26:AN26"/>
    <mergeCell ref="AO26:AP26"/>
    <mergeCell ref="AQ26:AR26"/>
    <mergeCell ref="AS26:AT26"/>
    <mergeCell ref="AU26:AV26"/>
    <mergeCell ref="BH27:BK27"/>
    <mergeCell ref="BR27:BS27"/>
    <mergeCell ref="BH28:BK28"/>
    <mergeCell ref="BR28:BS28"/>
    <mergeCell ref="BH30:BK30"/>
    <mergeCell ref="BR30:BS30"/>
    <mergeCell ref="AM30:AN30"/>
    <mergeCell ref="AO30:AP30"/>
    <mergeCell ref="AQ30:AR30"/>
    <mergeCell ref="C76:K76"/>
    <mergeCell ref="L76:M76"/>
    <mergeCell ref="N76:O76"/>
    <mergeCell ref="P76:S76"/>
    <mergeCell ref="T76:U76"/>
    <mergeCell ref="V76:W76"/>
    <mergeCell ref="X76:AA76"/>
    <mergeCell ref="AC25:AD26"/>
    <mergeCell ref="AE25:AH25"/>
    <mergeCell ref="BH25:BK25"/>
    <mergeCell ref="BR25:BS25"/>
    <mergeCell ref="BT25:BU25"/>
    <mergeCell ref="C77:K77"/>
    <mergeCell ref="L77:O77"/>
    <mergeCell ref="P77:S77"/>
    <mergeCell ref="T77:AA77"/>
    <mergeCell ref="AE26:AF26"/>
    <mergeCell ref="AG26:AH26"/>
    <mergeCell ref="AI25:AL25"/>
    <mergeCell ref="AM25:AP25"/>
    <mergeCell ref="AQ25:AT25"/>
    <mergeCell ref="AU25:AX25"/>
    <mergeCell ref="AY25:BB25"/>
    <mergeCell ref="BF25:BG25"/>
    <mergeCell ref="BT26:BU26"/>
    <mergeCell ref="BT27:BU27"/>
    <mergeCell ref="BT28:BU28"/>
    <mergeCell ref="BT30:BU30"/>
    <mergeCell ref="AS30:AT30"/>
    <mergeCell ref="AU30:AV30"/>
    <mergeCell ref="AW30:AX30"/>
    <mergeCell ref="BA29:BB29"/>
    <mergeCell ref="BR22:BS22"/>
    <mergeCell ref="BT22:BU22"/>
    <mergeCell ref="F74:K74"/>
    <mergeCell ref="L74:M74"/>
    <mergeCell ref="N74:O74"/>
    <mergeCell ref="P74:S74"/>
    <mergeCell ref="T74:U74"/>
    <mergeCell ref="V74:W74"/>
    <mergeCell ref="AK22:AM22"/>
    <mergeCell ref="AN22:AP22"/>
    <mergeCell ref="AQ22:AS22"/>
    <mergeCell ref="AT22:AV22"/>
    <mergeCell ref="AW22:AY22"/>
    <mergeCell ref="AZ22:BB22"/>
    <mergeCell ref="X74:AA74"/>
    <mergeCell ref="BF23:BG23"/>
    <mergeCell ref="BH23:BK23"/>
    <mergeCell ref="BR23:BS23"/>
    <mergeCell ref="BT23:BU23"/>
    <mergeCell ref="F73:K73"/>
    <mergeCell ref="L73:M73"/>
    <mergeCell ref="N73:O73"/>
    <mergeCell ref="P73:S73"/>
    <mergeCell ref="T73:U73"/>
    <mergeCell ref="BF24:BG24"/>
    <mergeCell ref="BH24:BK24"/>
    <mergeCell ref="BR24:BS24"/>
    <mergeCell ref="BT24:BU24"/>
    <mergeCell ref="BF29:BG29"/>
    <mergeCell ref="BH29:BK29"/>
    <mergeCell ref="BR29:BS29"/>
    <mergeCell ref="BT29:BU29"/>
    <mergeCell ref="BH21:BK21"/>
    <mergeCell ref="BF22:BG22"/>
    <mergeCell ref="BH22:BK22"/>
    <mergeCell ref="V73:W73"/>
    <mergeCell ref="X73:AA73"/>
    <mergeCell ref="AG22:AJ22"/>
    <mergeCell ref="AQ21:AS21"/>
    <mergeCell ref="BH18:BK18"/>
    <mergeCell ref="BR20:BS20"/>
    <mergeCell ref="BT20:BU20"/>
    <mergeCell ref="F72:K72"/>
    <mergeCell ref="L72:M72"/>
    <mergeCell ref="N72:O72"/>
    <mergeCell ref="Q72:R72"/>
    <mergeCell ref="T72:U72"/>
    <mergeCell ref="V72:W72"/>
    <mergeCell ref="Y72:Z72"/>
    <mergeCell ref="AG21:AJ21"/>
    <mergeCell ref="AQ20:AS20"/>
    <mergeCell ref="AT20:AV20"/>
    <mergeCell ref="AW20:AY20"/>
    <mergeCell ref="AZ20:BB20"/>
    <mergeCell ref="BF20:BG20"/>
    <mergeCell ref="BH20:BK20"/>
    <mergeCell ref="AK21:AM21"/>
    <mergeCell ref="AN21:AP21"/>
    <mergeCell ref="BR21:BS21"/>
    <mergeCell ref="BT21:BU21"/>
    <mergeCell ref="AT21:AV21"/>
    <mergeCell ref="AW21:AY21"/>
    <mergeCell ref="AZ21:BB21"/>
    <mergeCell ref="BF21:BG21"/>
    <mergeCell ref="BR18:BS18"/>
    <mergeCell ref="BT18:BU18"/>
    <mergeCell ref="C70:E74"/>
    <mergeCell ref="F70:K70"/>
    <mergeCell ref="L70:M70"/>
    <mergeCell ref="N70:O70"/>
    <mergeCell ref="P70:S70"/>
    <mergeCell ref="T70:U70"/>
    <mergeCell ref="BR19:BS19"/>
    <mergeCell ref="BT19:BU19"/>
    <mergeCell ref="F71:K71"/>
    <mergeCell ref="L71:M71"/>
    <mergeCell ref="N71:O71"/>
    <mergeCell ref="P71:S71"/>
    <mergeCell ref="T71:U71"/>
    <mergeCell ref="V71:W71"/>
    <mergeCell ref="X71:AA71"/>
    <mergeCell ref="AG20:AJ20"/>
    <mergeCell ref="AQ19:AS19"/>
    <mergeCell ref="AT19:AV19"/>
    <mergeCell ref="AW19:AY19"/>
    <mergeCell ref="AZ19:BB19"/>
    <mergeCell ref="BF19:BG19"/>
    <mergeCell ref="BH19:BK19"/>
    <mergeCell ref="V70:W70"/>
    <mergeCell ref="X70:AA70"/>
    <mergeCell ref="AC19:AF22"/>
    <mergeCell ref="AG19:AJ19"/>
    <mergeCell ref="AK19:AM19"/>
    <mergeCell ref="AN19:AP19"/>
    <mergeCell ref="AK20:AM20"/>
    <mergeCell ref="AN20:AP20"/>
    <mergeCell ref="BR16:BS16"/>
    <mergeCell ref="BT16:BU16"/>
    <mergeCell ref="AC17:AF18"/>
    <mergeCell ref="AG17:AJ17"/>
    <mergeCell ref="AK17:AM17"/>
    <mergeCell ref="AN17:AP17"/>
    <mergeCell ref="AQ17:AS17"/>
    <mergeCell ref="BT17:BU17"/>
    <mergeCell ref="B69:K69"/>
    <mergeCell ref="L69:AA69"/>
    <mergeCell ref="AG18:AJ18"/>
    <mergeCell ref="AK18:AM18"/>
    <mergeCell ref="AN18:AP18"/>
    <mergeCell ref="AQ18:AS18"/>
    <mergeCell ref="AT18:AV18"/>
    <mergeCell ref="AW18:AY18"/>
    <mergeCell ref="AZ18:BB18"/>
    <mergeCell ref="AT17:AV17"/>
    <mergeCell ref="AW17:AY17"/>
    <mergeCell ref="AZ17:BB17"/>
    <mergeCell ref="BF17:BG17"/>
    <mergeCell ref="BH17:BK17"/>
    <mergeCell ref="BR17:BS17"/>
    <mergeCell ref="BF18:BG18"/>
    <mergeCell ref="AC16:AJ16"/>
    <mergeCell ref="AK16:AM16"/>
    <mergeCell ref="AN16:AP16"/>
    <mergeCell ref="AQ16:AS16"/>
    <mergeCell ref="AT16:AV16"/>
    <mergeCell ref="AW16:AY16"/>
    <mergeCell ref="AZ16:BB16"/>
    <mergeCell ref="BF16:BG16"/>
    <mergeCell ref="BH16:BK16"/>
    <mergeCell ref="BH14:BK14"/>
    <mergeCell ref="BR14:BS14"/>
    <mergeCell ref="BT14:BU14"/>
    <mergeCell ref="B15:F15"/>
    <mergeCell ref="G15:I15"/>
    <mergeCell ref="J15:L15"/>
    <mergeCell ref="M15:O15"/>
    <mergeCell ref="P15:R15"/>
    <mergeCell ref="S15:U15"/>
    <mergeCell ref="V15:W15"/>
    <mergeCell ref="X15:AA15"/>
    <mergeCell ref="BF15:BG15"/>
    <mergeCell ref="BH15:BK15"/>
    <mergeCell ref="BR15:BS15"/>
    <mergeCell ref="BT15:BU15"/>
    <mergeCell ref="B13:F13"/>
    <mergeCell ref="G13:I13"/>
    <mergeCell ref="J13:L13"/>
    <mergeCell ref="M13:O13"/>
    <mergeCell ref="P13:R13"/>
    <mergeCell ref="S13:U13"/>
    <mergeCell ref="BR13:BS13"/>
    <mergeCell ref="BT13:BU13"/>
    <mergeCell ref="B14:F14"/>
    <mergeCell ref="G14:I14"/>
    <mergeCell ref="J14:L14"/>
    <mergeCell ref="M14:O14"/>
    <mergeCell ref="P14:R14"/>
    <mergeCell ref="S14:U14"/>
    <mergeCell ref="AC14:AJ14"/>
    <mergeCell ref="AK14:AL14"/>
    <mergeCell ref="AN14:BB14"/>
    <mergeCell ref="BF14:BG14"/>
    <mergeCell ref="BT11:BU11"/>
    <mergeCell ref="B12:F12"/>
    <mergeCell ref="G12:I12"/>
    <mergeCell ref="J12:L12"/>
    <mergeCell ref="M12:O12"/>
    <mergeCell ref="P12:R12"/>
    <mergeCell ref="S12:U12"/>
    <mergeCell ref="AC12:AJ12"/>
    <mergeCell ref="AK12:AL12"/>
    <mergeCell ref="AN12:BB12"/>
    <mergeCell ref="AC11:AJ11"/>
    <mergeCell ref="AK11:AL11"/>
    <mergeCell ref="AN11:BB11"/>
    <mergeCell ref="BF11:BG11"/>
    <mergeCell ref="BH11:BK11"/>
    <mergeCell ref="BR11:BS11"/>
    <mergeCell ref="BF12:BG12"/>
    <mergeCell ref="BH12:BK12"/>
    <mergeCell ref="BR12:BS12"/>
    <mergeCell ref="BT12:BU12"/>
    <mergeCell ref="B11:F11"/>
    <mergeCell ref="G11:I11"/>
    <mergeCell ref="J11:L11"/>
    <mergeCell ref="M11:O11"/>
    <mergeCell ref="P11:R11"/>
    <mergeCell ref="V14:X14"/>
    <mergeCell ref="Y14:AA14"/>
    <mergeCell ref="BF9:BG9"/>
    <mergeCell ref="BH9:BK9"/>
    <mergeCell ref="BR9:BS9"/>
    <mergeCell ref="BT9:BU9"/>
    <mergeCell ref="AC10:AJ10"/>
    <mergeCell ref="AK10:AM10"/>
    <mergeCell ref="AN10:BB10"/>
    <mergeCell ref="BF10:BG10"/>
    <mergeCell ref="BH10:BK10"/>
    <mergeCell ref="BR10:BS10"/>
    <mergeCell ref="BT10:BU10"/>
    <mergeCell ref="AC13:AJ13"/>
    <mergeCell ref="AK13:AL13"/>
    <mergeCell ref="AN13:BB13"/>
    <mergeCell ref="BF13:BG13"/>
    <mergeCell ref="BH13:BK13"/>
    <mergeCell ref="V10:X10"/>
    <mergeCell ref="Y10:AA10"/>
    <mergeCell ref="V11:X11"/>
    <mergeCell ref="Y11:AA11"/>
    <mergeCell ref="V12:X12"/>
    <mergeCell ref="Y12:AA12"/>
    <mergeCell ref="V13:X13"/>
    <mergeCell ref="Y13:AA13"/>
    <mergeCell ref="BA8:BB8"/>
    <mergeCell ref="BF8:BG8"/>
    <mergeCell ref="BH8:BK8"/>
    <mergeCell ref="BR8:BS8"/>
    <mergeCell ref="BT8:BU8"/>
    <mergeCell ref="B9:F9"/>
    <mergeCell ref="G9:I9"/>
    <mergeCell ref="J9:L9"/>
    <mergeCell ref="M9:O9"/>
    <mergeCell ref="P9:R9"/>
    <mergeCell ref="AM8:AN8"/>
    <mergeCell ref="AQ8:AR8"/>
    <mergeCell ref="AS8:AT8"/>
    <mergeCell ref="AU8:AV8"/>
    <mergeCell ref="AW8:AX8"/>
    <mergeCell ref="AY8:AZ8"/>
    <mergeCell ref="S8:U8"/>
    <mergeCell ref="AC8:AD8"/>
    <mergeCell ref="AE8:AF8"/>
    <mergeCell ref="AG8:AH8"/>
    <mergeCell ref="AI8:AJ8"/>
    <mergeCell ref="AK8:AL8"/>
    <mergeCell ref="S9:U9"/>
    <mergeCell ref="B8:F8"/>
    <mergeCell ref="G8:I8"/>
    <mergeCell ref="J8:L8"/>
    <mergeCell ref="M8:O8"/>
    <mergeCell ref="P8:R8"/>
    <mergeCell ref="V8:X8"/>
    <mergeCell ref="Y8:AA8"/>
    <mergeCell ref="V9:X9"/>
    <mergeCell ref="Y9:AA9"/>
    <mergeCell ref="BR6:BS6"/>
    <mergeCell ref="BT6:BU6"/>
    <mergeCell ref="B7:F7"/>
    <mergeCell ref="G7:I7"/>
    <mergeCell ref="J7:L7"/>
    <mergeCell ref="M7:O7"/>
    <mergeCell ref="P7:R7"/>
    <mergeCell ref="S7:U7"/>
    <mergeCell ref="B6:F6"/>
    <mergeCell ref="G6:I6"/>
    <mergeCell ref="J6:L6"/>
    <mergeCell ref="M6:O6"/>
    <mergeCell ref="P6:R6"/>
    <mergeCell ref="S6:U6"/>
    <mergeCell ref="BA7:BB7"/>
    <mergeCell ref="BF7:BG7"/>
    <mergeCell ref="BH7:BK7"/>
    <mergeCell ref="BR7:BS7"/>
    <mergeCell ref="BT7:BU7"/>
    <mergeCell ref="AW7:AX7"/>
    <mergeCell ref="AY7:AZ7"/>
    <mergeCell ref="V7:X7"/>
    <mergeCell ref="AI5:AJ5"/>
    <mergeCell ref="AY5:AZ5"/>
    <mergeCell ref="BA5:BB5"/>
    <mergeCell ref="BF5:BG5"/>
    <mergeCell ref="BF6:BG6"/>
    <mergeCell ref="V6:X6"/>
    <mergeCell ref="Y6:AA6"/>
    <mergeCell ref="AM7:AN7"/>
    <mergeCell ref="AQ7:AR7"/>
    <mergeCell ref="AS7:AT7"/>
    <mergeCell ref="AU7:AV7"/>
    <mergeCell ref="AC7:AD7"/>
    <mergeCell ref="AE7:AF7"/>
    <mergeCell ref="AG7:AH7"/>
    <mergeCell ref="AI7:AJ7"/>
    <mergeCell ref="AK7:AL7"/>
    <mergeCell ref="BH6:BK6"/>
    <mergeCell ref="Y7:AA7"/>
    <mergeCell ref="CA1:CH1"/>
    <mergeCell ref="BE2:BK2"/>
    <mergeCell ref="BR2:BS2"/>
    <mergeCell ref="BT2:BU2"/>
    <mergeCell ref="B3:F3"/>
    <mergeCell ref="G3:I3"/>
    <mergeCell ref="J3:L3"/>
    <mergeCell ref="M3:O3"/>
    <mergeCell ref="P3:R3"/>
    <mergeCell ref="S3:U3"/>
    <mergeCell ref="A1:C1"/>
    <mergeCell ref="G1:H1"/>
    <mergeCell ref="AA1:AB1"/>
    <mergeCell ref="BA1:BB1"/>
    <mergeCell ref="BC1:BE1"/>
    <mergeCell ref="BF1:BJ1"/>
    <mergeCell ref="BF3:BG3"/>
    <mergeCell ref="BH3:BK3"/>
    <mergeCell ref="BR3:BS3"/>
    <mergeCell ref="BT3:BU3"/>
    <mergeCell ref="V3:X3"/>
    <mergeCell ref="Y3:AA3"/>
    <mergeCell ref="BH4:BK4"/>
    <mergeCell ref="BR4:BS4"/>
    <mergeCell ref="BT4:BU4"/>
    <mergeCell ref="AK4:AL4"/>
    <mergeCell ref="AM4:AN4"/>
    <mergeCell ref="AQ4:AR4"/>
    <mergeCell ref="AS4:AT4"/>
    <mergeCell ref="AU4:AV4"/>
    <mergeCell ref="AW4:AX4"/>
    <mergeCell ref="V4:X4"/>
    <mergeCell ref="Y4:AA4"/>
    <mergeCell ref="V5:X5"/>
    <mergeCell ref="Y5:AA5"/>
    <mergeCell ref="BH5:BK5"/>
    <mergeCell ref="BR5:BS5"/>
    <mergeCell ref="BT5:BU5"/>
    <mergeCell ref="AK5:AL5"/>
    <mergeCell ref="AM5:AN5"/>
    <mergeCell ref="AQ5:AR5"/>
    <mergeCell ref="AS5:AT5"/>
    <mergeCell ref="AU5:AV5"/>
    <mergeCell ref="AW5:AX5"/>
    <mergeCell ref="AY4:AZ4"/>
    <mergeCell ref="BA4:BB4"/>
    <mergeCell ref="BF4:BG4"/>
    <mergeCell ref="AC4:AD4"/>
    <mergeCell ref="AE4:AF4"/>
    <mergeCell ref="AG4:AH4"/>
    <mergeCell ref="AI4:AJ4"/>
    <mergeCell ref="AC5:AD5"/>
    <mergeCell ref="AE5:AF5"/>
    <mergeCell ref="AG5:AH5"/>
    <mergeCell ref="B4:F4"/>
    <mergeCell ref="G4:I4"/>
    <mergeCell ref="J4:L4"/>
    <mergeCell ref="M4:O4"/>
    <mergeCell ref="P4:R4"/>
    <mergeCell ref="B5:F5"/>
    <mergeCell ref="G5:I5"/>
    <mergeCell ref="J5:L5"/>
    <mergeCell ref="M5:O5"/>
    <mergeCell ref="P5:R5"/>
    <mergeCell ref="S5:U5"/>
    <mergeCell ref="S4:U4"/>
    <mergeCell ref="S11:U11"/>
    <mergeCell ref="B10:F10"/>
    <mergeCell ref="G10:I10"/>
    <mergeCell ref="J10:L10"/>
    <mergeCell ref="M10:O10"/>
    <mergeCell ref="P10:R10"/>
    <mergeCell ref="S10:U10"/>
  </mergeCells>
  <phoneticPr fontId="2"/>
  <conditionalFormatting sqref="G15:U15">
    <cfRule type="cellIs" dxfId="92" priority="19" operator="lessThan">
      <formula>700000</formula>
    </cfRule>
  </conditionalFormatting>
  <conditionalFormatting sqref="G23:U23">
    <cfRule type="cellIs" dxfId="91" priority="4" operator="between">
      <formula>0.95</formula>
      <formula>0.9</formula>
    </cfRule>
    <cfRule type="cellIs" dxfId="90" priority="5" operator="lessThan">
      <formula>0.9</formula>
    </cfRule>
  </conditionalFormatting>
  <conditionalFormatting sqref="G20:X20 G22:X22">
    <cfRule type="cellIs" dxfId="89" priority="17" operator="between">
      <formula>0.95</formula>
      <formula>0.9</formula>
    </cfRule>
    <cfRule type="cellIs" dxfId="88" priority="18" operator="lessThan">
      <formula>0.9</formula>
    </cfRule>
  </conditionalFormatting>
  <conditionalFormatting sqref="G24:X24">
    <cfRule type="cellIs" dxfId="87" priority="14" operator="lessThan">
      <formula>0.4</formula>
    </cfRule>
    <cfRule type="cellIs" dxfId="86" priority="15" operator="lessThan">
      <formula>0.5</formula>
    </cfRule>
  </conditionalFormatting>
  <conditionalFormatting sqref="G6:AA6">
    <cfRule type="cellIs" dxfId="85" priority="20" operator="between">
      <formula>0.95</formula>
      <formula>0.9</formula>
    </cfRule>
    <cfRule type="cellIs" dxfId="84" priority="25" operator="lessThan">
      <formula>0.9</formula>
    </cfRule>
  </conditionalFormatting>
  <conditionalFormatting sqref="G8:AA8">
    <cfRule type="cellIs" dxfId="83" priority="23" operator="lessThan">
      <formula>0.4</formula>
    </cfRule>
    <cfRule type="cellIs" dxfId="82" priority="24" operator="lessThan">
      <formula>0.5</formula>
    </cfRule>
  </conditionalFormatting>
  <conditionalFormatting sqref="G10:AA10">
    <cfRule type="cellIs" dxfId="81" priority="22" operator="lessThan">
      <formula>0.9</formula>
    </cfRule>
  </conditionalFormatting>
  <conditionalFormatting sqref="G12:AA12">
    <cfRule type="expression" dxfId="80" priority="21">
      <formula>AND(G12&lt;&gt;"",G12&gt;0.3)</formula>
    </cfRule>
  </conditionalFormatting>
  <conditionalFormatting sqref="J27:AA31">
    <cfRule type="containsBlanks" dxfId="79" priority="1">
      <formula>LEN(TRIM(J27))=0</formula>
    </cfRule>
  </conditionalFormatting>
  <conditionalFormatting sqref="P21:X21">
    <cfRule type="cellIs" dxfId="78" priority="2" operator="between">
      <formula>0.95</formula>
      <formula>0.9</formula>
    </cfRule>
    <cfRule type="cellIs" dxfId="77" priority="3" operator="lessThan">
      <formula>0.9</formula>
    </cfRule>
  </conditionalFormatting>
  <conditionalFormatting sqref="P75:AA75">
    <cfRule type="cellIs" dxfId="76" priority="28" operator="equal">
      <formula>"完"</formula>
    </cfRule>
  </conditionalFormatting>
  <conditionalFormatting sqref="AH35:AJ35">
    <cfRule type="cellIs" dxfId="75" priority="26" operator="equal">
      <formula>"Ⅱ算定済"</formula>
    </cfRule>
    <cfRule type="cellIs" dxfId="74" priority="27" operator="equal">
      <formula>"Ⅰ算定済"</formula>
    </cfRule>
  </conditionalFormatting>
  <conditionalFormatting sqref="BF3:BU32 P75:AA75 AH35:AJ35 AC5:AN5 AQ5:BB5 AC8:AN8 AQ8:BB8 AC11:BB14 G14:AA14 AK17:BB21 AE27:BB29 AE32:BB32 BK37:BP42 D37:AJ66 AL38:BI38 AL42:BI42 BW45:CH49 AL46:BI46 AL50:BI50 AL54:BI54 AL58:BI58 AL62:BI62 AL66:BI66 P70:S71 P72 S72 X72 AA72 P73:S73 X73:AA73 X76:AA76 P76:S78 X78:AA78 L79:AA79 B83:G84 L83:AA84">
    <cfRule type="containsBlanks" dxfId="73" priority="30">
      <formula>LEN(TRIM(B3))=0</formula>
    </cfRule>
  </conditionalFormatting>
  <conditionalFormatting sqref="BL3:BQ32">
    <cfRule type="cellIs" dxfId="72" priority="29" operator="equal">
      <formula>"完"</formula>
    </cfRule>
  </conditionalFormatting>
  <dataValidations count="23">
    <dataValidation type="list" allowBlank="1" showInputMessage="1" showErrorMessage="1" sqref="BL3:BQ32" xr:uid="{E3CC997C-37FE-4025-95DE-BE708D500059}">
      <formula1>"完"</formula1>
    </dataValidation>
    <dataValidation type="list" allowBlank="1" showInputMessage="1" showErrorMessage="1" sqref="B83:D84" xr:uid="{F44A2B7D-FB84-47AA-B178-D121A2DC88D6}">
      <formula1>"Ⅰ,Ⅱ,Ⅲ"</formula1>
    </dataValidation>
    <dataValidation type="list" allowBlank="1" showInputMessage="1" showErrorMessage="1" sqref="AD37:AE66" xr:uid="{6BDC6E5C-E966-46CE-83C1-4237EBF38E70}">
      <formula1>"済"</formula1>
    </dataValidation>
    <dataValidation type="list" allowBlank="1" showInputMessage="1" showErrorMessage="1" sqref="AM11:AM14" xr:uid="{48E50E28-5718-4A22-BB09-B88722D2252F}">
      <formula1>"週,月"</formula1>
    </dataValidation>
    <dataValidation type="list" allowBlank="1" showInputMessage="1" showErrorMessage="1" sqref="BF3:BG32" xr:uid="{4EEEB9A5-B980-42D1-BDB0-D6B3DC592CD2}">
      <formula1>"時給,常時給,月給"</formula1>
    </dataValidation>
    <dataValidation type="list" allowBlank="1" showInputMessage="1" showErrorMessage="1" sqref="X78:AA78 BT3:BT32 P70:S71 P72 S72 P73:S74 X73:AA74 AA72 X72 X70:AA71 X76:AA76 P76:S78 BR3:BR32" xr:uid="{2C0DFC1B-C4FF-4616-BC1F-F8554D499BDF}">
      <formula1>"●"</formula1>
    </dataValidation>
    <dataValidation type="list" allowBlank="1" showInputMessage="1" showErrorMessage="1" sqref="P75" xr:uid="{9C04D0DC-6B06-48AF-A757-983B61A60531}">
      <formula1>"1,完"</formula1>
    </dataValidation>
    <dataValidation type="list" allowBlank="1" showInputMessage="1" showErrorMessage="1" sqref="Q75" xr:uid="{7E86E6A6-629C-4FB5-BE62-F9F3ECC894D8}">
      <formula1>"2,完"</formula1>
    </dataValidation>
    <dataValidation type="list" allowBlank="1" showInputMessage="1" showErrorMessage="1" sqref="R75" xr:uid="{3A1A687B-B526-4AA3-8A19-B66B2580C030}">
      <formula1>"3,完"</formula1>
    </dataValidation>
    <dataValidation type="list" allowBlank="1" showInputMessage="1" showErrorMessage="1" sqref="S75" xr:uid="{210748EC-5060-4272-BA71-EA488188A658}">
      <formula1>"4,完"</formula1>
    </dataValidation>
    <dataValidation type="list" allowBlank="1" showInputMessage="1" showErrorMessage="1" sqref="T75" xr:uid="{83A36A4F-D01E-4AFD-B75D-3BCB0DE1626B}">
      <formula1>"5,完"</formula1>
    </dataValidation>
    <dataValidation type="list" allowBlank="1" showInputMessage="1" showErrorMessage="1" sqref="U75" xr:uid="{40D6F5D9-E613-471B-A3BA-D9A71525515C}">
      <formula1>"6,完"</formula1>
    </dataValidation>
    <dataValidation type="list" allowBlank="1" showInputMessage="1" showErrorMessage="1" sqref="V75" xr:uid="{10331F61-61A6-452E-8C20-7201908E05EC}">
      <formula1>"7,完"</formula1>
    </dataValidation>
    <dataValidation type="list" allowBlank="1" showInputMessage="1" showErrorMessage="1" sqref="W75" xr:uid="{70FCA79F-1ABF-415A-9B8C-734C6B6B173F}">
      <formula1>"8,完"</formula1>
    </dataValidation>
    <dataValidation type="list" allowBlank="1" showInputMessage="1" showErrorMessage="1" sqref="X75" xr:uid="{99B0CA43-C6AC-494E-B888-4BAA8945E104}">
      <formula1>"9,完"</formula1>
    </dataValidation>
    <dataValidation type="list" allowBlank="1" showInputMessage="1" showErrorMessage="1" sqref="Y75" xr:uid="{09047F90-A766-4498-A02F-660E9C22C921}">
      <formula1>"10,完"</formula1>
    </dataValidation>
    <dataValidation type="list" allowBlank="1" showInputMessage="1" showErrorMessage="1" sqref="Z75" xr:uid="{0A7DF7C0-5CC6-4233-B5E6-90973FA0CB8C}">
      <formula1>"11,完"</formula1>
    </dataValidation>
    <dataValidation type="list" allowBlank="1" showInputMessage="1" showErrorMessage="1" sqref="AA75" xr:uid="{3A8849BB-C7CD-44DA-A846-48AE9D3D106F}">
      <formula1>"12,完"</formula1>
    </dataValidation>
    <dataValidation type="list" allowBlank="1" showInputMessage="1" showErrorMessage="1" sqref="J37:K66" xr:uid="{8D69B8B0-5546-4682-8A3F-88EEEBC13F29}">
      <formula1>"6,5,4,3,2,1,なし"</formula1>
    </dataValidation>
    <dataValidation type="list" allowBlank="1" showInputMessage="1" showErrorMessage="1" sqref="S37:S66" xr:uid="{95D26C2C-661E-45C2-B86A-5F0FCB04A92A}">
      <formula1>"◎,○,△,➡"</formula1>
    </dataValidation>
    <dataValidation type="list" allowBlank="1" showInputMessage="1" showErrorMessage="1" sqref="AH35:AJ35" xr:uid="{FC74B792-EF8F-4A98-ADF3-8586D1A16018}">
      <formula1>"Ⅰ算定済,Ⅱ算定済"</formula1>
    </dataValidation>
    <dataValidation type="list" allowBlank="1" showInputMessage="1" showErrorMessage="1" sqref="BK37:BP42" xr:uid="{6689FB7A-4FD9-499A-8B79-2209CD2C19EF}">
      <formula1>"転倒・転落,誤嚥・窒息,誤薬,行方不明,他害,利用者同士トラブル,自傷,入浴事故,医療急変,その他"</formula1>
    </dataValidation>
    <dataValidation type="list" allowBlank="1" showInputMessage="1" showErrorMessage="1" sqref="Y37:AC66" xr:uid="{5C8856F1-AA62-4405-AFE4-583CF603CB8B}">
      <formula1>"重度支援Ⅰ,重度支援Ⅱ"</formula1>
    </dataValidation>
  </dataValidations>
  <hyperlinks>
    <hyperlink ref="BX6" r:id="rId1" xr:uid="{C2F86C7F-061E-4337-B8C5-358DFF21404F}"/>
    <hyperlink ref="B19:F19" r:id="rId2" display="利用日数" xr:uid="{A991D73A-3214-4B56-B247-898B8C190A76}"/>
    <hyperlink ref="B21:F21" r:id="rId3" display="利用日数" xr:uid="{C0AD4B93-4E28-458E-B858-2B8580581641}"/>
    <hyperlink ref="B9:F9" r:id="rId4" display="..\04.サビ管_ラシエル\03. ご入居者利用状況一覧\高丘⑤.xlsx" xr:uid="{391EB101-7A8F-4CE8-BEB0-9F9D1C1841DD}"/>
    <hyperlink ref="B7:F7" r:id="rId5" display="短期稼働日数" xr:uid="{6A34B9FF-6C59-40AA-8BCF-5606D5ACF2FA}"/>
    <hyperlink ref="B30:E31" r:id="rId6" display="派遣時間数" xr:uid="{E1124964-FB96-4762-8C5F-B1CBE6A314A8}"/>
    <hyperlink ref="B5:F5" r:id="rId7" display="利用日数" xr:uid="{18BBB727-1AAB-4971-B010-FCDD7A5F63A4}"/>
    <hyperlink ref="B11:F11" r:id="rId8" display="..\04.サビ管_ラシエル\03. ご入居者利用状況一覧\高丘⑤.xlsx" xr:uid="{7230B4E0-37E8-44BC-BD01-331AD077882E}"/>
    <hyperlink ref="AC16:AJ16" r:id="rId9" display="常勤換算法・夜勤含む（/所定労働）" xr:uid="{4F520E2C-7316-450A-9B05-D43308DBA1D8}"/>
  </hyperlinks>
  <printOptions horizontalCentered="1" verticalCentered="1"/>
  <pageMargins left="0.11811023622047245" right="0.11811023622047245" top="0.15748031496062992" bottom="0.15748031496062992" header="0" footer="0"/>
  <pageSetup paperSize="9" scale="25" orientation="landscape" r:id="rId10"/>
  <drawing r:id="rId11"/>
  <legacyDrawing r:id="rId12"/>
  <mc:AlternateContent xmlns:mc="http://schemas.openxmlformats.org/markup-compatibility/2006">
    <mc:Choice Requires="x14">
      <controls>
        <mc:AlternateContent xmlns:mc="http://schemas.openxmlformats.org/markup-compatibility/2006">
          <mc:Choice Requires="x14">
            <control shapeId="58373" r:id="rId13" name="TaskCheck_BW3">
              <controlPr defaultSize="0" autoFill="0" autoLine="0" autoPict="0">
                <anchor moveWithCells="1">
                  <from>
                    <xdr:col>74</xdr:col>
                    <xdr:colOff>19050</xdr:colOff>
                    <xdr:row>2</xdr:row>
                    <xdr:rowOff>12700</xdr:rowOff>
                  </from>
                  <to>
                    <xdr:col>75</xdr:col>
                    <xdr:colOff>50800</xdr:colOff>
                    <xdr:row>2</xdr:row>
                    <xdr:rowOff>273050</xdr:rowOff>
                  </to>
                </anchor>
              </controlPr>
            </control>
          </mc:Choice>
        </mc:AlternateContent>
        <mc:AlternateContent xmlns:mc="http://schemas.openxmlformats.org/markup-compatibility/2006">
          <mc:Choice Requires="x14">
            <control shapeId="58374" r:id="rId14" name="TaskCheck_BW4">
              <controlPr defaultSize="0" autoFill="0" autoLine="0" autoPict="0">
                <anchor moveWithCells="1">
                  <from>
                    <xdr:col>74</xdr:col>
                    <xdr:colOff>19050</xdr:colOff>
                    <xdr:row>3</xdr:row>
                    <xdr:rowOff>12700</xdr:rowOff>
                  </from>
                  <to>
                    <xdr:col>75</xdr:col>
                    <xdr:colOff>50800</xdr:colOff>
                    <xdr:row>3</xdr:row>
                    <xdr:rowOff>273050</xdr:rowOff>
                  </to>
                </anchor>
              </controlPr>
            </control>
          </mc:Choice>
        </mc:AlternateContent>
        <mc:AlternateContent xmlns:mc="http://schemas.openxmlformats.org/markup-compatibility/2006">
          <mc:Choice Requires="x14">
            <control shapeId="58375" r:id="rId15" name="TaskCheck_BW5">
              <controlPr defaultSize="0" autoFill="0" autoLine="0" autoPict="0">
                <anchor moveWithCells="1">
                  <from>
                    <xdr:col>74</xdr:col>
                    <xdr:colOff>19050</xdr:colOff>
                    <xdr:row>4</xdr:row>
                    <xdr:rowOff>12700</xdr:rowOff>
                  </from>
                  <to>
                    <xdr:col>75</xdr:col>
                    <xdr:colOff>50800</xdr:colOff>
                    <xdr:row>4</xdr:row>
                    <xdr:rowOff>273050</xdr:rowOff>
                  </to>
                </anchor>
              </controlPr>
            </control>
          </mc:Choice>
        </mc:AlternateContent>
        <mc:AlternateContent xmlns:mc="http://schemas.openxmlformats.org/markup-compatibility/2006">
          <mc:Choice Requires="x14">
            <control shapeId="58376" r:id="rId16" name="TaskCheck_BW6">
              <controlPr defaultSize="0" autoFill="0" autoLine="0" autoPict="0">
                <anchor moveWithCells="1">
                  <from>
                    <xdr:col>74</xdr:col>
                    <xdr:colOff>19050</xdr:colOff>
                    <xdr:row>5</xdr:row>
                    <xdr:rowOff>12700</xdr:rowOff>
                  </from>
                  <to>
                    <xdr:col>75</xdr:col>
                    <xdr:colOff>50800</xdr:colOff>
                    <xdr:row>5</xdr:row>
                    <xdr:rowOff>273050</xdr:rowOff>
                  </to>
                </anchor>
              </controlPr>
            </control>
          </mc:Choice>
        </mc:AlternateContent>
        <mc:AlternateContent xmlns:mc="http://schemas.openxmlformats.org/markup-compatibility/2006">
          <mc:Choice Requires="x14">
            <control shapeId="58377" r:id="rId17" name="TaskCheck_BW7">
              <controlPr defaultSize="0" autoFill="0" autoLine="0" autoPict="0">
                <anchor moveWithCells="1">
                  <from>
                    <xdr:col>74</xdr:col>
                    <xdr:colOff>19050</xdr:colOff>
                    <xdr:row>6</xdr:row>
                    <xdr:rowOff>12700</xdr:rowOff>
                  </from>
                  <to>
                    <xdr:col>75</xdr:col>
                    <xdr:colOff>50800</xdr:colOff>
                    <xdr:row>6</xdr:row>
                    <xdr:rowOff>273050</xdr:rowOff>
                  </to>
                </anchor>
              </controlPr>
            </control>
          </mc:Choice>
        </mc:AlternateContent>
        <mc:AlternateContent xmlns:mc="http://schemas.openxmlformats.org/markup-compatibility/2006">
          <mc:Choice Requires="x14">
            <control shapeId="58378" r:id="rId18" name="TaskCheck_BW8">
              <controlPr defaultSize="0" autoFill="0" autoLine="0" autoPict="0">
                <anchor moveWithCells="1">
                  <from>
                    <xdr:col>74</xdr:col>
                    <xdr:colOff>19050</xdr:colOff>
                    <xdr:row>7</xdr:row>
                    <xdr:rowOff>12700</xdr:rowOff>
                  </from>
                  <to>
                    <xdr:col>75</xdr:col>
                    <xdr:colOff>50800</xdr:colOff>
                    <xdr:row>7</xdr:row>
                    <xdr:rowOff>273050</xdr:rowOff>
                  </to>
                </anchor>
              </controlPr>
            </control>
          </mc:Choice>
        </mc:AlternateContent>
        <mc:AlternateContent xmlns:mc="http://schemas.openxmlformats.org/markup-compatibility/2006">
          <mc:Choice Requires="x14">
            <control shapeId="58379" r:id="rId19" name="TaskCheck_BW9">
              <controlPr defaultSize="0" autoFill="0" autoLine="0" autoPict="0">
                <anchor moveWithCells="1">
                  <from>
                    <xdr:col>74</xdr:col>
                    <xdr:colOff>19050</xdr:colOff>
                    <xdr:row>8</xdr:row>
                    <xdr:rowOff>12700</xdr:rowOff>
                  </from>
                  <to>
                    <xdr:col>75</xdr:col>
                    <xdr:colOff>50800</xdr:colOff>
                    <xdr:row>8</xdr:row>
                    <xdr:rowOff>273050</xdr:rowOff>
                  </to>
                </anchor>
              </controlPr>
            </control>
          </mc:Choice>
        </mc:AlternateContent>
        <mc:AlternateContent xmlns:mc="http://schemas.openxmlformats.org/markup-compatibility/2006">
          <mc:Choice Requires="x14">
            <control shapeId="58380" r:id="rId20" name="TaskCheck_BW10">
              <controlPr defaultSize="0" autoFill="0" autoLine="0" autoPict="0">
                <anchor moveWithCells="1">
                  <from>
                    <xdr:col>74</xdr:col>
                    <xdr:colOff>19050</xdr:colOff>
                    <xdr:row>9</xdr:row>
                    <xdr:rowOff>12700</xdr:rowOff>
                  </from>
                  <to>
                    <xdr:col>75</xdr:col>
                    <xdr:colOff>50800</xdr:colOff>
                    <xdr:row>9</xdr:row>
                    <xdr:rowOff>273050</xdr:rowOff>
                  </to>
                </anchor>
              </controlPr>
            </control>
          </mc:Choice>
        </mc:AlternateContent>
        <mc:AlternateContent xmlns:mc="http://schemas.openxmlformats.org/markup-compatibility/2006">
          <mc:Choice Requires="x14">
            <control shapeId="58381" r:id="rId21" name="TaskCheck_BW11">
              <controlPr defaultSize="0" autoFill="0" autoLine="0" autoPict="0">
                <anchor moveWithCells="1">
                  <from>
                    <xdr:col>74</xdr:col>
                    <xdr:colOff>19050</xdr:colOff>
                    <xdr:row>10</xdr:row>
                    <xdr:rowOff>12700</xdr:rowOff>
                  </from>
                  <to>
                    <xdr:col>75</xdr:col>
                    <xdr:colOff>50800</xdr:colOff>
                    <xdr:row>10</xdr:row>
                    <xdr:rowOff>273050</xdr:rowOff>
                  </to>
                </anchor>
              </controlPr>
            </control>
          </mc:Choice>
        </mc:AlternateContent>
        <mc:AlternateContent xmlns:mc="http://schemas.openxmlformats.org/markup-compatibility/2006">
          <mc:Choice Requires="x14">
            <control shapeId="58382" r:id="rId22" name="TaskCheck_BW12">
              <controlPr defaultSize="0" autoFill="0" autoLine="0" autoPict="0">
                <anchor moveWithCells="1">
                  <from>
                    <xdr:col>74</xdr:col>
                    <xdr:colOff>19050</xdr:colOff>
                    <xdr:row>11</xdr:row>
                    <xdr:rowOff>12700</xdr:rowOff>
                  </from>
                  <to>
                    <xdr:col>75</xdr:col>
                    <xdr:colOff>50800</xdr:colOff>
                    <xdr:row>11</xdr:row>
                    <xdr:rowOff>273050</xdr:rowOff>
                  </to>
                </anchor>
              </controlPr>
            </control>
          </mc:Choice>
        </mc:AlternateContent>
        <mc:AlternateContent xmlns:mc="http://schemas.openxmlformats.org/markup-compatibility/2006">
          <mc:Choice Requires="x14">
            <control shapeId="58383" r:id="rId23" name="TaskCheck_BW13">
              <controlPr defaultSize="0" autoFill="0" autoLine="0" autoPict="0">
                <anchor moveWithCells="1">
                  <from>
                    <xdr:col>74</xdr:col>
                    <xdr:colOff>19050</xdr:colOff>
                    <xdr:row>12</xdr:row>
                    <xdr:rowOff>12700</xdr:rowOff>
                  </from>
                  <to>
                    <xdr:col>75</xdr:col>
                    <xdr:colOff>50800</xdr:colOff>
                    <xdr:row>12</xdr:row>
                    <xdr:rowOff>273050</xdr:rowOff>
                  </to>
                </anchor>
              </controlPr>
            </control>
          </mc:Choice>
        </mc:AlternateContent>
        <mc:AlternateContent xmlns:mc="http://schemas.openxmlformats.org/markup-compatibility/2006">
          <mc:Choice Requires="x14">
            <control shapeId="58384" r:id="rId24" name="TaskCheck_BW14">
              <controlPr defaultSize="0" autoFill="0" autoLine="0" autoPict="0">
                <anchor moveWithCells="1">
                  <from>
                    <xdr:col>74</xdr:col>
                    <xdr:colOff>19050</xdr:colOff>
                    <xdr:row>13</xdr:row>
                    <xdr:rowOff>12700</xdr:rowOff>
                  </from>
                  <to>
                    <xdr:col>75</xdr:col>
                    <xdr:colOff>50800</xdr:colOff>
                    <xdr:row>13</xdr:row>
                    <xdr:rowOff>273050</xdr:rowOff>
                  </to>
                </anchor>
              </controlPr>
            </control>
          </mc:Choice>
        </mc:AlternateContent>
        <mc:AlternateContent xmlns:mc="http://schemas.openxmlformats.org/markup-compatibility/2006">
          <mc:Choice Requires="x14">
            <control shapeId="58385" r:id="rId25" name="TaskCheck_BW15">
              <controlPr defaultSize="0" autoFill="0" autoLine="0" autoPict="0">
                <anchor moveWithCells="1">
                  <from>
                    <xdr:col>74</xdr:col>
                    <xdr:colOff>19050</xdr:colOff>
                    <xdr:row>14</xdr:row>
                    <xdr:rowOff>12700</xdr:rowOff>
                  </from>
                  <to>
                    <xdr:col>75</xdr:col>
                    <xdr:colOff>50800</xdr:colOff>
                    <xdr:row>14</xdr:row>
                    <xdr:rowOff>273050</xdr:rowOff>
                  </to>
                </anchor>
              </controlPr>
            </control>
          </mc:Choice>
        </mc:AlternateContent>
        <mc:AlternateContent xmlns:mc="http://schemas.openxmlformats.org/markup-compatibility/2006">
          <mc:Choice Requires="x14">
            <control shapeId="58386" r:id="rId26" name="TaskCheck_BW16">
              <controlPr defaultSize="0" autoFill="0" autoLine="0" autoPict="0">
                <anchor moveWithCells="1">
                  <from>
                    <xdr:col>74</xdr:col>
                    <xdr:colOff>19050</xdr:colOff>
                    <xdr:row>15</xdr:row>
                    <xdr:rowOff>12700</xdr:rowOff>
                  </from>
                  <to>
                    <xdr:col>75</xdr:col>
                    <xdr:colOff>50800</xdr:colOff>
                    <xdr:row>15</xdr:row>
                    <xdr:rowOff>273050</xdr:rowOff>
                  </to>
                </anchor>
              </controlPr>
            </control>
          </mc:Choice>
        </mc:AlternateContent>
        <mc:AlternateContent xmlns:mc="http://schemas.openxmlformats.org/markup-compatibility/2006">
          <mc:Choice Requires="x14">
            <control shapeId="58387" r:id="rId27" name="TaskCheck_BW19">
              <controlPr defaultSize="0" autoFill="0" autoLine="0" autoPict="0">
                <anchor moveWithCells="1">
                  <from>
                    <xdr:col>74</xdr:col>
                    <xdr:colOff>19050</xdr:colOff>
                    <xdr:row>18</xdr:row>
                    <xdr:rowOff>12700</xdr:rowOff>
                  </from>
                  <to>
                    <xdr:col>75</xdr:col>
                    <xdr:colOff>50800</xdr:colOff>
                    <xdr:row>18</xdr:row>
                    <xdr:rowOff>273050</xdr:rowOff>
                  </to>
                </anchor>
              </controlPr>
            </control>
          </mc:Choice>
        </mc:AlternateContent>
        <mc:AlternateContent xmlns:mc="http://schemas.openxmlformats.org/markup-compatibility/2006">
          <mc:Choice Requires="x14">
            <control shapeId="58388" r:id="rId28" name="TaskCheck_BW20">
              <controlPr defaultSize="0" autoFill="0" autoLine="0" autoPict="0">
                <anchor moveWithCells="1">
                  <from>
                    <xdr:col>74</xdr:col>
                    <xdr:colOff>19050</xdr:colOff>
                    <xdr:row>19</xdr:row>
                    <xdr:rowOff>12700</xdr:rowOff>
                  </from>
                  <to>
                    <xdr:col>75</xdr:col>
                    <xdr:colOff>50800</xdr:colOff>
                    <xdr:row>19</xdr:row>
                    <xdr:rowOff>273050</xdr:rowOff>
                  </to>
                </anchor>
              </controlPr>
            </control>
          </mc:Choice>
        </mc:AlternateContent>
        <mc:AlternateContent xmlns:mc="http://schemas.openxmlformats.org/markup-compatibility/2006">
          <mc:Choice Requires="x14">
            <control shapeId="58389" r:id="rId29" name="TaskCheck_BW21">
              <controlPr defaultSize="0" autoFill="0" autoLine="0" autoPict="0">
                <anchor moveWithCells="1">
                  <from>
                    <xdr:col>74</xdr:col>
                    <xdr:colOff>19050</xdr:colOff>
                    <xdr:row>20</xdr:row>
                    <xdr:rowOff>12700</xdr:rowOff>
                  </from>
                  <to>
                    <xdr:col>75</xdr:col>
                    <xdr:colOff>50800</xdr:colOff>
                    <xdr:row>20</xdr:row>
                    <xdr:rowOff>273050</xdr:rowOff>
                  </to>
                </anchor>
              </controlPr>
            </control>
          </mc:Choice>
        </mc:AlternateContent>
        <mc:AlternateContent xmlns:mc="http://schemas.openxmlformats.org/markup-compatibility/2006">
          <mc:Choice Requires="x14">
            <control shapeId="58390" r:id="rId30" name="TaskCheck_BW22">
              <controlPr defaultSize="0" autoFill="0" autoLine="0" autoPict="0">
                <anchor moveWithCells="1">
                  <from>
                    <xdr:col>74</xdr:col>
                    <xdr:colOff>19050</xdr:colOff>
                    <xdr:row>21</xdr:row>
                    <xdr:rowOff>12700</xdr:rowOff>
                  </from>
                  <to>
                    <xdr:col>75</xdr:col>
                    <xdr:colOff>50800</xdr:colOff>
                    <xdr:row>21</xdr:row>
                    <xdr:rowOff>273050</xdr:rowOff>
                  </to>
                </anchor>
              </controlPr>
            </control>
          </mc:Choice>
        </mc:AlternateContent>
        <mc:AlternateContent xmlns:mc="http://schemas.openxmlformats.org/markup-compatibility/2006">
          <mc:Choice Requires="x14">
            <control shapeId="58391" r:id="rId31" name="TaskCheck_BW23">
              <controlPr defaultSize="0" autoFill="0" autoLine="0" autoPict="0">
                <anchor moveWithCells="1">
                  <from>
                    <xdr:col>74</xdr:col>
                    <xdr:colOff>19050</xdr:colOff>
                    <xdr:row>22</xdr:row>
                    <xdr:rowOff>12700</xdr:rowOff>
                  </from>
                  <to>
                    <xdr:col>75</xdr:col>
                    <xdr:colOff>50800</xdr:colOff>
                    <xdr:row>22</xdr:row>
                    <xdr:rowOff>273050</xdr:rowOff>
                  </to>
                </anchor>
              </controlPr>
            </control>
          </mc:Choice>
        </mc:AlternateContent>
        <mc:AlternateContent xmlns:mc="http://schemas.openxmlformats.org/markup-compatibility/2006">
          <mc:Choice Requires="x14">
            <control shapeId="58392" r:id="rId32" name="TaskCheck_BW24">
              <controlPr defaultSize="0" autoFill="0" autoLine="0" autoPict="0">
                <anchor moveWithCells="1">
                  <from>
                    <xdr:col>74</xdr:col>
                    <xdr:colOff>19050</xdr:colOff>
                    <xdr:row>23</xdr:row>
                    <xdr:rowOff>12700</xdr:rowOff>
                  </from>
                  <to>
                    <xdr:col>75</xdr:col>
                    <xdr:colOff>50800</xdr:colOff>
                    <xdr:row>23</xdr:row>
                    <xdr:rowOff>273050</xdr:rowOff>
                  </to>
                </anchor>
              </controlPr>
            </control>
          </mc:Choice>
        </mc:AlternateContent>
        <mc:AlternateContent xmlns:mc="http://schemas.openxmlformats.org/markup-compatibility/2006">
          <mc:Choice Requires="x14">
            <control shapeId="58393" r:id="rId33" name="TaskCheck_BW25">
              <controlPr defaultSize="0" autoFill="0" autoLine="0" autoPict="0">
                <anchor moveWithCells="1">
                  <from>
                    <xdr:col>74</xdr:col>
                    <xdr:colOff>19050</xdr:colOff>
                    <xdr:row>24</xdr:row>
                    <xdr:rowOff>12700</xdr:rowOff>
                  </from>
                  <to>
                    <xdr:col>75</xdr:col>
                    <xdr:colOff>50800</xdr:colOff>
                    <xdr:row>24</xdr:row>
                    <xdr:rowOff>273050</xdr:rowOff>
                  </to>
                </anchor>
              </controlPr>
            </control>
          </mc:Choice>
        </mc:AlternateContent>
        <mc:AlternateContent xmlns:mc="http://schemas.openxmlformats.org/markup-compatibility/2006">
          <mc:Choice Requires="x14">
            <control shapeId="58394" r:id="rId34" name="TaskCheck_BW26">
              <controlPr defaultSize="0" autoFill="0" autoLine="0" autoPict="0">
                <anchor moveWithCells="1">
                  <from>
                    <xdr:col>74</xdr:col>
                    <xdr:colOff>19050</xdr:colOff>
                    <xdr:row>25</xdr:row>
                    <xdr:rowOff>12700</xdr:rowOff>
                  </from>
                  <to>
                    <xdr:col>75</xdr:col>
                    <xdr:colOff>50800</xdr:colOff>
                    <xdr:row>25</xdr:row>
                    <xdr:rowOff>273050</xdr:rowOff>
                  </to>
                </anchor>
              </controlPr>
            </control>
          </mc:Choice>
        </mc:AlternateContent>
        <mc:AlternateContent xmlns:mc="http://schemas.openxmlformats.org/markup-compatibility/2006">
          <mc:Choice Requires="x14">
            <control shapeId="58395" r:id="rId35" name="TaskCheck_BW27">
              <controlPr defaultSize="0" autoFill="0" autoLine="0" autoPict="0">
                <anchor moveWithCells="1">
                  <from>
                    <xdr:col>74</xdr:col>
                    <xdr:colOff>19050</xdr:colOff>
                    <xdr:row>26</xdr:row>
                    <xdr:rowOff>12700</xdr:rowOff>
                  </from>
                  <to>
                    <xdr:col>75</xdr:col>
                    <xdr:colOff>50800</xdr:colOff>
                    <xdr:row>26</xdr:row>
                    <xdr:rowOff>273050</xdr:rowOff>
                  </to>
                </anchor>
              </controlPr>
            </control>
          </mc:Choice>
        </mc:AlternateContent>
        <mc:AlternateContent xmlns:mc="http://schemas.openxmlformats.org/markup-compatibility/2006">
          <mc:Choice Requires="x14">
            <control shapeId="58396" r:id="rId36" name="TaskCheck_BW28">
              <controlPr defaultSize="0" autoFill="0" autoLine="0" autoPict="0">
                <anchor moveWithCells="1">
                  <from>
                    <xdr:col>74</xdr:col>
                    <xdr:colOff>19050</xdr:colOff>
                    <xdr:row>27</xdr:row>
                    <xdr:rowOff>12700</xdr:rowOff>
                  </from>
                  <to>
                    <xdr:col>75</xdr:col>
                    <xdr:colOff>50800</xdr:colOff>
                    <xdr:row>27</xdr:row>
                    <xdr:rowOff>273050</xdr:rowOff>
                  </to>
                </anchor>
              </controlPr>
            </control>
          </mc:Choice>
        </mc:AlternateContent>
        <mc:AlternateContent xmlns:mc="http://schemas.openxmlformats.org/markup-compatibility/2006">
          <mc:Choice Requires="x14">
            <control shapeId="58397" r:id="rId37" name="TaskCheck_BW29">
              <controlPr defaultSize="0" autoFill="0" autoLine="0" autoPict="0">
                <anchor moveWithCells="1">
                  <from>
                    <xdr:col>74</xdr:col>
                    <xdr:colOff>19050</xdr:colOff>
                    <xdr:row>28</xdr:row>
                    <xdr:rowOff>12700</xdr:rowOff>
                  </from>
                  <to>
                    <xdr:col>75</xdr:col>
                    <xdr:colOff>50800</xdr:colOff>
                    <xdr:row>28</xdr:row>
                    <xdr:rowOff>273050</xdr:rowOff>
                  </to>
                </anchor>
              </controlPr>
            </control>
          </mc:Choice>
        </mc:AlternateContent>
        <mc:AlternateContent xmlns:mc="http://schemas.openxmlformats.org/markup-compatibility/2006">
          <mc:Choice Requires="x14">
            <control shapeId="58398" r:id="rId38" name="TaskCheck_BW30">
              <controlPr defaultSize="0" autoFill="0" autoLine="0" autoPict="0">
                <anchor moveWithCells="1">
                  <from>
                    <xdr:col>74</xdr:col>
                    <xdr:colOff>19050</xdr:colOff>
                    <xdr:row>29</xdr:row>
                    <xdr:rowOff>12700</xdr:rowOff>
                  </from>
                  <to>
                    <xdr:col>75</xdr:col>
                    <xdr:colOff>50800</xdr:colOff>
                    <xdr:row>29</xdr:row>
                    <xdr:rowOff>273050</xdr:rowOff>
                  </to>
                </anchor>
              </controlPr>
            </control>
          </mc:Choice>
        </mc:AlternateContent>
        <mc:AlternateContent xmlns:mc="http://schemas.openxmlformats.org/markup-compatibility/2006">
          <mc:Choice Requires="x14">
            <control shapeId="58399" r:id="rId39" name="TaskCheck_BW31">
              <controlPr defaultSize="0" autoFill="0" autoLine="0" autoPict="0">
                <anchor moveWithCells="1">
                  <from>
                    <xdr:col>74</xdr:col>
                    <xdr:colOff>19050</xdr:colOff>
                    <xdr:row>30</xdr:row>
                    <xdr:rowOff>12700</xdr:rowOff>
                  </from>
                  <to>
                    <xdr:col>75</xdr:col>
                    <xdr:colOff>50800</xdr:colOff>
                    <xdr:row>30</xdr:row>
                    <xdr:rowOff>273050</xdr:rowOff>
                  </to>
                </anchor>
              </controlPr>
            </control>
          </mc:Choice>
        </mc:AlternateContent>
        <mc:AlternateContent xmlns:mc="http://schemas.openxmlformats.org/markup-compatibility/2006">
          <mc:Choice Requires="x14">
            <control shapeId="58400" r:id="rId40" name="TaskCheck_BW32">
              <controlPr defaultSize="0" autoFill="0" autoLine="0" autoPict="0">
                <anchor moveWithCells="1">
                  <from>
                    <xdr:col>74</xdr:col>
                    <xdr:colOff>19050</xdr:colOff>
                    <xdr:row>31</xdr:row>
                    <xdr:rowOff>12700</xdr:rowOff>
                  </from>
                  <to>
                    <xdr:col>75</xdr:col>
                    <xdr:colOff>50800</xdr:colOff>
                    <xdr:row>31</xdr:row>
                    <xdr:rowOff>273050</xdr:rowOff>
                  </to>
                </anchor>
              </controlPr>
            </control>
          </mc:Choice>
        </mc:AlternateContent>
        <mc:AlternateContent xmlns:mc="http://schemas.openxmlformats.org/markup-compatibility/2006">
          <mc:Choice Requires="x14">
            <control shapeId="58401" r:id="rId41" name="TaskCheck_BW33">
              <controlPr defaultSize="0" autoFill="0" autoLine="0" autoPict="0">
                <anchor moveWithCells="1">
                  <from>
                    <xdr:col>74</xdr:col>
                    <xdr:colOff>19050</xdr:colOff>
                    <xdr:row>32</xdr:row>
                    <xdr:rowOff>12700</xdr:rowOff>
                  </from>
                  <to>
                    <xdr:col>75</xdr:col>
                    <xdr:colOff>50800</xdr:colOff>
                    <xdr:row>32</xdr:row>
                    <xdr:rowOff>273050</xdr:rowOff>
                  </to>
                </anchor>
              </controlPr>
            </control>
          </mc:Choice>
        </mc:AlternateContent>
        <mc:AlternateContent xmlns:mc="http://schemas.openxmlformats.org/markup-compatibility/2006">
          <mc:Choice Requires="x14">
            <control shapeId="58402" r:id="rId42" name="TaskCheck_BW36">
              <controlPr defaultSize="0" autoFill="0" autoLine="0" autoPict="0">
                <anchor moveWithCells="1">
                  <from>
                    <xdr:col>74</xdr:col>
                    <xdr:colOff>19050</xdr:colOff>
                    <xdr:row>35</xdr:row>
                    <xdr:rowOff>12700</xdr:rowOff>
                  </from>
                  <to>
                    <xdr:col>75</xdr:col>
                    <xdr:colOff>50800</xdr:colOff>
                    <xdr:row>35</xdr:row>
                    <xdr:rowOff>273050</xdr:rowOff>
                  </to>
                </anchor>
              </controlPr>
            </control>
          </mc:Choice>
        </mc:AlternateContent>
        <mc:AlternateContent xmlns:mc="http://schemas.openxmlformats.org/markup-compatibility/2006">
          <mc:Choice Requires="x14">
            <control shapeId="58403" r:id="rId43" name="TaskCheck_BQ37">
              <controlPr defaultSize="0" autoFill="0" autoLine="0" autoPict="0">
                <anchor moveWithCells="1">
                  <from>
                    <xdr:col>68</xdr:col>
                    <xdr:colOff>19050</xdr:colOff>
                    <xdr:row>36</xdr:row>
                    <xdr:rowOff>12700</xdr:rowOff>
                  </from>
                  <to>
                    <xdr:col>69</xdr:col>
                    <xdr:colOff>50800</xdr:colOff>
                    <xdr:row>36</xdr:row>
                    <xdr:rowOff>273050</xdr:rowOff>
                  </to>
                </anchor>
              </controlPr>
            </control>
          </mc:Choice>
        </mc:AlternateContent>
        <mc:AlternateContent xmlns:mc="http://schemas.openxmlformats.org/markup-compatibility/2006">
          <mc:Choice Requires="x14">
            <control shapeId="58404" r:id="rId44" name="TaskCheck_BW37">
              <controlPr defaultSize="0" autoFill="0" autoLine="0" autoPict="0">
                <anchor moveWithCells="1">
                  <from>
                    <xdr:col>74</xdr:col>
                    <xdr:colOff>19050</xdr:colOff>
                    <xdr:row>36</xdr:row>
                    <xdr:rowOff>12700</xdr:rowOff>
                  </from>
                  <to>
                    <xdr:col>75</xdr:col>
                    <xdr:colOff>50800</xdr:colOff>
                    <xdr:row>36</xdr:row>
                    <xdr:rowOff>273050</xdr:rowOff>
                  </to>
                </anchor>
              </controlPr>
            </control>
          </mc:Choice>
        </mc:AlternateContent>
        <mc:AlternateContent xmlns:mc="http://schemas.openxmlformats.org/markup-compatibility/2006">
          <mc:Choice Requires="x14">
            <control shapeId="58405" r:id="rId45" name="TaskCheck_BQ38">
              <controlPr defaultSize="0" autoFill="0" autoLine="0" autoPict="0">
                <anchor moveWithCells="1">
                  <from>
                    <xdr:col>68</xdr:col>
                    <xdr:colOff>19050</xdr:colOff>
                    <xdr:row>37</xdr:row>
                    <xdr:rowOff>12700</xdr:rowOff>
                  </from>
                  <to>
                    <xdr:col>69</xdr:col>
                    <xdr:colOff>50800</xdr:colOff>
                    <xdr:row>37</xdr:row>
                    <xdr:rowOff>273050</xdr:rowOff>
                  </to>
                </anchor>
              </controlPr>
            </control>
          </mc:Choice>
        </mc:AlternateContent>
        <mc:AlternateContent xmlns:mc="http://schemas.openxmlformats.org/markup-compatibility/2006">
          <mc:Choice Requires="x14">
            <control shapeId="58406" r:id="rId46" name="TaskCheck_BW38">
              <controlPr defaultSize="0" autoFill="0" autoLine="0" autoPict="0">
                <anchor moveWithCells="1">
                  <from>
                    <xdr:col>74</xdr:col>
                    <xdr:colOff>19050</xdr:colOff>
                    <xdr:row>37</xdr:row>
                    <xdr:rowOff>12700</xdr:rowOff>
                  </from>
                  <to>
                    <xdr:col>75</xdr:col>
                    <xdr:colOff>50800</xdr:colOff>
                    <xdr:row>37</xdr:row>
                    <xdr:rowOff>273050</xdr:rowOff>
                  </to>
                </anchor>
              </controlPr>
            </control>
          </mc:Choice>
        </mc:AlternateContent>
        <mc:AlternateContent xmlns:mc="http://schemas.openxmlformats.org/markup-compatibility/2006">
          <mc:Choice Requires="x14">
            <control shapeId="58407" r:id="rId47" name="TaskCheck_BQ39">
              <controlPr defaultSize="0" autoFill="0" autoLine="0" autoPict="0">
                <anchor moveWithCells="1">
                  <from>
                    <xdr:col>68</xdr:col>
                    <xdr:colOff>19050</xdr:colOff>
                    <xdr:row>38</xdr:row>
                    <xdr:rowOff>12700</xdr:rowOff>
                  </from>
                  <to>
                    <xdr:col>69</xdr:col>
                    <xdr:colOff>50800</xdr:colOff>
                    <xdr:row>38</xdr:row>
                    <xdr:rowOff>273050</xdr:rowOff>
                  </to>
                </anchor>
              </controlPr>
            </control>
          </mc:Choice>
        </mc:AlternateContent>
        <mc:AlternateContent xmlns:mc="http://schemas.openxmlformats.org/markup-compatibility/2006">
          <mc:Choice Requires="x14">
            <control shapeId="58408" r:id="rId48" name="TaskCheck_BW39">
              <controlPr defaultSize="0" autoFill="0" autoLine="0" autoPict="0">
                <anchor moveWithCells="1">
                  <from>
                    <xdr:col>74</xdr:col>
                    <xdr:colOff>19050</xdr:colOff>
                    <xdr:row>38</xdr:row>
                    <xdr:rowOff>12700</xdr:rowOff>
                  </from>
                  <to>
                    <xdr:col>75</xdr:col>
                    <xdr:colOff>50800</xdr:colOff>
                    <xdr:row>38</xdr:row>
                    <xdr:rowOff>273050</xdr:rowOff>
                  </to>
                </anchor>
              </controlPr>
            </control>
          </mc:Choice>
        </mc:AlternateContent>
        <mc:AlternateContent xmlns:mc="http://schemas.openxmlformats.org/markup-compatibility/2006">
          <mc:Choice Requires="x14">
            <control shapeId="58409" r:id="rId49" name="TaskCheck_BQ40">
              <controlPr defaultSize="0" autoFill="0" autoLine="0" autoPict="0">
                <anchor moveWithCells="1">
                  <from>
                    <xdr:col>68</xdr:col>
                    <xdr:colOff>19050</xdr:colOff>
                    <xdr:row>39</xdr:row>
                    <xdr:rowOff>12700</xdr:rowOff>
                  </from>
                  <to>
                    <xdr:col>69</xdr:col>
                    <xdr:colOff>50800</xdr:colOff>
                    <xdr:row>39</xdr:row>
                    <xdr:rowOff>273050</xdr:rowOff>
                  </to>
                </anchor>
              </controlPr>
            </control>
          </mc:Choice>
        </mc:AlternateContent>
        <mc:AlternateContent xmlns:mc="http://schemas.openxmlformats.org/markup-compatibility/2006">
          <mc:Choice Requires="x14">
            <control shapeId="58410" r:id="rId50" name="TaskCheck_BW40">
              <controlPr defaultSize="0" autoFill="0" autoLine="0" autoPict="0">
                <anchor moveWithCells="1">
                  <from>
                    <xdr:col>74</xdr:col>
                    <xdr:colOff>19050</xdr:colOff>
                    <xdr:row>39</xdr:row>
                    <xdr:rowOff>12700</xdr:rowOff>
                  </from>
                  <to>
                    <xdr:col>75</xdr:col>
                    <xdr:colOff>50800</xdr:colOff>
                    <xdr:row>39</xdr:row>
                    <xdr:rowOff>273050</xdr:rowOff>
                  </to>
                </anchor>
              </controlPr>
            </control>
          </mc:Choice>
        </mc:AlternateContent>
        <mc:AlternateContent xmlns:mc="http://schemas.openxmlformats.org/markup-compatibility/2006">
          <mc:Choice Requires="x14">
            <control shapeId="58411" r:id="rId51" name="TaskCheck_BQ41">
              <controlPr defaultSize="0" autoFill="0" autoLine="0" autoPict="0">
                <anchor moveWithCells="1">
                  <from>
                    <xdr:col>68</xdr:col>
                    <xdr:colOff>19050</xdr:colOff>
                    <xdr:row>40</xdr:row>
                    <xdr:rowOff>12700</xdr:rowOff>
                  </from>
                  <to>
                    <xdr:col>69</xdr:col>
                    <xdr:colOff>50800</xdr:colOff>
                    <xdr:row>40</xdr:row>
                    <xdr:rowOff>273050</xdr:rowOff>
                  </to>
                </anchor>
              </controlPr>
            </control>
          </mc:Choice>
        </mc:AlternateContent>
        <mc:AlternateContent xmlns:mc="http://schemas.openxmlformats.org/markup-compatibility/2006">
          <mc:Choice Requires="x14">
            <control shapeId="58412" r:id="rId52" name="TaskCheck_BW41">
              <controlPr defaultSize="0" autoFill="0" autoLine="0" autoPict="0">
                <anchor moveWithCells="1">
                  <from>
                    <xdr:col>74</xdr:col>
                    <xdr:colOff>19050</xdr:colOff>
                    <xdr:row>40</xdr:row>
                    <xdr:rowOff>12700</xdr:rowOff>
                  </from>
                  <to>
                    <xdr:col>75</xdr:col>
                    <xdr:colOff>50800</xdr:colOff>
                    <xdr:row>40</xdr:row>
                    <xdr:rowOff>273050</xdr:rowOff>
                  </to>
                </anchor>
              </controlPr>
            </control>
          </mc:Choice>
        </mc:AlternateContent>
        <mc:AlternateContent xmlns:mc="http://schemas.openxmlformats.org/markup-compatibility/2006">
          <mc:Choice Requires="x14">
            <control shapeId="58413" r:id="rId53" name="TaskCheck_BQ42">
              <controlPr defaultSize="0" autoFill="0" autoLine="0" autoPict="0">
                <anchor moveWithCells="1">
                  <from>
                    <xdr:col>68</xdr:col>
                    <xdr:colOff>19050</xdr:colOff>
                    <xdr:row>41</xdr:row>
                    <xdr:rowOff>12700</xdr:rowOff>
                  </from>
                  <to>
                    <xdr:col>69</xdr:col>
                    <xdr:colOff>50800</xdr:colOff>
                    <xdr:row>41</xdr:row>
                    <xdr:rowOff>273050</xdr:rowOff>
                  </to>
                </anchor>
              </controlPr>
            </control>
          </mc:Choice>
        </mc:AlternateContent>
        <mc:AlternateContent xmlns:mc="http://schemas.openxmlformats.org/markup-compatibility/2006">
          <mc:Choice Requires="x14">
            <control shapeId="58414" r:id="rId54" name="TaskCheck_BW42">
              <controlPr defaultSize="0" autoFill="0" autoLine="0" autoPict="0">
                <anchor moveWithCells="1">
                  <from>
                    <xdr:col>74</xdr:col>
                    <xdr:colOff>19050</xdr:colOff>
                    <xdr:row>41</xdr:row>
                    <xdr:rowOff>12700</xdr:rowOff>
                  </from>
                  <to>
                    <xdr:col>75</xdr:col>
                    <xdr:colOff>50800</xdr:colOff>
                    <xdr:row>41</xdr:row>
                    <xdr:rowOff>273050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E997F-231E-40EC-889D-D90639B3D24A}">
  <sheetPr codeName="Sheet41">
    <tabColor theme="6" tint="0.79998168889431442"/>
    <pageSetUpPr fitToPage="1"/>
  </sheetPr>
  <dimension ref="A1:CQ107"/>
  <sheetViews>
    <sheetView showGridLines="0" topLeftCell="A19" zoomScale="60" zoomScaleNormal="60" workbookViewId="0">
      <selection activeCell="B23" sqref="B23:F23"/>
    </sheetView>
  </sheetViews>
  <sheetFormatPr defaultColWidth="3.58203125" defaultRowHeight="22.5" customHeight="1"/>
  <cols>
    <col min="1" max="16384" width="3.58203125" style="161"/>
  </cols>
  <sheetData>
    <row r="1" spans="1:95" s="160" customFormat="1" ht="22.5" customHeight="1" thickTop="1" thickBot="1">
      <c r="A1" s="306" t="s">
        <v>66</v>
      </c>
      <c r="B1" s="306"/>
      <c r="C1" s="306"/>
      <c r="D1" s="158" t="s">
        <v>204</v>
      </c>
      <c r="E1" s="158"/>
      <c r="F1" s="158"/>
      <c r="G1" s="307">
        <v>20</v>
      </c>
      <c r="H1" s="307"/>
      <c r="I1" s="158" t="s">
        <v>688</v>
      </c>
      <c r="J1" s="158"/>
      <c r="K1" s="158"/>
      <c r="L1" s="158"/>
      <c r="M1" s="158"/>
      <c r="N1" s="158"/>
      <c r="O1" s="158"/>
      <c r="P1" s="158"/>
      <c r="Q1" s="158"/>
      <c r="R1" s="159"/>
      <c r="S1" s="159"/>
      <c r="T1" s="159"/>
      <c r="U1" s="159"/>
      <c r="V1" s="221" t="s">
        <v>689</v>
      </c>
      <c r="W1" s="158"/>
      <c r="X1" s="158"/>
      <c r="Y1" s="158"/>
      <c r="Z1" s="158"/>
      <c r="AA1" s="308">
        <v>1</v>
      </c>
      <c r="AB1" s="308"/>
      <c r="AC1" s="199" t="s">
        <v>105</v>
      </c>
      <c r="AD1" s="158"/>
      <c r="AE1" s="200" t="s">
        <v>586</v>
      </c>
      <c r="AF1" s="158"/>
      <c r="AG1" s="158"/>
      <c r="AH1" s="159"/>
      <c r="AI1" s="199" t="s">
        <v>106</v>
      </c>
      <c r="AJ1" s="159"/>
      <c r="AK1" s="200" t="s">
        <v>592</v>
      </c>
      <c r="AL1" s="159"/>
      <c r="AM1" s="159"/>
      <c r="AN1" s="159"/>
      <c r="AO1" s="199" t="s">
        <v>106</v>
      </c>
      <c r="AP1" s="159"/>
      <c r="AQ1" s="200"/>
      <c r="AR1" s="159"/>
      <c r="AS1" s="159"/>
      <c r="AT1" s="159"/>
      <c r="AU1" s="199" t="s">
        <v>237</v>
      </c>
      <c r="AV1" s="159"/>
      <c r="AW1" s="200"/>
      <c r="AX1" s="159"/>
      <c r="AY1" s="159"/>
      <c r="AZ1" s="159"/>
      <c r="BA1" s="309" t="s">
        <v>261</v>
      </c>
      <c r="BB1" s="310"/>
      <c r="BC1" s="311">
        <v>46199</v>
      </c>
      <c r="BD1" s="312"/>
      <c r="BE1" s="313"/>
      <c r="BF1" s="314" t="str">
        <f ca="1">IF(BC1="","",(TODAY()-BC1)&amp;"日未更新")</f>
        <v>3日未更新</v>
      </c>
      <c r="BG1" s="315"/>
      <c r="BH1" s="315"/>
      <c r="BI1" s="315"/>
      <c r="BJ1" s="316"/>
      <c r="BK1" s="159"/>
      <c r="BL1" s="159"/>
      <c r="BM1" s="159"/>
      <c r="BN1" s="159"/>
      <c r="BO1" s="158"/>
      <c r="BP1" s="159"/>
      <c r="BQ1" s="159"/>
      <c r="BR1" s="159"/>
      <c r="BS1" s="159"/>
      <c r="BT1" s="159"/>
      <c r="BU1" s="159"/>
      <c r="BV1" s="159"/>
      <c r="BW1" s="159"/>
      <c r="BX1" s="159"/>
      <c r="BY1" s="159"/>
      <c r="BZ1" s="158"/>
      <c r="CA1" s="323" t="s">
        <v>238</v>
      </c>
      <c r="CB1" s="323"/>
      <c r="CC1" s="323"/>
      <c r="CD1" s="323"/>
      <c r="CE1" s="323"/>
      <c r="CF1" s="323"/>
      <c r="CG1" s="323"/>
      <c r="CH1" s="323"/>
    </row>
    <row r="2" spans="1:95" ht="22.5" customHeight="1" thickTop="1">
      <c r="B2" s="175" t="s">
        <v>229</v>
      </c>
      <c r="C2" s="176"/>
      <c r="D2" s="176"/>
      <c r="E2" s="176"/>
      <c r="F2" s="176"/>
      <c r="G2" s="176"/>
      <c r="H2" s="176"/>
      <c r="I2" s="176"/>
      <c r="J2" s="176"/>
      <c r="K2" s="176"/>
      <c r="L2" s="176"/>
      <c r="M2" s="176"/>
      <c r="N2" s="176"/>
      <c r="O2" s="176"/>
      <c r="P2" s="176"/>
      <c r="Q2" s="176"/>
      <c r="R2" s="176"/>
      <c r="S2" s="176"/>
      <c r="T2" s="176"/>
      <c r="U2" s="176"/>
      <c r="V2" s="176"/>
      <c r="W2" s="176"/>
      <c r="X2" s="176"/>
      <c r="Y2" s="176"/>
      <c r="Z2" s="176"/>
      <c r="AA2" s="176"/>
      <c r="AC2" s="177" t="s">
        <v>110</v>
      </c>
      <c r="AD2" s="178"/>
      <c r="AE2" s="178"/>
      <c r="AF2" s="178"/>
      <c r="AG2" s="178"/>
      <c r="AH2" s="178"/>
      <c r="AI2" s="178"/>
      <c r="AJ2" s="178"/>
      <c r="AK2" s="178"/>
      <c r="AL2" s="178"/>
      <c r="AM2" s="178"/>
      <c r="AN2" s="178"/>
      <c r="AO2" s="178"/>
      <c r="AP2" s="178"/>
      <c r="AQ2" s="178"/>
      <c r="AR2" s="178"/>
      <c r="AS2" s="178"/>
      <c r="AT2" s="178"/>
      <c r="AU2" s="178"/>
      <c r="AV2" s="178"/>
      <c r="AW2" s="178"/>
      <c r="AX2" s="178"/>
      <c r="AY2" s="178"/>
      <c r="AZ2" s="178"/>
      <c r="BA2" s="178"/>
      <c r="BB2" s="178"/>
      <c r="BE2" s="324" t="s">
        <v>127</v>
      </c>
      <c r="BF2" s="325"/>
      <c r="BG2" s="325"/>
      <c r="BH2" s="325"/>
      <c r="BI2" s="325"/>
      <c r="BJ2" s="325"/>
      <c r="BK2" s="326"/>
      <c r="BL2" s="189" t="s">
        <v>52</v>
      </c>
      <c r="BM2" s="190" t="s">
        <v>53</v>
      </c>
      <c r="BN2" s="197" t="s">
        <v>54</v>
      </c>
      <c r="BO2" s="198" t="s">
        <v>55</v>
      </c>
      <c r="BP2" s="190" t="s">
        <v>56</v>
      </c>
      <c r="BQ2" s="191" t="s">
        <v>57</v>
      </c>
      <c r="BR2" s="327" t="s">
        <v>112</v>
      </c>
      <c r="BS2" s="328"/>
      <c r="BT2" s="328" t="s">
        <v>115</v>
      </c>
      <c r="BU2" s="329"/>
      <c r="BW2" s="181" t="s">
        <v>948</v>
      </c>
      <c r="BX2" s="179"/>
      <c r="BY2" s="179"/>
      <c r="BZ2" s="179"/>
      <c r="CA2" s="179"/>
      <c r="CB2" s="179"/>
      <c r="CC2" s="179"/>
      <c r="CD2" s="179"/>
      <c r="CE2" s="179"/>
      <c r="CF2" s="179"/>
      <c r="CG2" s="179"/>
      <c r="CH2" s="179"/>
      <c r="CL2" s="264" t="s">
        <v>921</v>
      </c>
      <c r="CM2" s="265">
        <v>46113</v>
      </c>
      <c r="CN2" s="264">
        <v>6</v>
      </c>
      <c r="CO2" s="264">
        <v>0</v>
      </c>
      <c r="CP2" s="264">
        <v>0</v>
      </c>
      <c r="CQ2" s="264">
        <v>0</v>
      </c>
    </row>
    <row r="3" spans="1:95" ht="22.5" customHeight="1">
      <c r="B3" s="300" t="s">
        <v>263</v>
      </c>
      <c r="C3" s="301"/>
      <c r="D3" s="301"/>
      <c r="E3" s="301"/>
      <c r="F3" s="302"/>
      <c r="G3" s="303" t="s">
        <v>254</v>
      </c>
      <c r="H3" s="304"/>
      <c r="I3" s="305"/>
      <c r="J3" s="303" t="s">
        <v>27</v>
      </c>
      <c r="K3" s="304"/>
      <c r="L3" s="305"/>
      <c r="M3" s="303" t="s">
        <v>226</v>
      </c>
      <c r="N3" s="304"/>
      <c r="O3" s="305"/>
      <c r="P3" s="303" t="s">
        <v>15</v>
      </c>
      <c r="Q3" s="304"/>
      <c r="R3" s="305"/>
      <c r="S3" s="303" t="s">
        <v>22</v>
      </c>
      <c r="T3" s="304"/>
      <c r="U3" s="305"/>
      <c r="V3" s="303" t="s">
        <v>1</v>
      </c>
      <c r="W3" s="304"/>
      <c r="X3" s="305"/>
      <c r="Y3" s="303" t="s">
        <v>18</v>
      </c>
      <c r="Z3" s="304"/>
      <c r="AA3" s="305"/>
      <c r="AC3" s="179" t="s">
        <v>61</v>
      </c>
      <c r="AD3" s="179"/>
      <c r="AE3" s="179"/>
      <c r="AF3" s="179"/>
      <c r="AG3" s="179"/>
      <c r="AH3" s="179"/>
      <c r="AI3" s="179"/>
      <c r="AJ3" s="179"/>
      <c r="AK3" s="179"/>
      <c r="AL3" s="179"/>
      <c r="AM3" s="179"/>
      <c r="AN3" s="179"/>
      <c r="AO3" s="178"/>
      <c r="AP3" s="178"/>
      <c r="AQ3" s="179" t="s">
        <v>62</v>
      </c>
      <c r="AR3" s="179"/>
      <c r="AS3" s="179"/>
      <c r="AT3" s="179"/>
      <c r="AU3" s="179"/>
      <c r="AV3" s="179"/>
      <c r="AW3" s="179"/>
      <c r="AX3" s="179"/>
      <c r="AY3" s="179"/>
      <c r="AZ3" s="179"/>
      <c r="BA3" s="179"/>
      <c r="BB3" s="179"/>
      <c r="BE3" s="187">
        <v>1</v>
      </c>
      <c r="BF3" s="317" t="s">
        <v>381</v>
      </c>
      <c r="BG3" s="317"/>
      <c r="BH3" s="317" t="s">
        <v>637</v>
      </c>
      <c r="BI3" s="317"/>
      <c r="BJ3" s="317"/>
      <c r="BK3" s="318"/>
      <c r="BL3" s="215" t="s">
        <v>724</v>
      </c>
      <c r="BM3" s="209" t="s">
        <v>724</v>
      </c>
      <c r="BN3" s="209" t="s">
        <v>724</v>
      </c>
      <c r="BO3" s="209"/>
      <c r="BP3" s="209"/>
      <c r="BQ3" s="210"/>
      <c r="BR3" s="319"/>
      <c r="BS3" s="317"/>
      <c r="BT3" s="317"/>
      <c r="BU3" s="320"/>
      <c r="BW3" s="285" t="b">
        <v>0</v>
      </c>
      <c r="BX3" s="178" t="s">
        <v>97</v>
      </c>
      <c r="BY3" s="178"/>
      <c r="BZ3" s="178"/>
      <c r="CA3" s="178"/>
      <c r="CB3" s="178"/>
      <c r="CC3" s="178"/>
      <c r="CD3" s="178"/>
      <c r="CE3" s="178"/>
      <c r="CF3" s="178"/>
      <c r="CG3" s="178"/>
      <c r="CH3" s="178"/>
      <c r="CL3" s="264" t="s">
        <v>921</v>
      </c>
      <c r="CM3" s="265">
        <v>46113</v>
      </c>
      <c r="CN3" s="264">
        <v>5</v>
      </c>
      <c r="CO3" s="264">
        <v>120</v>
      </c>
      <c r="CP3" s="264">
        <v>0</v>
      </c>
      <c r="CQ3" s="264">
        <v>120</v>
      </c>
    </row>
    <row r="4" spans="1:95" ht="22.5" customHeight="1">
      <c r="B4" s="335" t="s">
        <v>32</v>
      </c>
      <c r="C4" s="336"/>
      <c r="D4" s="336"/>
      <c r="E4" s="336"/>
      <c r="F4" s="337"/>
      <c r="G4" s="321">
        <f ca="1">IFERROR(INDEX(INDIRECT("'"&amp;G$3&amp;"'!J:J"),MATCH($D$1,INDIRECT("'"&amp;G$3&amp;"'!A:A"),0)),"")</f>
        <v>20</v>
      </c>
      <c r="H4" s="321"/>
      <c r="I4" s="321"/>
      <c r="J4" s="321">
        <v>20</v>
      </c>
      <c r="K4" s="321"/>
      <c r="L4" s="321"/>
      <c r="M4" s="321">
        <v>20</v>
      </c>
      <c r="N4" s="321"/>
      <c r="O4" s="321"/>
      <c r="P4" s="321" t="str">
        <f ca="1">IFERROR(INDEX(INDIRECT("'"&amp;P$3&amp;"'!J:J"),MATCH($D$1,INDIRECT("'"&amp;P$3&amp;"'!A:A"),0)),"")</f>
        <v/>
      </c>
      <c r="Q4" s="321"/>
      <c r="R4" s="321"/>
      <c r="S4" s="321" t="str">
        <f ca="1">IFERROR(INDEX(INDIRECT("'"&amp;S$3&amp;"'!J:J"),MATCH($D$1,INDIRECT("'"&amp;S$3&amp;"'!A:A"),0)),"")</f>
        <v/>
      </c>
      <c r="T4" s="321"/>
      <c r="U4" s="321"/>
      <c r="V4" s="321" t="str">
        <f t="shared" ref="V4" ca="1" si="0">IFERROR(INDEX(INDIRECT("'"&amp;V$3&amp;"'!J:J"),MATCH($D$1,INDIRECT("'"&amp;V$3&amp;"'!A:A"),0)),"")</f>
        <v/>
      </c>
      <c r="W4" s="321"/>
      <c r="X4" s="321"/>
      <c r="Y4" s="321" t="str">
        <f t="shared" ref="Y4" ca="1" si="1">IFERROR(INDEX(INDIRECT("'"&amp;Y$3&amp;"'!J:J"),MATCH($D$1,INDIRECT("'"&amp;Y$3&amp;"'!A:A"),0)),"")</f>
        <v/>
      </c>
      <c r="Z4" s="321"/>
      <c r="AA4" s="321"/>
      <c r="AC4" s="322" t="s">
        <v>254</v>
      </c>
      <c r="AD4" s="322"/>
      <c r="AE4" s="322" t="s">
        <v>27</v>
      </c>
      <c r="AF4" s="322"/>
      <c r="AG4" s="322" t="s">
        <v>226</v>
      </c>
      <c r="AH4" s="322"/>
      <c r="AI4" s="322" t="s">
        <v>15</v>
      </c>
      <c r="AJ4" s="322"/>
      <c r="AK4" s="322" t="s">
        <v>23</v>
      </c>
      <c r="AL4" s="322"/>
      <c r="AM4" s="322" t="s">
        <v>256</v>
      </c>
      <c r="AN4" s="322"/>
      <c r="AQ4" s="322" t="s">
        <v>254</v>
      </c>
      <c r="AR4" s="322"/>
      <c r="AS4" s="322" t="s">
        <v>27</v>
      </c>
      <c r="AT4" s="322"/>
      <c r="AU4" s="322" t="s">
        <v>226</v>
      </c>
      <c r="AV4" s="322"/>
      <c r="AW4" s="322" t="s">
        <v>15</v>
      </c>
      <c r="AX4" s="322"/>
      <c r="AY4" s="322" t="s">
        <v>23</v>
      </c>
      <c r="AZ4" s="322"/>
      <c r="BA4" s="322" t="s">
        <v>256</v>
      </c>
      <c r="BB4" s="322"/>
      <c r="BE4" s="187">
        <v>2</v>
      </c>
      <c r="BF4" s="317" t="s">
        <v>381</v>
      </c>
      <c r="BG4" s="317"/>
      <c r="BH4" s="317" t="s">
        <v>638</v>
      </c>
      <c r="BI4" s="317"/>
      <c r="BJ4" s="317"/>
      <c r="BK4" s="318"/>
      <c r="BL4" s="215" t="s">
        <v>724</v>
      </c>
      <c r="BM4" s="209" t="s">
        <v>724</v>
      </c>
      <c r="BN4" s="209" t="s">
        <v>724</v>
      </c>
      <c r="BO4" s="209"/>
      <c r="BP4" s="209"/>
      <c r="BQ4" s="210"/>
      <c r="BR4" s="319"/>
      <c r="BS4" s="317"/>
      <c r="BT4" s="317"/>
      <c r="BU4" s="320"/>
      <c r="BW4" s="285" t="b">
        <v>0</v>
      </c>
      <c r="BX4" s="192" t="s">
        <v>69</v>
      </c>
      <c r="BY4" s="178"/>
      <c r="BZ4" s="178"/>
      <c r="CA4" s="178"/>
      <c r="CB4" s="178"/>
      <c r="CC4" s="178"/>
      <c r="CD4" s="178"/>
      <c r="CE4" s="178"/>
      <c r="CF4" s="178"/>
      <c r="CG4" s="178"/>
      <c r="CH4" s="178"/>
      <c r="CL4" s="264" t="s">
        <v>921</v>
      </c>
      <c r="CM4" s="265">
        <v>46113</v>
      </c>
      <c r="CN4" s="264">
        <v>4</v>
      </c>
      <c r="CO4" s="264">
        <v>384</v>
      </c>
      <c r="CP4" s="264">
        <v>29</v>
      </c>
      <c r="CQ4" s="264">
        <v>413</v>
      </c>
    </row>
    <row r="5" spans="1:95" ht="22.5" customHeight="1">
      <c r="B5" s="331" t="s">
        <v>225</v>
      </c>
      <c r="C5" s="332"/>
      <c r="D5" s="332"/>
      <c r="E5" s="332"/>
      <c r="F5" s="333"/>
      <c r="G5" s="334">
        <f ca="1">IFERROR(INDEX(INDIRECT("'"&amp;G$3&amp;"'!Ｉ:Ｉ"),MATCH($D$1,INDIRECT("'"&amp;G$3&amp;"'!A:A"),0)),"")</f>
        <v>587</v>
      </c>
      <c r="H5" s="334"/>
      <c r="I5" s="334"/>
      <c r="J5" s="334">
        <v>566</v>
      </c>
      <c r="K5" s="334"/>
      <c r="L5" s="334"/>
      <c r="M5" s="334">
        <v>578</v>
      </c>
      <c r="N5" s="334"/>
      <c r="O5" s="334"/>
      <c r="P5" s="334" t="str">
        <f ca="1">IFERROR(INDEX(INDIRECT("'"&amp;P$3&amp;"'!Ｉ:Ｉ"),MATCH($D$1,INDIRECT("'"&amp;P$3&amp;"'!A:A"),0)),"")</f>
        <v/>
      </c>
      <c r="Q5" s="334"/>
      <c r="R5" s="334"/>
      <c r="S5" s="334" t="str">
        <f ca="1">IFERROR(INDEX(INDIRECT("'"&amp;S$3&amp;"'!Ｉ:Ｉ"),MATCH($D$1,INDIRECT("'"&amp;S$3&amp;"'!A:A"),0)),"")</f>
        <v/>
      </c>
      <c r="T5" s="334"/>
      <c r="U5" s="334"/>
      <c r="V5" s="334" t="str">
        <f t="shared" ref="V5" ca="1" si="2">IFERROR(INDEX(INDIRECT("'"&amp;V$3&amp;"'!Ｉ:Ｉ"),MATCH($D$1,INDIRECT("'"&amp;V$3&amp;"'!A:A"),0)),"")</f>
        <v/>
      </c>
      <c r="W5" s="334"/>
      <c r="X5" s="334"/>
      <c r="Y5" s="334" t="str">
        <f t="shared" ref="Y5" ca="1" si="3">IFERROR(INDEX(INDIRECT("'"&amp;Y$3&amp;"'!Ｉ:Ｉ"),MATCH($D$1,INDIRECT("'"&amp;Y$3&amp;"'!A:A"),0)),"")</f>
        <v/>
      </c>
      <c r="Z5" s="334"/>
      <c r="AA5" s="334"/>
      <c r="AC5" s="330">
        <v>3</v>
      </c>
      <c r="AD5" s="330"/>
      <c r="AE5" s="330">
        <v>1</v>
      </c>
      <c r="AF5" s="330"/>
      <c r="AG5" s="330">
        <v>2</v>
      </c>
      <c r="AH5" s="330"/>
      <c r="AI5" s="330">
        <v>2</v>
      </c>
      <c r="AJ5" s="330"/>
      <c r="AK5" s="330"/>
      <c r="AL5" s="330"/>
      <c r="AM5" s="330"/>
      <c r="AN5" s="330"/>
      <c r="AQ5" s="330">
        <v>2</v>
      </c>
      <c r="AR5" s="330"/>
      <c r="AS5" s="330">
        <v>2</v>
      </c>
      <c r="AT5" s="330"/>
      <c r="AU5" s="330">
        <v>1</v>
      </c>
      <c r="AV5" s="330"/>
      <c r="AW5" s="330">
        <v>3</v>
      </c>
      <c r="AX5" s="330"/>
      <c r="AY5" s="330"/>
      <c r="AZ5" s="330"/>
      <c r="BA5" s="330"/>
      <c r="BB5" s="330"/>
      <c r="BE5" s="187">
        <v>3</v>
      </c>
      <c r="BF5" s="317" t="s">
        <v>383</v>
      </c>
      <c r="BG5" s="317"/>
      <c r="BH5" s="317" t="s">
        <v>639</v>
      </c>
      <c r="BI5" s="317"/>
      <c r="BJ5" s="317"/>
      <c r="BK5" s="318"/>
      <c r="BL5" s="215" t="s">
        <v>724</v>
      </c>
      <c r="BM5" s="209" t="s">
        <v>724</v>
      </c>
      <c r="BN5" s="209"/>
      <c r="BO5" s="209"/>
      <c r="BP5" s="209"/>
      <c r="BQ5" s="210"/>
      <c r="BR5" s="319"/>
      <c r="BS5" s="317"/>
      <c r="BT5" s="317"/>
      <c r="BU5" s="320"/>
      <c r="BW5" s="285" t="b">
        <v>0</v>
      </c>
      <c r="BX5" s="192" t="s">
        <v>70</v>
      </c>
      <c r="BY5" s="178"/>
      <c r="BZ5" s="178"/>
      <c r="CA5" s="178"/>
      <c r="CB5" s="178"/>
      <c r="CC5" s="193"/>
      <c r="CD5" s="193"/>
      <c r="CE5" s="193"/>
      <c r="CF5" s="178"/>
      <c r="CG5" s="178"/>
      <c r="CH5" s="178"/>
      <c r="CL5" s="264" t="s">
        <v>921</v>
      </c>
      <c r="CM5" s="265">
        <v>46113</v>
      </c>
      <c r="CN5" s="264">
        <v>3</v>
      </c>
      <c r="CO5" s="264">
        <v>85</v>
      </c>
      <c r="CP5" s="264">
        <v>0</v>
      </c>
      <c r="CQ5" s="264">
        <v>85</v>
      </c>
    </row>
    <row r="6" spans="1:95" ht="22.5" customHeight="1">
      <c r="B6" s="338" t="s">
        <v>33</v>
      </c>
      <c r="C6" s="339"/>
      <c r="D6" s="339"/>
      <c r="E6" s="339"/>
      <c r="F6" s="340"/>
      <c r="G6" s="341">
        <f ca="1">IFERROR(G5/(G1*DAY(EOMONTH(DATE(2024,LEFT(G3,LEN(G3)-1),1),0))),"")</f>
        <v>0.9467741935483871</v>
      </c>
      <c r="H6" s="341"/>
      <c r="I6" s="341"/>
      <c r="J6" s="341">
        <f>J5/600</f>
        <v>0.94333333333333336</v>
      </c>
      <c r="K6" s="341"/>
      <c r="L6" s="341"/>
      <c r="M6" s="341">
        <f>M5/620</f>
        <v>0.93225806451612903</v>
      </c>
      <c r="N6" s="341"/>
      <c r="O6" s="341"/>
      <c r="P6" s="341" t="str">
        <f ca="1">IFERROR(P5/(P1*DAY(EOMONTH(DATE(2024,LEFT(P3,LEN(P3)-1),1),0))),"")</f>
        <v/>
      </c>
      <c r="Q6" s="341"/>
      <c r="R6" s="341"/>
      <c r="S6" s="341" t="str">
        <f ca="1">IFERROR(S5/(S1*DAY(EOMONTH(DATE(2024,LEFT(S3,LEN(S3)-1),1),0))),"")</f>
        <v/>
      </c>
      <c r="T6" s="341"/>
      <c r="U6" s="341"/>
      <c r="V6" s="341" t="str">
        <f t="shared" ref="V6" ca="1" si="4">IFERROR(V5/(V1*DAY(EOMONTH(DATE(2024,LEFT(V3,LEN(V3)-1),1),0))),"")</f>
        <v/>
      </c>
      <c r="W6" s="341"/>
      <c r="X6" s="341"/>
      <c r="Y6" s="341" t="str">
        <f t="shared" ref="Y6" ca="1" si="5">IFERROR(Y5/(Y1*DAY(EOMONTH(DATE(2024,LEFT(Y3,LEN(Y3)-1),1),0))),"")</f>
        <v/>
      </c>
      <c r="Z6" s="341"/>
      <c r="AA6" s="341"/>
      <c r="AC6" s="179" t="s">
        <v>60</v>
      </c>
      <c r="AD6" s="179"/>
      <c r="AE6" s="179"/>
      <c r="AF6" s="179"/>
      <c r="AG6" s="179"/>
      <c r="AH6" s="179"/>
      <c r="AI6" s="179"/>
      <c r="AJ6" s="179"/>
      <c r="AK6" s="179"/>
      <c r="AL6" s="179"/>
      <c r="AM6" s="179"/>
      <c r="AN6" s="179"/>
      <c r="AO6" s="178"/>
      <c r="AP6" s="178"/>
      <c r="AQ6" s="179" t="s">
        <v>109</v>
      </c>
      <c r="AR6" s="179"/>
      <c r="AS6" s="179"/>
      <c r="AT6" s="179"/>
      <c r="AU6" s="179"/>
      <c r="AV6" s="179"/>
      <c r="AW6" s="179"/>
      <c r="AX6" s="179"/>
      <c r="AY6" s="179"/>
      <c r="AZ6" s="179"/>
      <c r="BA6" s="179"/>
      <c r="BB6" s="179"/>
      <c r="BE6" s="187">
        <v>4</v>
      </c>
      <c r="BF6" s="317" t="s">
        <v>382</v>
      </c>
      <c r="BG6" s="317"/>
      <c r="BH6" s="317" t="s">
        <v>640</v>
      </c>
      <c r="BI6" s="317"/>
      <c r="BJ6" s="317"/>
      <c r="BK6" s="318"/>
      <c r="BL6" s="215"/>
      <c r="BM6" s="209"/>
      <c r="BN6" s="209"/>
      <c r="BO6" s="209"/>
      <c r="BP6" s="209"/>
      <c r="BQ6" s="210"/>
      <c r="BR6" s="319"/>
      <c r="BS6" s="317"/>
      <c r="BT6" s="317"/>
      <c r="BU6" s="320"/>
      <c r="BW6" s="285" t="b">
        <v>0</v>
      </c>
      <c r="BX6" s="192" t="s">
        <v>71</v>
      </c>
      <c r="BY6" s="178"/>
      <c r="BZ6" s="178"/>
      <c r="CA6" s="178"/>
      <c r="CB6" s="178"/>
      <c r="CC6" s="193"/>
      <c r="CD6" s="193"/>
      <c r="CE6" s="193"/>
      <c r="CF6" s="178"/>
      <c r="CG6" s="178"/>
      <c r="CH6" s="178"/>
      <c r="CL6" s="264" t="s">
        <v>921</v>
      </c>
      <c r="CM6" s="265">
        <v>46113</v>
      </c>
      <c r="CN6" s="264">
        <v>2</v>
      </c>
      <c r="CO6" s="264">
        <v>0</v>
      </c>
      <c r="CP6" s="264">
        <v>1</v>
      </c>
      <c r="CQ6" s="264">
        <v>1</v>
      </c>
    </row>
    <row r="7" spans="1:95" ht="22.5" customHeight="1">
      <c r="B7" s="735" t="s">
        <v>224</v>
      </c>
      <c r="C7" s="736"/>
      <c r="D7" s="736"/>
      <c r="E7" s="736"/>
      <c r="F7" s="737"/>
      <c r="G7" s="321">
        <f ca="1">IFERROR(INDEX(INDIRECT("'"&amp;G$3&amp;"'!L:L"),MATCH($D$1,INDIRECT("'"&amp;G$3&amp;"'!A:A"),0)),"")</f>
        <v>29</v>
      </c>
      <c r="H7" s="321"/>
      <c r="I7" s="321"/>
      <c r="J7" s="321">
        <v>36</v>
      </c>
      <c r="K7" s="321"/>
      <c r="L7" s="321"/>
      <c r="M7" s="321">
        <v>37</v>
      </c>
      <c r="N7" s="321"/>
      <c r="O7" s="321"/>
      <c r="P7" s="321" t="str">
        <f ca="1">IFERROR(INDEX(INDIRECT("'"&amp;P$3&amp;"'!L:L"),MATCH($D$1,INDIRECT("'"&amp;P$3&amp;"'!A:A"),0)),"")</f>
        <v/>
      </c>
      <c r="Q7" s="321"/>
      <c r="R7" s="321"/>
      <c r="S7" s="321" t="str">
        <f ca="1">IFERROR(INDEX(INDIRECT("'"&amp;S$3&amp;"'!L:L"),MATCH($D$1,INDIRECT("'"&amp;S$3&amp;"'!A:A"),0)),"")</f>
        <v/>
      </c>
      <c r="T7" s="321"/>
      <c r="U7" s="321"/>
      <c r="V7" s="321" t="str">
        <f t="shared" ref="V7" ca="1" si="6">IFERROR(INDEX(INDIRECT("'"&amp;V$3&amp;"'!L:L"),MATCH($D$1,INDIRECT("'"&amp;V$3&amp;"'!A:A"),0)),"")</f>
        <v/>
      </c>
      <c r="W7" s="321"/>
      <c r="X7" s="321"/>
      <c r="Y7" s="321" t="str">
        <f t="shared" ref="Y7" ca="1" si="7">IFERROR(INDEX(INDIRECT("'"&amp;Y$3&amp;"'!L:L"),MATCH($D$1,INDIRECT("'"&amp;Y$3&amp;"'!A:A"),0)),"")</f>
        <v/>
      </c>
      <c r="Z7" s="321"/>
      <c r="AA7" s="321"/>
      <c r="AC7" s="322" t="s">
        <v>254</v>
      </c>
      <c r="AD7" s="322"/>
      <c r="AE7" s="322" t="s">
        <v>27</v>
      </c>
      <c r="AF7" s="322"/>
      <c r="AG7" s="322" t="s">
        <v>226</v>
      </c>
      <c r="AH7" s="322"/>
      <c r="AI7" s="322" t="s">
        <v>15</v>
      </c>
      <c r="AJ7" s="322"/>
      <c r="AK7" s="322" t="s">
        <v>23</v>
      </c>
      <c r="AL7" s="322"/>
      <c r="AM7" s="322" t="s">
        <v>256</v>
      </c>
      <c r="AN7" s="322"/>
      <c r="AQ7" s="322" t="s">
        <v>254</v>
      </c>
      <c r="AR7" s="322"/>
      <c r="AS7" s="322" t="s">
        <v>27</v>
      </c>
      <c r="AT7" s="322"/>
      <c r="AU7" s="322" t="s">
        <v>226</v>
      </c>
      <c r="AV7" s="322"/>
      <c r="AW7" s="322" t="s">
        <v>15</v>
      </c>
      <c r="AX7" s="322"/>
      <c r="AY7" s="322" t="s">
        <v>23</v>
      </c>
      <c r="AZ7" s="322"/>
      <c r="BA7" s="322" t="s">
        <v>256</v>
      </c>
      <c r="BB7" s="322"/>
      <c r="BE7" s="187">
        <v>5</v>
      </c>
      <c r="BF7" s="317" t="s">
        <v>382</v>
      </c>
      <c r="BG7" s="317"/>
      <c r="BH7" s="317" t="s">
        <v>641</v>
      </c>
      <c r="BI7" s="317"/>
      <c r="BJ7" s="317"/>
      <c r="BK7" s="318"/>
      <c r="BL7" s="215"/>
      <c r="BM7" s="209"/>
      <c r="BN7" s="209"/>
      <c r="BO7" s="209"/>
      <c r="BP7" s="209"/>
      <c r="BQ7" s="210"/>
      <c r="BR7" s="319" t="s">
        <v>228</v>
      </c>
      <c r="BS7" s="317"/>
      <c r="BT7" s="317"/>
      <c r="BU7" s="320"/>
      <c r="BW7" s="285" t="b">
        <v>0</v>
      </c>
      <c r="BX7" s="192" t="s">
        <v>74</v>
      </c>
      <c r="BY7" s="178"/>
      <c r="BZ7" s="178"/>
      <c r="CA7" s="178"/>
      <c r="CB7" s="178"/>
      <c r="CC7" s="193"/>
      <c r="CD7" s="193"/>
      <c r="CE7" s="193"/>
      <c r="CF7" s="178"/>
      <c r="CG7" s="178"/>
      <c r="CH7" s="178"/>
      <c r="CL7" s="264" t="s">
        <v>921</v>
      </c>
      <c r="CM7" s="265">
        <v>46113</v>
      </c>
      <c r="CN7" s="264">
        <v>1</v>
      </c>
      <c r="CO7" s="264">
        <v>0</v>
      </c>
      <c r="CP7" s="264">
        <v>0</v>
      </c>
      <c r="CQ7" s="264">
        <v>0</v>
      </c>
    </row>
    <row r="8" spans="1:95" ht="22.5" customHeight="1">
      <c r="B8" s="338" t="s">
        <v>34</v>
      </c>
      <c r="C8" s="339"/>
      <c r="D8" s="339"/>
      <c r="E8" s="339"/>
      <c r="F8" s="340"/>
      <c r="G8" s="341">
        <f ca="1">G7/31</f>
        <v>0.93548387096774188</v>
      </c>
      <c r="H8" s="341"/>
      <c r="I8" s="341"/>
      <c r="J8" s="341">
        <f>J7/30</f>
        <v>1.2</v>
      </c>
      <c r="K8" s="341"/>
      <c r="L8" s="341"/>
      <c r="M8" s="341">
        <f>M7/31</f>
        <v>1.1935483870967742</v>
      </c>
      <c r="N8" s="341"/>
      <c r="O8" s="341"/>
      <c r="P8" s="341" t="str">
        <f ca="1">IFERROR(P7/(P1*DAY(EOMONTH(DATE(2024,LEFT(P3,LEN(P3)-1),1),0))),"")</f>
        <v/>
      </c>
      <c r="Q8" s="341"/>
      <c r="R8" s="341"/>
      <c r="S8" s="341" t="str">
        <f ca="1">IFERROR(S7/(S1*DAY(EOMONTH(DATE(2024,LEFT(S3,LEN(S3)-1),1),0))),"")</f>
        <v/>
      </c>
      <c r="T8" s="341"/>
      <c r="U8" s="341"/>
      <c r="V8" s="341" t="str">
        <f t="shared" ref="V8" ca="1" si="8">IFERROR(V7/(V1*DAY(EOMONTH(DATE(2024,LEFT(V3,LEN(V3)-1),1),0))),"")</f>
        <v/>
      </c>
      <c r="W8" s="341"/>
      <c r="X8" s="341"/>
      <c r="Y8" s="341" t="str">
        <f t="shared" ref="Y8" ca="1" si="9">IFERROR(Y7/(Y1*DAY(EOMONTH(DATE(2024,LEFT(Y3,LEN(Y3)-1),1),0))),"")</f>
        <v/>
      </c>
      <c r="Z8" s="341"/>
      <c r="AA8" s="341"/>
      <c r="AC8" s="330">
        <v>0</v>
      </c>
      <c r="AD8" s="330"/>
      <c r="AE8" s="330">
        <v>2</v>
      </c>
      <c r="AF8" s="330"/>
      <c r="AG8" s="330">
        <v>0</v>
      </c>
      <c r="AH8" s="330"/>
      <c r="AI8" s="330">
        <v>1</v>
      </c>
      <c r="AJ8" s="330"/>
      <c r="AK8" s="330"/>
      <c r="AL8" s="330"/>
      <c r="AM8" s="330"/>
      <c r="AN8" s="330"/>
      <c r="AQ8" s="330">
        <v>2</v>
      </c>
      <c r="AR8" s="330"/>
      <c r="AS8" s="330">
        <v>1</v>
      </c>
      <c r="AT8" s="330"/>
      <c r="AU8" s="330">
        <v>0</v>
      </c>
      <c r="AV8" s="330"/>
      <c r="AW8" s="330">
        <v>1</v>
      </c>
      <c r="AX8" s="330"/>
      <c r="AY8" s="330"/>
      <c r="AZ8" s="330"/>
      <c r="BA8" s="330"/>
      <c r="BB8" s="330"/>
      <c r="BE8" s="187">
        <v>6</v>
      </c>
      <c r="BF8" s="317" t="s">
        <v>383</v>
      </c>
      <c r="BG8" s="317"/>
      <c r="BH8" s="317" t="s">
        <v>642</v>
      </c>
      <c r="BI8" s="317"/>
      <c r="BJ8" s="317"/>
      <c r="BK8" s="318"/>
      <c r="BL8" s="215"/>
      <c r="BM8" s="209"/>
      <c r="BN8" s="209"/>
      <c r="BO8" s="209"/>
      <c r="BP8" s="209"/>
      <c r="BQ8" s="210"/>
      <c r="BR8" s="319"/>
      <c r="BS8" s="317"/>
      <c r="BT8" s="317"/>
      <c r="BU8" s="320"/>
      <c r="BW8" s="285" t="b">
        <v>0</v>
      </c>
      <c r="BX8" s="192" t="s">
        <v>72</v>
      </c>
      <c r="BY8" s="178"/>
      <c r="BZ8" s="178"/>
      <c r="CA8" s="178"/>
      <c r="CB8" s="178"/>
      <c r="CC8" s="193"/>
      <c r="CD8" s="193"/>
      <c r="CE8" s="193"/>
      <c r="CF8" s="178"/>
      <c r="CG8" s="178"/>
      <c r="CH8" s="178"/>
      <c r="CL8" s="264" t="s">
        <v>921</v>
      </c>
      <c r="CM8" s="265">
        <v>46113</v>
      </c>
      <c r="CN8" s="264" t="s">
        <v>904</v>
      </c>
      <c r="CO8" s="264">
        <v>0</v>
      </c>
      <c r="CP8" s="264">
        <v>0</v>
      </c>
      <c r="CQ8" s="264">
        <v>0</v>
      </c>
    </row>
    <row r="9" spans="1:95" ht="22.5" customHeight="1">
      <c r="B9" s="735" t="s">
        <v>175</v>
      </c>
      <c r="C9" s="736"/>
      <c r="D9" s="736"/>
      <c r="E9" s="736"/>
      <c r="F9" s="737"/>
      <c r="G9" s="321">
        <f ca="1">IFERROR(INDEX(INDIRECT("'"&amp;G$3&amp;"'!O:O"),MATCH($D$1,INDIRECT("'"&amp;G$3&amp;"'!A:A"),0)),"")</f>
        <v>588</v>
      </c>
      <c r="H9" s="321"/>
      <c r="I9" s="321"/>
      <c r="J9" s="321">
        <v>561</v>
      </c>
      <c r="K9" s="321"/>
      <c r="L9" s="321"/>
      <c r="M9" s="321">
        <v>570</v>
      </c>
      <c r="N9" s="321"/>
      <c r="O9" s="321"/>
      <c r="P9" s="321" t="str">
        <f ca="1">IFERROR(INDEX(INDIRECT("'"&amp;P$3&amp;"'!O:O"),MATCH($D$1,INDIRECT("'"&amp;P$3&amp;"'!A:A"),0)),"")</f>
        <v/>
      </c>
      <c r="Q9" s="321"/>
      <c r="R9" s="321"/>
      <c r="S9" s="321" t="str">
        <f ca="1">IFERROR(INDEX(INDIRECT("'"&amp;S$3&amp;"'!O:O"),MATCH($D$1,INDIRECT("'"&amp;S$3&amp;"'!A:A"),0)),"")</f>
        <v/>
      </c>
      <c r="T9" s="321"/>
      <c r="U9" s="321"/>
      <c r="V9" s="321" t="str">
        <f t="shared" ref="V9" ca="1" si="10">IFERROR(INDEX(INDIRECT("'"&amp;V$3&amp;"'!O:O"),MATCH($D$1,INDIRECT("'"&amp;V$3&amp;"'!A:A"),0)),"")</f>
        <v/>
      </c>
      <c r="W9" s="321"/>
      <c r="X9" s="321"/>
      <c r="Y9" s="321" t="str">
        <f t="shared" ref="Y9" ca="1" si="11">IFERROR(INDEX(INDIRECT("'"&amp;Y$3&amp;"'!O:O"),MATCH($D$1,INDIRECT("'"&amp;Y$3&amp;"'!A:A"),0)),"")</f>
        <v/>
      </c>
      <c r="Z9" s="321"/>
      <c r="AA9" s="321"/>
      <c r="AC9" s="179" t="s">
        <v>250</v>
      </c>
      <c r="AD9" s="179"/>
      <c r="AE9" s="179"/>
      <c r="AF9" s="179"/>
      <c r="AG9" s="179"/>
      <c r="AH9" s="179"/>
      <c r="AI9" s="179"/>
      <c r="AJ9" s="179"/>
      <c r="AK9" s="179"/>
      <c r="AL9" s="179"/>
      <c r="AM9" s="179"/>
      <c r="AN9" s="179"/>
      <c r="AO9" s="179"/>
      <c r="AP9" s="179"/>
      <c r="AQ9" s="180"/>
      <c r="AR9" s="179"/>
      <c r="AS9" s="179"/>
      <c r="AT9" s="179"/>
      <c r="AU9" s="179"/>
      <c r="AV9" s="179"/>
      <c r="AW9" s="179"/>
      <c r="AX9" s="179"/>
      <c r="AY9" s="179"/>
      <c r="AZ9" s="179"/>
      <c r="BA9" s="179"/>
      <c r="BB9" s="179"/>
      <c r="BE9" s="187">
        <v>7</v>
      </c>
      <c r="BF9" s="317" t="s">
        <v>382</v>
      </c>
      <c r="BG9" s="317"/>
      <c r="BH9" s="317" t="s">
        <v>643</v>
      </c>
      <c r="BI9" s="317"/>
      <c r="BJ9" s="317"/>
      <c r="BK9" s="318"/>
      <c r="BL9" s="215"/>
      <c r="BM9" s="209"/>
      <c r="BN9" s="209"/>
      <c r="BO9" s="209"/>
      <c r="BP9" s="209"/>
      <c r="BQ9" s="210"/>
      <c r="BR9" s="319"/>
      <c r="BS9" s="317"/>
      <c r="BT9" s="317"/>
      <c r="BU9" s="320"/>
      <c r="BW9" s="285" t="b">
        <v>0</v>
      </c>
      <c r="BX9" s="192" t="s">
        <v>73</v>
      </c>
      <c r="BY9" s="178"/>
      <c r="BZ9" s="178"/>
      <c r="CA9" s="178"/>
      <c r="CB9" s="178"/>
      <c r="CC9" s="193"/>
      <c r="CD9" s="193"/>
      <c r="CE9" s="193"/>
      <c r="CF9" s="178"/>
      <c r="CG9" s="178"/>
      <c r="CH9" s="178"/>
      <c r="CJ9" s="164"/>
    </row>
    <row r="10" spans="1:95" ht="22.5" customHeight="1">
      <c r="B10" s="338" t="s">
        <v>35</v>
      </c>
      <c r="C10" s="339"/>
      <c r="D10" s="339"/>
      <c r="E10" s="339"/>
      <c r="F10" s="340"/>
      <c r="G10" s="341">
        <f ca="1">IFERROR(G9/G5,"")</f>
        <v>1.0017035775127767</v>
      </c>
      <c r="H10" s="341"/>
      <c r="I10" s="341"/>
      <c r="J10" s="341">
        <f>IFERROR(J9/J5,"")</f>
        <v>0.99116607773851595</v>
      </c>
      <c r="K10" s="341"/>
      <c r="L10" s="341"/>
      <c r="M10" s="341">
        <f>IFERROR(M9/M5,"")</f>
        <v>0.98615916955017302</v>
      </c>
      <c r="N10" s="341"/>
      <c r="O10" s="341"/>
      <c r="P10" s="341" t="str">
        <f ca="1">IFERROR(P9/P5,"")</f>
        <v/>
      </c>
      <c r="Q10" s="341"/>
      <c r="R10" s="341"/>
      <c r="S10" s="341" t="str">
        <f ca="1">IFERROR(S9/S5,"")</f>
        <v/>
      </c>
      <c r="T10" s="341"/>
      <c r="U10" s="341"/>
      <c r="V10" s="341" t="str">
        <f t="shared" ref="V10" ca="1" si="12">IFERROR(V9/V5,"")</f>
        <v/>
      </c>
      <c r="W10" s="341"/>
      <c r="X10" s="341"/>
      <c r="Y10" s="341" t="str">
        <f t="shared" ref="Y10" ca="1" si="13">IFERROR(Y9/Y5,"")</f>
        <v/>
      </c>
      <c r="Z10" s="341"/>
      <c r="AA10" s="341"/>
      <c r="AC10" s="342" t="s">
        <v>249</v>
      </c>
      <c r="AD10" s="343"/>
      <c r="AE10" s="343"/>
      <c r="AF10" s="343"/>
      <c r="AG10" s="343"/>
      <c r="AH10" s="343"/>
      <c r="AI10" s="343"/>
      <c r="AJ10" s="344"/>
      <c r="AK10" s="342" t="s">
        <v>63</v>
      </c>
      <c r="AL10" s="343"/>
      <c r="AM10" s="345"/>
      <c r="AN10" s="346" t="s">
        <v>111</v>
      </c>
      <c r="AO10" s="343"/>
      <c r="AP10" s="343"/>
      <c r="AQ10" s="343"/>
      <c r="AR10" s="343"/>
      <c r="AS10" s="343"/>
      <c r="AT10" s="343"/>
      <c r="AU10" s="343"/>
      <c r="AV10" s="343"/>
      <c r="AW10" s="343"/>
      <c r="AX10" s="343"/>
      <c r="AY10" s="343"/>
      <c r="AZ10" s="343"/>
      <c r="BA10" s="343"/>
      <c r="BB10" s="345"/>
      <c r="BE10" s="187">
        <v>8</v>
      </c>
      <c r="BF10" s="317" t="s">
        <v>383</v>
      </c>
      <c r="BG10" s="317"/>
      <c r="BH10" s="317" t="s">
        <v>644</v>
      </c>
      <c r="BI10" s="317"/>
      <c r="BJ10" s="317"/>
      <c r="BK10" s="318"/>
      <c r="BL10" s="215"/>
      <c r="BM10" s="209"/>
      <c r="BN10" s="209"/>
      <c r="BO10" s="209"/>
      <c r="BP10" s="209"/>
      <c r="BQ10" s="210"/>
      <c r="BR10" s="319"/>
      <c r="BS10" s="317"/>
      <c r="BT10" s="317"/>
      <c r="BU10" s="320"/>
      <c r="BW10" s="285" t="b">
        <v>0</v>
      </c>
      <c r="BX10" s="192" t="s">
        <v>76</v>
      </c>
      <c r="BY10" s="178"/>
      <c r="BZ10" s="178"/>
      <c r="CA10" s="178"/>
      <c r="CB10" s="178"/>
      <c r="CC10" s="193"/>
      <c r="CD10" s="193"/>
      <c r="CE10" s="193"/>
      <c r="CF10" s="178"/>
      <c r="CG10" s="178"/>
      <c r="CH10" s="178"/>
    </row>
    <row r="11" spans="1:95" ht="22.5" customHeight="1">
      <c r="B11" s="335" t="s">
        <v>179</v>
      </c>
      <c r="C11" s="336"/>
      <c r="D11" s="336"/>
      <c r="E11" s="336"/>
      <c r="F11" s="337"/>
      <c r="G11" s="321">
        <f ca="1">IFERROR(INDEX(INDIRECT("'"&amp;G$3&amp;"'!R:R"),MATCH($D$1,INDIRECT("'"&amp;G$3&amp;"'!A:A"),0)),"")</f>
        <v>176</v>
      </c>
      <c r="H11" s="321"/>
      <c r="I11" s="321"/>
      <c r="J11" s="321">
        <v>174</v>
      </c>
      <c r="K11" s="321"/>
      <c r="L11" s="321"/>
      <c r="M11" s="321">
        <v>195</v>
      </c>
      <c r="N11" s="321"/>
      <c r="O11" s="321"/>
      <c r="P11" s="321" t="str">
        <f ca="1">IFERROR(INDEX(INDIRECT("'"&amp;P$3&amp;"'!R:R"),MATCH($D$1,INDIRECT("'"&amp;P$3&amp;"'!A:A"),0)),"")</f>
        <v/>
      </c>
      <c r="Q11" s="321"/>
      <c r="R11" s="321"/>
      <c r="S11" s="321" t="str">
        <f ca="1">IFERROR(INDEX(INDIRECT("'"&amp;S$3&amp;"'!R:R"),MATCH($D$1,INDIRECT("'"&amp;S$3&amp;"'!A:A"),0)),"")</f>
        <v/>
      </c>
      <c r="T11" s="321"/>
      <c r="U11" s="321"/>
      <c r="V11" s="321" t="str">
        <f t="shared" ref="V11" ca="1" si="14">IFERROR(INDEX(INDIRECT("'"&amp;V$3&amp;"'!R:R"),MATCH($D$1,INDIRECT("'"&amp;V$3&amp;"'!A:A"),0)),"")</f>
        <v/>
      </c>
      <c r="W11" s="321"/>
      <c r="X11" s="321"/>
      <c r="Y11" s="321" t="str">
        <f t="shared" ref="Y11" ca="1" si="15">IFERROR(INDEX(INDIRECT("'"&amp;Y$3&amp;"'!R:R"),MATCH($D$1,INDIRECT("'"&amp;Y$3&amp;"'!A:A"),0)),"")</f>
        <v/>
      </c>
      <c r="Z11" s="321"/>
      <c r="AA11" s="321"/>
      <c r="AC11" s="354"/>
      <c r="AD11" s="355"/>
      <c r="AE11" s="355"/>
      <c r="AF11" s="355"/>
      <c r="AG11" s="355"/>
      <c r="AH11" s="355"/>
      <c r="AI11" s="355"/>
      <c r="AJ11" s="356"/>
      <c r="AK11" s="357"/>
      <c r="AL11" s="358"/>
      <c r="AM11" s="203"/>
      <c r="AN11" s="359"/>
      <c r="AO11" s="355"/>
      <c r="AP11" s="355"/>
      <c r="AQ11" s="355"/>
      <c r="AR11" s="355"/>
      <c r="AS11" s="355"/>
      <c r="AT11" s="355"/>
      <c r="AU11" s="355"/>
      <c r="AV11" s="355"/>
      <c r="AW11" s="355"/>
      <c r="AX11" s="355"/>
      <c r="AY11" s="355"/>
      <c r="AZ11" s="355"/>
      <c r="BA11" s="355"/>
      <c r="BB11" s="360"/>
      <c r="BE11" s="187">
        <v>9</v>
      </c>
      <c r="BF11" s="317" t="s">
        <v>381</v>
      </c>
      <c r="BG11" s="317"/>
      <c r="BH11" s="317" t="s">
        <v>645</v>
      </c>
      <c r="BI11" s="317"/>
      <c r="BJ11" s="317"/>
      <c r="BK11" s="318"/>
      <c r="BL11" s="215" t="s">
        <v>724</v>
      </c>
      <c r="BM11" s="209" t="s">
        <v>724</v>
      </c>
      <c r="BN11" s="209" t="s">
        <v>724</v>
      </c>
      <c r="BO11" s="209"/>
      <c r="BP11" s="209"/>
      <c r="BQ11" s="210"/>
      <c r="BR11" s="319" t="s">
        <v>228</v>
      </c>
      <c r="BS11" s="317"/>
      <c r="BT11" s="317"/>
      <c r="BU11" s="320"/>
      <c r="BW11" s="285" t="b">
        <v>0</v>
      </c>
      <c r="BX11" s="192" t="s">
        <v>239</v>
      </c>
      <c r="BY11" s="178"/>
      <c r="BZ11" s="178"/>
      <c r="CA11" s="178"/>
      <c r="CB11" s="178"/>
      <c r="CC11" s="193"/>
      <c r="CD11" s="193"/>
      <c r="CE11" s="193"/>
      <c r="CF11" s="178"/>
      <c r="CG11" s="178"/>
      <c r="CH11" s="178"/>
    </row>
    <row r="12" spans="1:95" ht="22.5" customHeight="1">
      <c r="B12" s="338" t="s">
        <v>218</v>
      </c>
      <c r="C12" s="339"/>
      <c r="D12" s="339"/>
      <c r="E12" s="339"/>
      <c r="F12" s="340"/>
      <c r="G12" s="341">
        <f ca="1">IFERROR(G11/G5,"")</f>
        <v>0.29982964224872233</v>
      </c>
      <c r="H12" s="341"/>
      <c r="I12" s="341"/>
      <c r="J12" s="341">
        <f>IFERROR(J11/J5,"")</f>
        <v>0.30742049469964666</v>
      </c>
      <c r="K12" s="341"/>
      <c r="L12" s="341"/>
      <c r="M12" s="341">
        <f>IFERROR(M11/M5,"")</f>
        <v>0.33737024221453288</v>
      </c>
      <c r="N12" s="341"/>
      <c r="O12" s="341"/>
      <c r="P12" s="341" t="str">
        <f ca="1">IFERROR(P11/P5,"")</f>
        <v/>
      </c>
      <c r="Q12" s="341"/>
      <c r="R12" s="341"/>
      <c r="S12" s="341" t="str">
        <f ca="1">IFERROR(S11/S5,"")</f>
        <v/>
      </c>
      <c r="T12" s="341"/>
      <c r="U12" s="341"/>
      <c r="V12" s="341" t="str">
        <f t="shared" ref="V12" ca="1" si="16">IFERROR(V11/V5,"")</f>
        <v/>
      </c>
      <c r="W12" s="341"/>
      <c r="X12" s="341"/>
      <c r="Y12" s="341" t="str">
        <f t="shared" ref="Y12" ca="1" si="17">IFERROR(Y11/Y5,"")</f>
        <v/>
      </c>
      <c r="Z12" s="341"/>
      <c r="AA12" s="341"/>
      <c r="AC12" s="347"/>
      <c r="AD12" s="348"/>
      <c r="AE12" s="348"/>
      <c r="AF12" s="348"/>
      <c r="AG12" s="348"/>
      <c r="AH12" s="348"/>
      <c r="AI12" s="348"/>
      <c r="AJ12" s="349"/>
      <c r="AK12" s="350"/>
      <c r="AL12" s="351"/>
      <c r="AM12" s="202"/>
      <c r="AN12" s="352"/>
      <c r="AO12" s="348"/>
      <c r="AP12" s="348"/>
      <c r="AQ12" s="348"/>
      <c r="AR12" s="348"/>
      <c r="AS12" s="348"/>
      <c r="AT12" s="348"/>
      <c r="AU12" s="348"/>
      <c r="AV12" s="348"/>
      <c r="AW12" s="348"/>
      <c r="AX12" s="348"/>
      <c r="AY12" s="348"/>
      <c r="AZ12" s="348"/>
      <c r="BA12" s="348"/>
      <c r="BB12" s="353"/>
      <c r="BE12" s="187">
        <v>10</v>
      </c>
      <c r="BF12" s="317" t="s">
        <v>382</v>
      </c>
      <c r="BG12" s="317"/>
      <c r="BH12" s="317" t="s">
        <v>646</v>
      </c>
      <c r="BI12" s="317"/>
      <c r="BJ12" s="317"/>
      <c r="BK12" s="318"/>
      <c r="BL12" s="215"/>
      <c r="BM12" s="209"/>
      <c r="BN12" s="209"/>
      <c r="BO12" s="209"/>
      <c r="BP12" s="209"/>
      <c r="BQ12" s="210"/>
      <c r="BR12" s="319"/>
      <c r="BS12" s="317"/>
      <c r="BT12" s="317"/>
      <c r="BU12" s="320"/>
      <c r="BW12" s="285" t="b">
        <v>0</v>
      </c>
      <c r="BX12" s="192" t="s">
        <v>77</v>
      </c>
      <c r="BY12" s="178"/>
      <c r="BZ12" s="178"/>
      <c r="CA12" s="178"/>
      <c r="CB12" s="178"/>
      <c r="CC12" s="193"/>
      <c r="CD12" s="193"/>
      <c r="CE12" s="193"/>
      <c r="CF12" s="178"/>
      <c r="CG12" s="178"/>
      <c r="CH12" s="178"/>
    </row>
    <row r="13" spans="1:95" ht="22.5" customHeight="1">
      <c r="B13" s="335" t="s">
        <v>47</v>
      </c>
      <c r="C13" s="336"/>
      <c r="D13" s="336"/>
      <c r="E13" s="336"/>
      <c r="F13" s="337"/>
      <c r="G13" s="361">
        <f ca="1">IFERROR(INDEX(INDIRECT("'"&amp;G$3&amp;"'!M:M"),MATCH($D$1,INDIRECT("'"&amp;G$3&amp;"'!A:A"),0)),"")</f>
        <v>0</v>
      </c>
      <c r="H13" s="361"/>
      <c r="I13" s="361"/>
      <c r="J13" s="361">
        <v>1</v>
      </c>
      <c r="K13" s="361"/>
      <c r="L13" s="361"/>
      <c r="M13" s="361">
        <v>0</v>
      </c>
      <c r="N13" s="361"/>
      <c r="O13" s="361"/>
      <c r="P13" s="361" t="str">
        <f ca="1">IFERROR(INDEX(INDIRECT("'"&amp;P$3&amp;"'!M:M"),MATCH($D$1,INDIRECT("'"&amp;P$3&amp;"'!A:A"),0)),"")</f>
        <v/>
      </c>
      <c r="Q13" s="361"/>
      <c r="R13" s="361"/>
      <c r="S13" s="361" t="str">
        <f ca="1">IFERROR(INDEX(INDIRECT("'"&amp;S$3&amp;"'!M:M"),MATCH($D$1,INDIRECT("'"&amp;S$3&amp;"'!A:A"),0)),"")</f>
        <v/>
      </c>
      <c r="T13" s="361"/>
      <c r="U13" s="361"/>
      <c r="V13" s="361" t="str">
        <f t="shared" ref="V13" ca="1" si="18">IFERROR(INDEX(INDIRECT("'"&amp;V$3&amp;"'!M:M"),MATCH($D$1,INDIRECT("'"&amp;V$3&amp;"'!A:A"),0)),"")</f>
        <v/>
      </c>
      <c r="W13" s="361"/>
      <c r="X13" s="361"/>
      <c r="Y13" s="361" t="str">
        <f t="shared" ref="Y13" ca="1" si="19">IFERROR(INDEX(INDIRECT("'"&amp;Y$3&amp;"'!M:M"),MATCH($D$1,INDIRECT("'"&amp;Y$3&amp;"'!A:A"),0)),"")</f>
        <v/>
      </c>
      <c r="Z13" s="361"/>
      <c r="AA13" s="361"/>
      <c r="AC13" s="367"/>
      <c r="AD13" s="368"/>
      <c r="AE13" s="368"/>
      <c r="AF13" s="368"/>
      <c r="AG13" s="368"/>
      <c r="AH13" s="368"/>
      <c r="AI13" s="368"/>
      <c r="AJ13" s="369"/>
      <c r="AK13" s="370"/>
      <c r="AL13" s="371"/>
      <c r="AM13" s="204"/>
      <c r="AN13" s="372"/>
      <c r="AO13" s="368"/>
      <c r="AP13" s="368"/>
      <c r="AQ13" s="368"/>
      <c r="AR13" s="368"/>
      <c r="AS13" s="368"/>
      <c r="AT13" s="368"/>
      <c r="AU13" s="368"/>
      <c r="AV13" s="368"/>
      <c r="AW13" s="368"/>
      <c r="AX13" s="368"/>
      <c r="AY13" s="368"/>
      <c r="AZ13" s="368"/>
      <c r="BA13" s="368"/>
      <c r="BB13" s="373"/>
      <c r="BE13" s="187">
        <v>11</v>
      </c>
      <c r="BF13" s="317" t="s">
        <v>382</v>
      </c>
      <c r="BG13" s="317"/>
      <c r="BH13" s="317" t="s">
        <v>647</v>
      </c>
      <c r="BI13" s="317"/>
      <c r="BJ13" s="317"/>
      <c r="BK13" s="318"/>
      <c r="BL13" s="215"/>
      <c r="BM13" s="209"/>
      <c r="BN13" s="209"/>
      <c r="BO13" s="209"/>
      <c r="BP13" s="209"/>
      <c r="BQ13" s="210"/>
      <c r="BR13" s="362"/>
      <c r="BS13" s="319"/>
      <c r="BT13" s="317"/>
      <c r="BU13" s="320"/>
      <c r="BW13" s="285" t="b">
        <v>0</v>
      </c>
      <c r="BX13" s="192" t="s">
        <v>78</v>
      </c>
      <c r="BY13" s="178"/>
      <c r="BZ13" s="178"/>
      <c r="CA13" s="178"/>
      <c r="CB13" s="178"/>
      <c r="CC13" s="193"/>
      <c r="CD13" s="193"/>
      <c r="CE13" s="193"/>
      <c r="CF13" s="178"/>
      <c r="CG13" s="178"/>
      <c r="CH13" s="178"/>
    </row>
    <row r="14" spans="1:95" ht="22.5" customHeight="1" thickBot="1">
      <c r="A14" s="201" t="s">
        <v>251</v>
      </c>
      <c r="B14" s="363" t="s">
        <v>227</v>
      </c>
      <c r="C14" s="364"/>
      <c r="D14" s="364"/>
      <c r="E14" s="364"/>
      <c r="F14" s="365"/>
      <c r="G14" s="366"/>
      <c r="H14" s="366"/>
      <c r="I14" s="366"/>
      <c r="J14" s="366"/>
      <c r="K14" s="366"/>
      <c r="L14" s="366"/>
      <c r="M14" s="366"/>
      <c r="N14" s="366"/>
      <c r="O14" s="366"/>
      <c r="P14" s="366"/>
      <c r="Q14" s="366"/>
      <c r="R14" s="366"/>
      <c r="S14" s="366"/>
      <c r="T14" s="366"/>
      <c r="U14" s="366"/>
      <c r="V14" s="366"/>
      <c r="W14" s="366"/>
      <c r="X14" s="366"/>
      <c r="Y14" s="366"/>
      <c r="Z14" s="366"/>
      <c r="AA14" s="366"/>
      <c r="AC14" s="367"/>
      <c r="AD14" s="368"/>
      <c r="AE14" s="368"/>
      <c r="AF14" s="368"/>
      <c r="AG14" s="368"/>
      <c r="AH14" s="368"/>
      <c r="AI14" s="368"/>
      <c r="AJ14" s="369"/>
      <c r="AK14" s="370"/>
      <c r="AL14" s="371"/>
      <c r="AM14" s="204"/>
      <c r="AN14" s="372"/>
      <c r="AO14" s="368"/>
      <c r="AP14" s="368"/>
      <c r="AQ14" s="368"/>
      <c r="AR14" s="368"/>
      <c r="AS14" s="368"/>
      <c r="AT14" s="368"/>
      <c r="AU14" s="368"/>
      <c r="AV14" s="368"/>
      <c r="AW14" s="368"/>
      <c r="AX14" s="368"/>
      <c r="AY14" s="368"/>
      <c r="AZ14" s="368"/>
      <c r="BA14" s="368"/>
      <c r="BB14" s="373"/>
      <c r="BE14" s="187">
        <v>12</v>
      </c>
      <c r="BF14" s="317" t="s">
        <v>382</v>
      </c>
      <c r="BG14" s="317"/>
      <c r="BH14" s="317" t="s">
        <v>648</v>
      </c>
      <c r="BI14" s="317"/>
      <c r="BJ14" s="317"/>
      <c r="BK14" s="318"/>
      <c r="BL14" s="215"/>
      <c r="BM14" s="209"/>
      <c r="BN14" s="209"/>
      <c r="BO14" s="209"/>
      <c r="BP14" s="209"/>
      <c r="BQ14" s="210"/>
      <c r="BR14" s="362"/>
      <c r="BS14" s="319"/>
      <c r="BT14" s="317"/>
      <c r="BU14" s="320"/>
      <c r="BW14" s="285" t="b">
        <v>0</v>
      </c>
      <c r="BX14" s="192" t="s">
        <v>79</v>
      </c>
      <c r="BY14" s="178"/>
      <c r="BZ14" s="178"/>
      <c r="CA14" s="178"/>
      <c r="CB14" s="178"/>
      <c r="CC14" s="178"/>
      <c r="CD14" s="178"/>
      <c r="CE14" s="178"/>
      <c r="CF14" s="178"/>
      <c r="CG14" s="178"/>
      <c r="CH14" s="178"/>
    </row>
    <row r="15" spans="1:95" ht="22.5" customHeight="1" thickTop="1">
      <c r="B15" s="739" t="s">
        <v>264</v>
      </c>
      <c r="C15" s="740"/>
      <c r="D15" s="740"/>
      <c r="E15" s="740"/>
      <c r="F15" s="741"/>
      <c r="G15" s="385">
        <f ca="1">IFERROR(INDEX(INDIRECT("'"&amp;G$3&amp;"'!X:X"),MATCH($D$1,INDIRECT("'"&amp;G$3&amp;"'!A:A"),0)),"")</f>
        <v>656795.56799999997</v>
      </c>
      <c r="H15" s="385"/>
      <c r="I15" s="385"/>
      <c r="J15" s="385" t="str">
        <f ca="1">IFERROR(INDEX(INDIRECT("'"&amp;J$3&amp;"'!X:X"),MATCH($D$1,INDIRECT("'"&amp;J$3&amp;"'!A:A"),0)),"")</f>
        <v/>
      </c>
      <c r="K15" s="385"/>
      <c r="L15" s="385"/>
      <c r="M15" s="385" t="str">
        <f ca="1">IFERROR(INDEX(INDIRECT("'"&amp;M$3&amp;"'!X:X"),MATCH($D$1,INDIRECT("'"&amp;M$3&amp;"'!A:A"),0)),"")</f>
        <v/>
      </c>
      <c r="N15" s="385"/>
      <c r="O15" s="385"/>
      <c r="P15" s="385" t="str">
        <f ca="1">IFERROR(INDEX(INDIRECT("'"&amp;P$3&amp;"'!X:X"),MATCH($D$1,INDIRECT("'"&amp;P$3&amp;"'!A:A"),0)),"")</f>
        <v/>
      </c>
      <c r="Q15" s="385"/>
      <c r="R15" s="385"/>
      <c r="S15" s="385" t="str">
        <f ca="1">IFERROR(INDEX(INDIRECT("'"&amp;S$3&amp;"'!X:X"),MATCH($D$1,INDIRECT("'"&amp;S$3&amp;"'!A:A"),0)),"")</f>
        <v/>
      </c>
      <c r="T15" s="385"/>
      <c r="U15" s="385"/>
      <c r="V15" s="386" t="s">
        <v>107</v>
      </c>
      <c r="W15" s="387"/>
      <c r="X15" s="388">
        <f ca="1">AVERAGE(G15:U15)</f>
        <v>656795.56799999997</v>
      </c>
      <c r="Y15" s="388"/>
      <c r="Z15" s="388"/>
      <c r="AA15" s="389"/>
      <c r="AB15" s="162"/>
      <c r="BE15" s="187">
        <v>13</v>
      </c>
      <c r="BF15" s="317" t="s">
        <v>382</v>
      </c>
      <c r="BG15" s="317"/>
      <c r="BH15" s="317" t="s">
        <v>649</v>
      </c>
      <c r="BI15" s="317"/>
      <c r="BJ15" s="317"/>
      <c r="BK15" s="318"/>
      <c r="BL15" s="215"/>
      <c r="BM15" s="209"/>
      <c r="BN15" s="209"/>
      <c r="BO15" s="209"/>
      <c r="BP15" s="209"/>
      <c r="BQ15" s="210"/>
      <c r="BR15" s="362"/>
      <c r="BS15" s="319"/>
      <c r="BT15" s="317"/>
      <c r="BU15" s="320"/>
      <c r="BW15" s="285" t="b">
        <v>0</v>
      </c>
      <c r="BX15" s="192" t="s">
        <v>80</v>
      </c>
      <c r="BY15" s="178"/>
      <c r="BZ15" s="178"/>
      <c r="CA15" s="178"/>
      <c r="CB15" s="178"/>
      <c r="CC15" s="178"/>
      <c r="CD15" s="178"/>
      <c r="CE15" s="178"/>
      <c r="CF15" s="178"/>
      <c r="CG15" s="178"/>
      <c r="CH15" s="178"/>
    </row>
    <row r="16" spans="1:95" s="164" customFormat="1" ht="22.5" customHeight="1">
      <c r="B16" s="164">
        <v>30</v>
      </c>
      <c r="V16" s="220"/>
      <c r="W16" s="220"/>
      <c r="X16" s="220"/>
      <c r="Y16" s="220"/>
      <c r="Z16" s="220"/>
      <c r="AA16" s="220"/>
      <c r="AB16" s="162"/>
      <c r="AC16" s="722" t="s">
        <v>236</v>
      </c>
      <c r="AD16" s="723"/>
      <c r="AE16" s="723"/>
      <c r="AF16" s="723"/>
      <c r="AG16" s="723"/>
      <c r="AH16" s="723"/>
      <c r="AI16" s="723"/>
      <c r="AJ16" s="724"/>
      <c r="AK16" s="377" t="s">
        <v>254</v>
      </c>
      <c r="AL16" s="378"/>
      <c r="AM16" s="379"/>
      <c r="AN16" s="380" t="s">
        <v>27</v>
      </c>
      <c r="AO16" s="378"/>
      <c r="AP16" s="381"/>
      <c r="AQ16" s="377" t="s">
        <v>226</v>
      </c>
      <c r="AR16" s="378"/>
      <c r="AS16" s="379"/>
      <c r="AT16" s="380" t="s">
        <v>14</v>
      </c>
      <c r="AU16" s="378"/>
      <c r="AV16" s="381"/>
      <c r="AW16" s="377" t="s">
        <v>22</v>
      </c>
      <c r="AX16" s="378"/>
      <c r="AY16" s="379"/>
      <c r="AZ16" s="380" t="s">
        <v>1</v>
      </c>
      <c r="BA16" s="378"/>
      <c r="BB16" s="379"/>
      <c r="BE16" s="187">
        <v>14</v>
      </c>
      <c r="BF16" s="317" t="s">
        <v>381</v>
      </c>
      <c r="BG16" s="317"/>
      <c r="BH16" s="317" t="s">
        <v>650</v>
      </c>
      <c r="BI16" s="317"/>
      <c r="BJ16" s="317"/>
      <c r="BK16" s="318"/>
      <c r="BL16" s="215" t="s">
        <v>724</v>
      </c>
      <c r="BM16" s="209" t="s">
        <v>724</v>
      </c>
      <c r="BN16" s="209" t="s">
        <v>724</v>
      </c>
      <c r="BO16" s="209" t="s">
        <v>724</v>
      </c>
      <c r="BP16" s="209"/>
      <c r="BQ16" s="210"/>
      <c r="BR16" s="319" t="s">
        <v>228</v>
      </c>
      <c r="BS16" s="317"/>
      <c r="BT16" s="317"/>
      <c r="BU16" s="320"/>
      <c r="BW16" s="285" t="b">
        <v>0</v>
      </c>
      <c r="BX16" s="192" t="s">
        <v>81</v>
      </c>
      <c r="BY16" s="194"/>
      <c r="BZ16" s="194"/>
      <c r="CA16" s="194"/>
      <c r="CB16" s="194"/>
      <c r="CC16" s="194"/>
      <c r="CD16" s="194"/>
      <c r="CE16" s="194"/>
      <c r="CF16" s="194"/>
      <c r="CG16" s="194"/>
      <c r="CH16" s="194"/>
      <c r="CJ16" s="161"/>
    </row>
    <row r="17" spans="2:86" ht="22.5" customHeight="1">
      <c r="B17" s="850">
        <f ca="1">NOW()</f>
        <v>46202.751855324073</v>
      </c>
      <c r="C17" s="851"/>
      <c r="D17" s="851"/>
      <c r="E17" s="851"/>
      <c r="F17" s="852"/>
      <c r="G17" s="303" t="s">
        <v>777</v>
      </c>
      <c r="H17" s="304"/>
      <c r="I17" s="305"/>
      <c r="J17" s="303" t="s">
        <v>778</v>
      </c>
      <c r="K17" s="304"/>
      <c r="L17" s="305"/>
      <c r="M17" s="303" t="s">
        <v>779</v>
      </c>
      <c r="N17" s="304"/>
      <c r="O17" s="305"/>
      <c r="P17" s="303" t="s">
        <v>780</v>
      </c>
      <c r="Q17" s="304"/>
      <c r="R17" s="305"/>
      <c r="S17" s="303" t="s">
        <v>781</v>
      </c>
      <c r="T17" s="304"/>
      <c r="U17" s="305"/>
      <c r="V17" s="303" t="s">
        <v>782</v>
      </c>
      <c r="W17" s="304"/>
      <c r="X17" s="305"/>
      <c r="AB17" s="165"/>
      <c r="AC17" s="392" t="s">
        <v>234</v>
      </c>
      <c r="AD17" s="393"/>
      <c r="AE17" s="393"/>
      <c r="AF17" s="394"/>
      <c r="AG17" s="398" t="s">
        <v>262</v>
      </c>
      <c r="AH17" s="399"/>
      <c r="AI17" s="399"/>
      <c r="AJ17" s="400"/>
      <c r="AK17" s="401">
        <v>10.199999999999999</v>
      </c>
      <c r="AL17" s="402"/>
      <c r="AM17" s="403"/>
      <c r="AN17" s="401">
        <v>10.199999999999999</v>
      </c>
      <c r="AO17" s="402"/>
      <c r="AP17" s="403"/>
      <c r="AQ17" s="401">
        <v>10.199999999999999</v>
      </c>
      <c r="AR17" s="402"/>
      <c r="AS17" s="403"/>
      <c r="AT17" s="404">
        <v>10.199999999999999</v>
      </c>
      <c r="AU17" s="402"/>
      <c r="AV17" s="405"/>
      <c r="AW17" s="401"/>
      <c r="AX17" s="402"/>
      <c r="AY17" s="403"/>
      <c r="AZ17" s="404"/>
      <c r="BA17" s="402"/>
      <c r="BB17" s="403"/>
      <c r="BE17" s="187">
        <v>15</v>
      </c>
      <c r="BF17" s="317" t="s">
        <v>382</v>
      </c>
      <c r="BG17" s="317"/>
      <c r="BH17" s="317" t="s">
        <v>651</v>
      </c>
      <c r="BI17" s="317"/>
      <c r="BJ17" s="317"/>
      <c r="BK17" s="318"/>
      <c r="BL17" s="215"/>
      <c r="BM17" s="209"/>
      <c r="BN17" s="209"/>
      <c r="BO17" s="209"/>
      <c r="BP17" s="209"/>
      <c r="BQ17" s="210"/>
      <c r="BR17" s="319"/>
      <c r="BS17" s="317"/>
      <c r="BT17" s="317"/>
      <c r="BU17" s="320"/>
      <c r="BX17" s="178"/>
      <c r="BY17" s="178"/>
      <c r="BZ17" s="178"/>
      <c r="CA17" s="178"/>
      <c r="CB17" s="178"/>
      <c r="CC17" s="178"/>
      <c r="CD17" s="178"/>
      <c r="CE17" s="178"/>
      <c r="CF17" s="178"/>
      <c r="CG17" s="178"/>
      <c r="CH17" s="178"/>
    </row>
    <row r="18" spans="2:86" ht="22.5" customHeight="1">
      <c r="B18" s="335" t="s">
        <v>32</v>
      </c>
      <c r="C18" s="336"/>
      <c r="D18" s="336"/>
      <c r="E18" s="336"/>
      <c r="F18" s="337"/>
      <c r="G18" s="321">
        <v>20</v>
      </c>
      <c r="H18" s="321"/>
      <c r="I18" s="321"/>
      <c r="J18" s="321">
        <v>20</v>
      </c>
      <c r="K18" s="321"/>
      <c r="L18" s="321"/>
      <c r="M18" s="321">
        <v>20</v>
      </c>
      <c r="N18" s="321"/>
      <c r="O18" s="321"/>
      <c r="P18" s="321">
        <v>20</v>
      </c>
      <c r="Q18" s="321"/>
      <c r="R18" s="321"/>
      <c r="S18" s="321"/>
      <c r="T18" s="321"/>
      <c r="U18" s="321"/>
      <c r="V18" s="782"/>
      <c r="W18" s="782"/>
      <c r="X18" s="782"/>
      <c r="AB18" s="162"/>
      <c r="AC18" s="395"/>
      <c r="AD18" s="396"/>
      <c r="AE18" s="396"/>
      <c r="AF18" s="397"/>
      <c r="AG18" s="407" t="s">
        <v>50</v>
      </c>
      <c r="AH18" s="408"/>
      <c r="AI18" s="408"/>
      <c r="AJ18" s="409"/>
      <c r="AK18" s="410">
        <f>277/166</f>
        <v>1.6686746987951808</v>
      </c>
      <c r="AL18" s="411"/>
      <c r="AM18" s="412"/>
      <c r="AN18" s="410">
        <f>277/166</f>
        <v>1.6686746987951808</v>
      </c>
      <c r="AO18" s="411"/>
      <c r="AP18" s="412"/>
      <c r="AQ18" s="410">
        <v>1.81</v>
      </c>
      <c r="AR18" s="411"/>
      <c r="AS18" s="412"/>
      <c r="AT18" s="413">
        <v>1.23</v>
      </c>
      <c r="AU18" s="411"/>
      <c r="AV18" s="414"/>
      <c r="AW18" s="410"/>
      <c r="AX18" s="411"/>
      <c r="AY18" s="412"/>
      <c r="AZ18" s="413"/>
      <c r="BA18" s="411"/>
      <c r="BB18" s="412"/>
      <c r="BE18" s="187">
        <v>16</v>
      </c>
      <c r="BF18" s="317" t="s">
        <v>382</v>
      </c>
      <c r="BG18" s="317"/>
      <c r="BH18" s="317" t="s">
        <v>652</v>
      </c>
      <c r="BI18" s="317"/>
      <c r="BJ18" s="317"/>
      <c r="BK18" s="318"/>
      <c r="BL18" s="215"/>
      <c r="BM18" s="209"/>
      <c r="BN18" s="209"/>
      <c r="BO18" s="209"/>
      <c r="BP18" s="209"/>
      <c r="BQ18" s="210"/>
      <c r="BR18" s="319"/>
      <c r="BS18" s="317"/>
      <c r="BT18" s="317"/>
      <c r="BU18" s="320"/>
      <c r="BW18" s="181" t="s">
        <v>949</v>
      </c>
      <c r="BX18" s="179"/>
      <c r="BY18" s="179"/>
      <c r="BZ18" s="179"/>
      <c r="CA18" s="179"/>
      <c r="CB18" s="179"/>
      <c r="CC18" s="179"/>
      <c r="CD18" s="179"/>
      <c r="CE18" s="179"/>
      <c r="CF18" s="179"/>
      <c r="CG18" s="179"/>
      <c r="CH18" s="179"/>
    </row>
    <row r="19" spans="2:86" ht="22.5" customHeight="1">
      <c r="B19" s="858" t="s">
        <v>225</v>
      </c>
      <c r="C19" s="775"/>
      <c r="D19" s="775"/>
      <c r="E19" s="775"/>
      <c r="F19" s="859"/>
      <c r="G19" s="334">
        <v>600</v>
      </c>
      <c r="H19" s="334"/>
      <c r="I19" s="334"/>
      <c r="J19" s="334">
        <v>600</v>
      </c>
      <c r="K19" s="334"/>
      <c r="L19" s="334"/>
      <c r="M19" s="334">
        <v>600</v>
      </c>
      <c r="N19" s="334"/>
      <c r="O19" s="334"/>
      <c r="P19" s="334">
        <v>600</v>
      </c>
      <c r="Q19" s="334"/>
      <c r="R19" s="334"/>
      <c r="S19" s="334"/>
      <c r="T19" s="334"/>
      <c r="U19" s="334"/>
      <c r="V19" s="784"/>
      <c r="W19" s="784"/>
      <c r="X19" s="784"/>
      <c r="AB19" s="162"/>
      <c r="AC19" s="446">
        <v>10.199999999999999</v>
      </c>
      <c r="AD19" s="447"/>
      <c r="AE19" s="447"/>
      <c r="AF19" s="448"/>
      <c r="AG19" s="452" t="s">
        <v>51</v>
      </c>
      <c r="AH19" s="453"/>
      <c r="AI19" s="453"/>
      <c r="AJ19" s="454"/>
      <c r="AK19" s="421">
        <f>551/166</f>
        <v>3.3192771084337349</v>
      </c>
      <c r="AL19" s="416"/>
      <c r="AM19" s="417"/>
      <c r="AN19" s="421">
        <f>551/166</f>
        <v>3.3192771084337349</v>
      </c>
      <c r="AO19" s="416"/>
      <c r="AP19" s="417"/>
      <c r="AQ19" s="421">
        <v>1.02</v>
      </c>
      <c r="AR19" s="416"/>
      <c r="AS19" s="417"/>
      <c r="AT19" s="415">
        <v>1.35</v>
      </c>
      <c r="AU19" s="416"/>
      <c r="AV19" s="442"/>
      <c r="AW19" s="421"/>
      <c r="AX19" s="416"/>
      <c r="AY19" s="417"/>
      <c r="AZ19" s="415"/>
      <c r="BA19" s="416"/>
      <c r="BB19" s="417"/>
      <c r="BE19" s="187">
        <v>17</v>
      </c>
      <c r="BF19" s="317" t="s">
        <v>382</v>
      </c>
      <c r="BG19" s="317"/>
      <c r="BH19" s="317" t="s">
        <v>653</v>
      </c>
      <c r="BI19" s="317"/>
      <c r="BJ19" s="317"/>
      <c r="BK19" s="318"/>
      <c r="BL19" s="215"/>
      <c r="BM19" s="209"/>
      <c r="BN19" s="209"/>
      <c r="BO19" s="209"/>
      <c r="BP19" s="209"/>
      <c r="BQ19" s="210"/>
      <c r="BR19" s="319"/>
      <c r="BS19" s="317"/>
      <c r="BT19" s="317"/>
      <c r="BU19" s="320"/>
      <c r="BW19" s="285" t="b">
        <v>0</v>
      </c>
      <c r="BX19" s="178" t="s">
        <v>100</v>
      </c>
      <c r="BY19" s="178"/>
      <c r="BZ19" s="178"/>
      <c r="CA19" s="178"/>
      <c r="CB19" s="178"/>
      <c r="CC19" s="178"/>
      <c r="CD19" s="178"/>
      <c r="CE19" s="178"/>
      <c r="CF19" s="178"/>
      <c r="CG19" s="178"/>
      <c r="CH19" s="178"/>
    </row>
    <row r="20" spans="2:86" ht="22.5" customHeight="1">
      <c r="B20" s="338" t="s">
        <v>33</v>
      </c>
      <c r="C20" s="339"/>
      <c r="D20" s="339"/>
      <c r="E20" s="339"/>
      <c r="F20" s="340"/>
      <c r="G20" s="341">
        <v>1</v>
      </c>
      <c r="H20" s="341"/>
      <c r="I20" s="341"/>
      <c r="J20" s="341">
        <v>1</v>
      </c>
      <c r="K20" s="341"/>
      <c r="L20" s="341"/>
      <c r="M20" s="341">
        <v>1</v>
      </c>
      <c r="N20" s="341"/>
      <c r="O20" s="341"/>
      <c r="P20" s="341">
        <v>1</v>
      </c>
      <c r="Q20" s="341"/>
      <c r="R20" s="341"/>
      <c r="S20" s="341"/>
      <c r="T20" s="341"/>
      <c r="U20" s="341"/>
      <c r="V20" s="786"/>
      <c r="W20" s="786"/>
      <c r="X20" s="786"/>
      <c r="AB20" s="162"/>
      <c r="AC20" s="446"/>
      <c r="AD20" s="447"/>
      <c r="AE20" s="447"/>
      <c r="AF20" s="448"/>
      <c r="AG20" s="439" t="s">
        <v>232</v>
      </c>
      <c r="AH20" s="440"/>
      <c r="AI20" s="440"/>
      <c r="AJ20" s="441"/>
      <c r="AK20" s="410">
        <v>0</v>
      </c>
      <c r="AL20" s="411"/>
      <c r="AM20" s="412"/>
      <c r="AN20" s="410">
        <v>0</v>
      </c>
      <c r="AO20" s="411"/>
      <c r="AP20" s="412"/>
      <c r="AQ20" s="410">
        <v>0</v>
      </c>
      <c r="AR20" s="411"/>
      <c r="AS20" s="412"/>
      <c r="AT20" s="413">
        <v>0</v>
      </c>
      <c r="AU20" s="411"/>
      <c r="AV20" s="414"/>
      <c r="AW20" s="410"/>
      <c r="AX20" s="411"/>
      <c r="AY20" s="412"/>
      <c r="AZ20" s="413"/>
      <c r="BA20" s="411"/>
      <c r="BB20" s="412"/>
      <c r="BE20" s="187">
        <v>18</v>
      </c>
      <c r="BF20" s="317" t="s">
        <v>381</v>
      </c>
      <c r="BG20" s="317"/>
      <c r="BH20" s="317" t="s">
        <v>715</v>
      </c>
      <c r="BI20" s="317"/>
      <c r="BJ20" s="317"/>
      <c r="BK20" s="318"/>
      <c r="BL20" s="215"/>
      <c r="BM20" s="209"/>
      <c r="BN20" s="209"/>
      <c r="BO20" s="209"/>
      <c r="BP20" s="209"/>
      <c r="BQ20" s="210"/>
      <c r="BR20" s="319"/>
      <c r="BS20" s="317"/>
      <c r="BT20" s="317"/>
      <c r="BU20" s="320"/>
      <c r="BW20" s="285" t="b">
        <v>0</v>
      </c>
      <c r="BX20" s="178" t="s">
        <v>98</v>
      </c>
      <c r="BY20" s="178"/>
      <c r="BZ20" s="178"/>
      <c r="CA20" s="194"/>
      <c r="CB20" s="193"/>
      <c r="CC20" s="178"/>
      <c r="CD20" s="178"/>
      <c r="CE20" s="178"/>
      <c r="CF20" s="178"/>
      <c r="CG20" s="178"/>
      <c r="CH20" s="178"/>
    </row>
    <row r="21" spans="2:86" ht="22.5" customHeight="1" thickBot="1">
      <c r="B21" s="858" t="s">
        <v>783</v>
      </c>
      <c r="C21" s="775"/>
      <c r="D21" s="775"/>
      <c r="E21" s="775"/>
      <c r="F21" s="859"/>
      <c r="G21" s="860"/>
      <c r="H21" s="860"/>
      <c r="I21" s="860"/>
      <c r="J21" s="860"/>
      <c r="K21" s="860"/>
      <c r="L21" s="860"/>
      <c r="M21" s="860"/>
      <c r="N21" s="860"/>
      <c r="O21" s="860"/>
      <c r="P21" s="860"/>
      <c r="Q21" s="860"/>
      <c r="R21" s="860"/>
      <c r="S21" s="860"/>
      <c r="T21" s="860"/>
      <c r="U21" s="860"/>
      <c r="V21" s="786"/>
      <c r="W21" s="786"/>
      <c r="X21" s="786"/>
      <c r="AB21" s="162"/>
      <c r="AC21" s="446"/>
      <c r="AD21" s="447"/>
      <c r="AE21" s="447"/>
      <c r="AF21" s="448"/>
      <c r="AG21" s="443" t="s">
        <v>233</v>
      </c>
      <c r="AH21" s="444"/>
      <c r="AI21" s="444"/>
      <c r="AJ21" s="445"/>
      <c r="AK21" s="421">
        <v>0</v>
      </c>
      <c r="AL21" s="416"/>
      <c r="AM21" s="417"/>
      <c r="AN21" s="421">
        <v>0</v>
      </c>
      <c r="AO21" s="416"/>
      <c r="AP21" s="417"/>
      <c r="AQ21" s="421">
        <v>0</v>
      </c>
      <c r="AR21" s="416"/>
      <c r="AS21" s="417"/>
      <c r="AT21" s="415">
        <v>0</v>
      </c>
      <c r="AU21" s="416"/>
      <c r="AV21" s="442"/>
      <c r="AW21" s="421"/>
      <c r="AX21" s="416"/>
      <c r="AY21" s="417"/>
      <c r="AZ21" s="415"/>
      <c r="BA21" s="416"/>
      <c r="BB21" s="417"/>
      <c r="BE21" s="187">
        <v>19</v>
      </c>
      <c r="BF21" s="317" t="s">
        <v>381</v>
      </c>
      <c r="BG21" s="317"/>
      <c r="BH21" s="317" t="s">
        <v>716</v>
      </c>
      <c r="BI21" s="317"/>
      <c r="BJ21" s="317"/>
      <c r="BK21" s="318"/>
      <c r="BL21" s="215"/>
      <c r="BM21" s="209"/>
      <c r="BN21" s="209"/>
      <c r="BO21" s="209"/>
      <c r="BP21" s="209"/>
      <c r="BQ21" s="210"/>
      <c r="BR21" s="319"/>
      <c r="BS21" s="317"/>
      <c r="BT21" s="317"/>
      <c r="BU21" s="320"/>
      <c r="BW21" s="285" t="b">
        <v>0</v>
      </c>
      <c r="BX21" s="178" t="s">
        <v>99</v>
      </c>
      <c r="BY21" s="178"/>
      <c r="BZ21" s="178"/>
      <c r="CA21" s="194"/>
      <c r="CB21" s="193"/>
      <c r="CC21" s="178"/>
      <c r="CD21" s="178"/>
      <c r="CE21" s="178"/>
      <c r="CF21" s="178"/>
      <c r="CG21" s="178"/>
      <c r="CH21" s="178"/>
    </row>
    <row r="22" spans="2:86" ht="22.5" customHeight="1" thickTop="1">
      <c r="B22" s="338" t="s">
        <v>784</v>
      </c>
      <c r="C22" s="339"/>
      <c r="D22" s="339"/>
      <c r="E22" s="339"/>
      <c r="F22" s="340"/>
      <c r="G22" s="341"/>
      <c r="H22" s="341"/>
      <c r="I22" s="341"/>
      <c r="J22" s="341"/>
      <c r="K22" s="341"/>
      <c r="L22" s="341"/>
      <c r="M22" s="341"/>
      <c r="N22" s="341"/>
      <c r="O22" s="341"/>
      <c r="P22" s="341"/>
      <c r="Q22" s="341"/>
      <c r="R22" s="341"/>
      <c r="S22" s="341"/>
      <c r="T22" s="341"/>
      <c r="U22" s="341"/>
      <c r="V22" s="786"/>
      <c r="W22" s="786"/>
      <c r="X22" s="786"/>
      <c r="AB22" s="162"/>
      <c r="AC22" s="449"/>
      <c r="AD22" s="450"/>
      <c r="AE22" s="450"/>
      <c r="AF22" s="451"/>
      <c r="AG22" s="418" t="s">
        <v>235</v>
      </c>
      <c r="AH22" s="419"/>
      <c r="AI22" s="419"/>
      <c r="AJ22" s="420"/>
      <c r="AK22" s="462">
        <f>IFERROR((AK20+AK21)/AK17,"")</f>
        <v>0</v>
      </c>
      <c r="AL22" s="463"/>
      <c r="AM22" s="464"/>
      <c r="AN22" s="462">
        <f>IFERROR((AN20+AN21)/AN17,"")</f>
        <v>0</v>
      </c>
      <c r="AO22" s="463"/>
      <c r="AP22" s="464"/>
      <c r="AQ22" s="462">
        <f>IFERROR((AQ20+AQ21)/AQ17,"")</f>
        <v>0</v>
      </c>
      <c r="AR22" s="463"/>
      <c r="AS22" s="464"/>
      <c r="AT22" s="462">
        <f>IFERROR((AT20+AT21)/AT17,"")</f>
        <v>0</v>
      </c>
      <c r="AU22" s="463"/>
      <c r="AV22" s="464"/>
      <c r="AW22" s="462" t="str">
        <f>IFERROR((AW20+AW21)/AW17,"")</f>
        <v/>
      </c>
      <c r="AX22" s="463"/>
      <c r="AY22" s="464"/>
      <c r="AZ22" s="462" t="str">
        <f>IFERROR((AZ20+AZ21)/AZ17,"")</f>
        <v/>
      </c>
      <c r="BA22" s="463"/>
      <c r="BB22" s="464"/>
      <c r="BE22" s="187">
        <v>20</v>
      </c>
      <c r="BF22" s="317" t="s">
        <v>269</v>
      </c>
      <c r="BG22" s="317"/>
      <c r="BH22" s="317" t="s">
        <v>655</v>
      </c>
      <c r="BI22" s="317"/>
      <c r="BJ22" s="317"/>
      <c r="BK22" s="318"/>
      <c r="BL22" s="215"/>
      <c r="BM22" s="209"/>
      <c r="BN22" s="209"/>
      <c r="BO22" s="209"/>
      <c r="BP22" s="209"/>
      <c r="BQ22" s="210"/>
      <c r="BR22" s="319"/>
      <c r="BS22" s="317"/>
      <c r="BT22" s="317"/>
      <c r="BU22" s="320"/>
      <c r="BW22" s="285" t="b">
        <v>0</v>
      </c>
      <c r="BX22" s="192" t="s">
        <v>95</v>
      </c>
      <c r="BY22" s="178"/>
      <c r="BZ22" s="178"/>
      <c r="CA22" s="194"/>
      <c r="CB22" s="193"/>
      <c r="CC22" s="178"/>
      <c r="CD22" s="178"/>
      <c r="CE22" s="178"/>
      <c r="CF22" s="178"/>
      <c r="CG22" s="178"/>
      <c r="CH22" s="178"/>
    </row>
    <row r="23" spans="2:86" ht="22.5" customHeight="1">
      <c r="B23" s="735" t="s">
        <v>224</v>
      </c>
      <c r="C23" s="736"/>
      <c r="D23" s="736"/>
      <c r="E23" s="736"/>
      <c r="F23" s="737"/>
      <c r="G23" s="860">
        <v>32</v>
      </c>
      <c r="H23" s="860"/>
      <c r="I23" s="860"/>
      <c r="J23" s="860">
        <v>37</v>
      </c>
      <c r="K23" s="860"/>
      <c r="L23" s="860"/>
      <c r="M23" s="860">
        <v>37</v>
      </c>
      <c r="N23" s="860"/>
      <c r="O23" s="860"/>
      <c r="P23" s="860">
        <v>36</v>
      </c>
      <c r="Q23" s="860"/>
      <c r="R23" s="860"/>
      <c r="S23" s="860"/>
      <c r="T23" s="860"/>
      <c r="U23" s="860"/>
      <c r="V23" s="782" t="str">
        <f ca="1">IFERROR(INDEX(INDIRECT("'"&amp;#REF!&amp;"'!L:L"),MATCH($D$1,INDIRECT("'"&amp;#REF!&amp;"'!A:A"),0)),"")</f>
        <v/>
      </c>
      <c r="W23" s="782"/>
      <c r="X23" s="782"/>
      <c r="AB23" s="162"/>
      <c r="BE23" s="187">
        <v>21</v>
      </c>
      <c r="BF23" s="317"/>
      <c r="BG23" s="317"/>
      <c r="BH23" s="317"/>
      <c r="BI23" s="317"/>
      <c r="BJ23" s="317"/>
      <c r="BK23" s="318"/>
      <c r="BL23" s="215"/>
      <c r="BM23" s="209"/>
      <c r="BN23" s="209"/>
      <c r="BO23" s="209"/>
      <c r="BP23" s="209"/>
      <c r="BQ23" s="210"/>
      <c r="BR23" s="319"/>
      <c r="BS23" s="317"/>
      <c r="BT23" s="317"/>
      <c r="BU23" s="320"/>
      <c r="BW23" s="285" t="b">
        <v>0</v>
      </c>
      <c r="BX23" s="192" t="s">
        <v>94</v>
      </c>
      <c r="BY23" s="178"/>
      <c r="BZ23" s="178"/>
      <c r="CA23" s="194"/>
      <c r="CB23" s="193"/>
      <c r="CC23" s="178"/>
      <c r="CD23" s="178"/>
      <c r="CE23" s="178"/>
      <c r="CF23" s="178"/>
      <c r="CG23" s="178"/>
      <c r="CH23" s="178"/>
    </row>
    <row r="24" spans="2:86" ht="22.5" customHeight="1">
      <c r="B24" s="338" t="s">
        <v>34</v>
      </c>
      <c r="C24" s="339"/>
      <c r="D24" s="339"/>
      <c r="E24" s="339"/>
      <c r="F24" s="340"/>
      <c r="G24" s="341">
        <f>G23/30</f>
        <v>1.0666666666666667</v>
      </c>
      <c r="H24" s="341"/>
      <c r="I24" s="341"/>
      <c r="J24" s="341">
        <f>J23/30</f>
        <v>1.2333333333333334</v>
      </c>
      <c r="K24" s="341"/>
      <c r="L24" s="341"/>
      <c r="M24" s="341">
        <f>M23/30</f>
        <v>1.2333333333333334</v>
      </c>
      <c r="N24" s="341"/>
      <c r="O24" s="341"/>
      <c r="P24" s="341">
        <f>P23/30</f>
        <v>1.2</v>
      </c>
      <c r="Q24" s="341"/>
      <c r="R24" s="341"/>
      <c r="S24" s="341"/>
      <c r="T24" s="341"/>
      <c r="U24" s="341"/>
      <c r="V24" s="786"/>
      <c r="W24" s="786"/>
      <c r="X24" s="786"/>
      <c r="AC24" s="182" t="s">
        <v>240</v>
      </c>
      <c r="AD24" s="182"/>
      <c r="AE24" s="182"/>
      <c r="AF24" s="182"/>
      <c r="AG24" s="182"/>
      <c r="AH24" s="182"/>
      <c r="AI24" s="183"/>
      <c r="AJ24" s="183"/>
      <c r="AK24" s="183"/>
      <c r="AL24" s="183"/>
      <c r="AM24" s="183"/>
      <c r="AN24" s="183"/>
      <c r="AO24" s="184"/>
      <c r="AP24" s="184"/>
      <c r="AQ24" s="184"/>
      <c r="AR24" s="184"/>
      <c r="AS24" s="185"/>
      <c r="AT24" s="185"/>
      <c r="AU24" s="185"/>
      <c r="AV24" s="185"/>
      <c r="AW24" s="186"/>
      <c r="AX24" s="186"/>
      <c r="AY24" s="186"/>
      <c r="AZ24" s="186"/>
      <c r="BA24" s="179"/>
      <c r="BB24" s="179"/>
      <c r="BE24" s="187">
        <v>22</v>
      </c>
      <c r="BF24" s="317"/>
      <c r="BG24" s="317"/>
      <c r="BH24" s="317"/>
      <c r="BI24" s="317"/>
      <c r="BJ24" s="317"/>
      <c r="BK24" s="318"/>
      <c r="BL24" s="215"/>
      <c r="BM24" s="209"/>
      <c r="BN24" s="209"/>
      <c r="BO24" s="209"/>
      <c r="BP24" s="209"/>
      <c r="BQ24" s="210"/>
      <c r="BR24" s="319"/>
      <c r="BS24" s="317"/>
      <c r="BT24" s="317"/>
      <c r="BU24" s="320"/>
      <c r="BW24" s="285" t="b">
        <v>0</v>
      </c>
      <c r="BX24" s="192" t="s">
        <v>93</v>
      </c>
      <c r="BY24" s="178"/>
      <c r="BZ24" s="178"/>
      <c r="CA24" s="194"/>
      <c r="CB24" s="193"/>
      <c r="CC24" s="178"/>
      <c r="CD24" s="178"/>
      <c r="CE24" s="178"/>
      <c r="CF24" s="178"/>
      <c r="CG24" s="178"/>
      <c r="CH24" s="178"/>
    </row>
    <row r="25" spans="2:86" ht="22.5" customHeight="1">
      <c r="B25" s="779"/>
      <c r="C25" s="779"/>
      <c r="D25" s="779"/>
      <c r="E25" s="779"/>
      <c r="F25" s="779"/>
      <c r="G25" s="780"/>
      <c r="H25" s="780"/>
      <c r="I25" s="780"/>
      <c r="J25" s="780"/>
      <c r="K25" s="780"/>
      <c r="L25" s="780"/>
      <c r="M25" s="780"/>
      <c r="N25" s="780"/>
      <c r="O25" s="780"/>
      <c r="P25" s="780"/>
      <c r="Q25" s="780"/>
      <c r="R25" s="780"/>
      <c r="S25" s="780"/>
      <c r="T25" s="780"/>
      <c r="U25" s="780"/>
      <c r="V25" s="713"/>
      <c r="W25" s="713"/>
      <c r="X25" s="713"/>
      <c r="AB25" s="167"/>
      <c r="AC25" s="473"/>
      <c r="AD25" s="474"/>
      <c r="AE25" s="377" t="s">
        <v>254</v>
      </c>
      <c r="AF25" s="378"/>
      <c r="AG25" s="378"/>
      <c r="AH25" s="379"/>
      <c r="AI25" s="380" t="s">
        <v>255</v>
      </c>
      <c r="AJ25" s="378"/>
      <c r="AK25" s="378"/>
      <c r="AL25" s="381"/>
      <c r="AM25" s="377" t="s">
        <v>58</v>
      </c>
      <c r="AN25" s="378"/>
      <c r="AO25" s="378"/>
      <c r="AP25" s="379"/>
      <c r="AQ25" s="380" t="s">
        <v>14</v>
      </c>
      <c r="AR25" s="378"/>
      <c r="AS25" s="378"/>
      <c r="AT25" s="381"/>
      <c r="AU25" s="377" t="s">
        <v>22</v>
      </c>
      <c r="AV25" s="378"/>
      <c r="AW25" s="378"/>
      <c r="AX25" s="379"/>
      <c r="AY25" s="380" t="s">
        <v>1</v>
      </c>
      <c r="AZ25" s="378"/>
      <c r="BA25" s="378"/>
      <c r="BB25" s="379"/>
      <c r="BE25" s="187">
        <v>23</v>
      </c>
      <c r="BF25" s="317"/>
      <c r="BG25" s="317"/>
      <c r="BH25" s="317"/>
      <c r="BI25" s="317"/>
      <c r="BJ25" s="317"/>
      <c r="BK25" s="318"/>
      <c r="BL25" s="215"/>
      <c r="BM25" s="209"/>
      <c r="BN25" s="209"/>
      <c r="BO25" s="209"/>
      <c r="BP25" s="209"/>
      <c r="BQ25" s="210"/>
      <c r="BR25" s="319"/>
      <c r="BS25" s="317"/>
      <c r="BT25" s="317"/>
      <c r="BU25" s="320"/>
      <c r="BW25" s="285" t="b">
        <v>0</v>
      </c>
      <c r="BX25" s="192" t="s">
        <v>92</v>
      </c>
      <c r="BY25" s="178"/>
      <c r="BZ25" s="178"/>
      <c r="CA25" s="194"/>
      <c r="CB25" s="193"/>
      <c r="CC25" s="178"/>
      <c r="CD25" s="178"/>
      <c r="CE25" s="178"/>
      <c r="CF25" s="178"/>
      <c r="CG25" s="178"/>
      <c r="CH25" s="178"/>
    </row>
    <row r="26" spans="2:86" ht="22.5" customHeight="1">
      <c r="B26" s="374" t="s">
        <v>787</v>
      </c>
      <c r="C26" s="375"/>
      <c r="D26" s="375"/>
      <c r="E26" s="375"/>
      <c r="F26" s="375"/>
      <c r="G26" s="375"/>
      <c r="H26" s="375"/>
      <c r="I26" s="376"/>
      <c r="J26" s="377" t="s">
        <v>254</v>
      </c>
      <c r="K26" s="378"/>
      <c r="L26" s="379"/>
      <c r="M26" s="380" t="s">
        <v>27</v>
      </c>
      <c r="N26" s="378"/>
      <c r="O26" s="381"/>
      <c r="P26" s="377" t="s">
        <v>226</v>
      </c>
      <c r="Q26" s="378"/>
      <c r="R26" s="379"/>
      <c r="S26" s="380" t="s">
        <v>14</v>
      </c>
      <c r="T26" s="378"/>
      <c r="U26" s="381"/>
      <c r="V26" s="377" t="s">
        <v>22</v>
      </c>
      <c r="W26" s="378"/>
      <c r="X26" s="379"/>
      <c r="Y26" s="380" t="s">
        <v>1</v>
      </c>
      <c r="Z26" s="378"/>
      <c r="AA26" s="379"/>
      <c r="AB26" s="167"/>
      <c r="AC26" s="475"/>
      <c r="AD26" s="476"/>
      <c r="AE26" s="458" t="s">
        <v>120</v>
      </c>
      <c r="AF26" s="459"/>
      <c r="AG26" s="459" t="s">
        <v>121</v>
      </c>
      <c r="AH26" s="460"/>
      <c r="AI26" s="470" t="s">
        <v>120</v>
      </c>
      <c r="AJ26" s="459"/>
      <c r="AK26" s="459" t="s">
        <v>121</v>
      </c>
      <c r="AL26" s="471"/>
      <c r="AM26" s="458" t="s">
        <v>120</v>
      </c>
      <c r="AN26" s="459"/>
      <c r="AO26" s="459" t="s">
        <v>121</v>
      </c>
      <c r="AP26" s="460"/>
      <c r="AQ26" s="470" t="s">
        <v>120</v>
      </c>
      <c r="AR26" s="459"/>
      <c r="AS26" s="459" t="s">
        <v>121</v>
      </c>
      <c r="AT26" s="471"/>
      <c r="AU26" s="458" t="s">
        <v>120</v>
      </c>
      <c r="AV26" s="459"/>
      <c r="AW26" s="459" t="s">
        <v>121</v>
      </c>
      <c r="AX26" s="460"/>
      <c r="AY26" s="470" t="s">
        <v>120</v>
      </c>
      <c r="AZ26" s="459"/>
      <c r="BA26" s="459" t="s">
        <v>121</v>
      </c>
      <c r="BB26" s="460"/>
      <c r="BE26" s="187">
        <v>24</v>
      </c>
      <c r="BF26" s="317"/>
      <c r="BG26" s="317"/>
      <c r="BH26" s="317"/>
      <c r="BI26" s="317"/>
      <c r="BJ26" s="317"/>
      <c r="BK26" s="318"/>
      <c r="BL26" s="215"/>
      <c r="BM26" s="209"/>
      <c r="BN26" s="209"/>
      <c r="BO26" s="209"/>
      <c r="BP26" s="209"/>
      <c r="BQ26" s="210"/>
      <c r="BR26" s="319"/>
      <c r="BS26" s="317"/>
      <c r="BT26" s="317"/>
      <c r="BU26" s="320"/>
      <c r="BW26" s="285" t="b">
        <v>0</v>
      </c>
      <c r="BX26" s="192" t="s">
        <v>91</v>
      </c>
      <c r="BY26" s="178"/>
      <c r="BZ26" s="178"/>
      <c r="CA26" s="194"/>
      <c r="CB26" s="193"/>
      <c r="CC26" s="178"/>
      <c r="CD26" s="178"/>
      <c r="CE26" s="178"/>
      <c r="CF26" s="178"/>
      <c r="CG26" s="178"/>
      <c r="CH26" s="178"/>
    </row>
    <row r="27" spans="2:86" ht="22.5" customHeight="1">
      <c r="B27" s="819" t="s">
        <v>790</v>
      </c>
      <c r="C27" s="820"/>
      <c r="D27" s="820"/>
      <c r="E27" s="821"/>
      <c r="F27" s="808" t="s">
        <v>117</v>
      </c>
      <c r="G27" s="809"/>
      <c r="H27" s="809"/>
      <c r="I27" s="810"/>
      <c r="J27" s="798">
        <v>248</v>
      </c>
      <c r="K27" s="799"/>
      <c r="L27" s="800"/>
      <c r="M27" s="801">
        <v>250</v>
      </c>
      <c r="N27" s="802"/>
      <c r="O27" s="803"/>
      <c r="P27" s="801">
        <v>322</v>
      </c>
      <c r="Q27" s="802"/>
      <c r="R27" s="803"/>
      <c r="S27" s="804">
        <v>189</v>
      </c>
      <c r="T27" s="790"/>
      <c r="U27" s="805"/>
      <c r="V27" s="789"/>
      <c r="W27" s="790"/>
      <c r="X27" s="791"/>
      <c r="Y27" s="804"/>
      <c r="Z27" s="790"/>
      <c r="AA27" s="791"/>
      <c r="AB27" s="167"/>
      <c r="AC27" s="324" t="s">
        <v>117</v>
      </c>
      <c r="AD27" s="467"/>
      <c r="AE27" s="468">
        <v>16</v>
      </c>
      <c r="AF27" s="469"/>
      <c r="AG27" s="469">
        <v>0</v>
      </c>
      <c r="AH27" s="489"/>
      <c r="AI27" s="482">
        <v>20</v>
      </c>
      <c r="AJ27" s="469"/>
      <c r="AK27" s="469"/>
      <c r="AL27" s="488"/>
      <c r="AM27" s="468">
        <v>27</v>
      </c>
      <c r="AN27" s="469"/>
      <c r="AO27" s="469"/>
      <c r="AP27" s="489"/>
      <c r="AQ27" s="482"/>
      <c r="AR27" s="469"/>
      <c r="AS27" s="469"/>
      <c r="AT27" s="488"/>
      <c r="AU27" s="468"/>
      <c r="AV27" s="469"/>
      <c r="AW27" s="469"/>
      <c r="AX27" s="489"/>
      <c r="AY27" s="482"/>
      <c r="AZ27" s="469"/>
      <c r="BA27" s="469"/>
      <c r="BB27" s="489"/>
      <c r="BE27" s="187">
        <v>25</v>
      </c>
      <c r="BF27" s="317"/>
      <c r="BG27" s="317"/>
      <c r="BH27" s="317"/>
      <c r="BI27" s="317"/>
      <c r="BJ27" s="317"/>
      <c r="BK27" s="318"/>
      <c r="BL27" s="215"/>
      <c r="BM27" s="209"/>
      <c r="BN27" s="209"/>
      <c r="BO27" s="209"/>
      <c r="BP27" s="209"/>
      <c r="BQ27" s="210"/>
      <c r="BR27" s="319"/>
      <c r="BS27" s="317"/>
      <c r="BT27" s="317"/>
      <c r="BU27" s="320"/>
      <c r="BW27" s="285" t="b">
        <v>0</v>
      </c>
      <c r="BX27" s="178" t="s">
        <v>90</v>
      </c>
      <c r="BY27" s="178"/>
      <c r="BZ27" s="178"/>
      <c r="CA27" s="194"/>
      <c r="CB27" s="193"/>
      <c r="CC27" s="178"/>
      <c r="CD27" s="178"/>
      <c r="CE27" s="178"/>
      <c r="CF27" s="178"/>
      <c r="CG27" s="178"/>
      <c r="CH27" s="178"/>
    </row>
    <row r="28" spans="2:86" ht="22.5" customHeight="1">
      <c r="B28" s="822"/>
      <c r="C28" s="823"/>
      <c r="D28" s="823"/>
      <c r="E28" s="824"/>
      <c r="F28" s="808" t="s">
        <v>118</v>
      </c>
      <c r="G28" s="809"/>
      <c r="H28" s="809"/>
      <c r="I28" s="810"/>
      <c r="J28" s="801">
        <v>582</v>
      </c>
      <c r="K28" s="802"/>
      <c r="L28" s="803"/>
      <c r="M28" s="801">
        <v>298</v>
      </c>
      <c r="N28" s="802"/>
      <c r="O28" s="803"/>
      <c r="P28" s="801">
        <v>439</v>
      </c>
      <c r="Q28" s="802"/>
      <c r="R28" s="803"/>
      <c r="S28" s="806">
        <v>448</v>
      </c>
      <c r="T28" s="793"/>
      <c r="U28" s="807"/>
      <c r="V28" s="792"/>
      <c r="W28" s="793"/>
      <c r="X28" s="794"/>
      <c r="Y28" s="806"/>
      <c r="Z28" s="793"/>
      <c r="AA28" s="794"/>
      <c r="AC28" s="486" t="s">
        <v>118</v>
      </c>
      <c r="AD28" s="487"/>
      <c r="AE28" s="427">
        <v>13</v>
      </c>
      <c r="AF28" s="426"/>
      <c r="AG28" s="426">
        <v>1</v>
      </c>
      <c r="AH28" s="428"/>
      <c r="AI28" s="423">
        <v>17</v>
      </c>
      <c r="AJ28" s="426"/>
      <c r="AK28" s="426"/>
      <c r="AL28" s="424"/>
      <c r="AM28" s="427">
        <v>23</v>
      </c>
      <c r="AN28" s="426"/>
      <c r="AO28" s="426"/>
      <c r="AP28" s="428"/>
      <c r="AQ28" s="423"/>
      <c r="AR28" s="426"/>
      <c r="AS28" s="426"/>
      <c r="AT28" s="424"/>
      <c r="AU28" s="427"/>
      <c r="AV28" s="426"/>
      <c r="AW28" s="426"/>
      <c r="AX28" s="428"/>
      <c r="AY28" s="423"/>
      <c r="AZ28" s="426"/>
      <c r="BA28" s="426"/>
      <c r="BB28" s="428"/>
      <c r="BE28" s="187">
        <v>26</v>
      </c>
      <c r="BF28" s="317"/>
      <c r="BG28" s="317"/>
      <c r="BH28" s="317"/>
      <c r="BI28" s="317"/>
      <c r="BJ28" s="317"/>
      <c r="BK28" s="318"/>
      <c r="BL28" s="215"/>
      <c r="BM28" s="209"/>
      <c r="BN28" s="209"/>
      <c r="BO28" s="209"/>
      <c r="BP28" s="209"/>
      <c r="BQ28" s="210"/>
      <c r="BR28" s="319"/>
      <c r="BS28" s="317"/>
      <c r="BT28" s="317"/>
      <c r="BU28" s="320"/>
      <c r="BW28" s="285" t="b">
        <v>0</v>
      </c>
      <c r="BX28" s="192" t="s">
        <v>101</v>
      </c>
      <c r="BY28" s="178"/>
      <c r="BZ28" s="178"/>
      <c r="CA28" s="194"/>
      <c r="CB28" s="193"/>
      <c r="CC28" s="178"/>
      <c r="CD28" s="178"/>
      <c r="CE28" s="178"/>
      <c r="CF28" s="178"/>
      <c r="CG28" s="178"/>
      <c r="CH28" s="178"/>
    </row>
    <row r="29" spans="2:86" ht="22.5" customHeight="1" thickBot="1">
      <c r="B29" s="825"/>
      <c r="C29" s="826"/>
      <c r="D29" s="826"/>
      <c r="E29" s="827"/>
      <c r="F29" s="811" t="s">
        <v>789</v>
      </c>
      <c r="G29" s="812"/>
      <c r="H29" s="812"/>
      <c r="I29" s="813"/>
      <c r="J29" s="795">
        <v>830</v>
      </c>
      <c r="K29" s="796"/>
      <c r="L29" s="797"/>
      <c r="M29" s="795">
        <v>548</v>
      </c>
      <c r="N29" s="796"/>
      <c r="O29" s="797"/>
      <c r="P29" s="795">
        <v>761</v>
      </c>
      <c r="Q29" s="796"/>
      <c r="R29" s="797"/>
      <c r="S29" s="814">
        <v>637</v>
      </c>
      <c r="T29" s="796"/>
      <c r="U29" s="830"/>
      <c r="V29" s="795"/>
      <c r="W29" s="796"/>
      <c r="X29" s="797"/>
      <c r="Y29" s="814"/>
      <c r="Z29" s="796"/>
      <c r="AA29" s="797"/>
      <c r="AC29" s="508" t="s">
        <v>119</v>
      </c>
      <c r="AD29" s="509"/>
      <c r="AE29" s="507">
        <v>12</v>
      </c>
      <c r="AF29" s="499"/>
      <c r="AG29" s="499">
        <v>0</v>
      </c>
      <c r="AH29" s="500"/>
      <c r="AI29" s="505">
        <v>0</v>
      </c>
      <c r="AJ29" s="499"/>
      <c r="AK29" s="499"/>
      <c r="AL29" s="506"/>
      <c r="AM29" s="507">
        <v>0</v>
      </c>
      <c r="AN29" s="499"/>
      <c r="AO29" s="499"/>
      <c r="AP29" s="500"/>
      <c r="AQ29" s="505"/>
      <c r="AR29" s="499"/>
      <c r="AS29" s="499"/>
      <c r="AT29" s="506"/>
      <c r="AU29" s="507"/>
      <c r="AV29" s="499"/>
      <c r="AW29" s="499"/>
      <c r="AX29" s="500"/>
      <c r="AY29" s="505"/>
      <c r="AZ29" s="499"/>
      <c r="BA29" s="499"/>
      <c r="BB29" s="500"/>
      <c r="BE29" s="187">
        <v>27</v>
      </c>
      <c r="BF29" s="317"/>
      <c r="BG29" s="317"/>
      <c r="BH29" s="317"/>
      <c r="BI29" s="317"/>
      <c r="BJ29" s="317"/>
      <c r="BK29" s="318"/>
      <c r="BL29" s="215"/>
      <c r="BM29" s="209"/>
      <c r="BN29" s="209"/>
      <c r="BO29" s="209"/>
      <c r="BP29" s="209"/>
      <c r="BQ29" s="210"/>
      <c r="BR29" s="319"/>
      <c r="BS29" s="317"/>
      <c r="BT29" s="317"/>
      <c r="BU29" s="320"/>
      <c r="BW29" s="285" t="b">
        <v>0</v>
      </c>
      <c r="BX29" s="192" t="s">
        <v>83</v>
      </c>
      <c r="BY29" s="178"/>
      <c r="BZ29" s="178"/>
      <c r="CA29" s="178"/>
      <c r="CB29" s="178"/>
      <c r="CC29" s="178"/>
      <c r="CD29" s="178"/>
      <c r="CE29" s="178"/>
      <c r="CF29" s="178"/>
      <c r="CG29" s="178"/>
      <c r="CH29" s="178"/>
    </row>
    <row r="30" spans="2:86" ht="22.5" customHeight="1" thickTop="1" thickBot="1">
      <c r="B30" s="818" t="s">
        <v>788</v>
      </c>
      <c r="C30" s="818"/>
      <c r="D30" s="818"/>
      <c r="E30" s="818"/>
      <c r="F30" s="439" t="s">
        <v>785</v>
      </c>
      <c r="G30" s="440"/>
      <c r="H30" s="440"/>
      <c r="I30" s="441"/>
      <c r="J30" s="792">
        <v>0</v>
      </c>
      <c r="K30" s="793"/>
      <c r="L30" s="794"/>
      <c r="M30" s="806">
        <v>0</v>
      </c>
      <c r="N30" s="793"/>
      <c r="O30" s="807"/>
      <c r="P30" s="792">
        <v>0</v>
      </c>
      <c r="Q30" s="793"/>
      <c r="R30" s="794"/>
      <c r="S30" s="806">
        <v>0</v>
      </c>
      <c r="T30" s="793"/>
      <c r="U30" s="807"/>
      <c r="V30" s="792"/>
      <c r="W30" s="793"/>
      <c r="X30" s="794"/>
      <c r="Y30" s="806"/>
      <c r="Z30" s="793"/>
      <c r="AA30" s="794"/>
      <c r="AC30" s="501" t="s">
        <v>108</v>
      </c>
      <c r="AD30" s="502"/>
      <c r="AE30" s="497">
        <f>IF(SUM(AE27:AE29)=0,"",SUM(AE27:AE29))</f>
        <v>41</v>
      </c>
      <c r="AF30" s="495"/>
      <c r="AG30" s="495">
        <f>IF(SUM(AG27:AG29)=0,"",SUM(AG27:AG29))</f>
        <v>1</v>
      </c>
      <c r="AH30" s="498"/>
      <c r="AI30" s="497">
        <f>IF(SUM(AI27:AI29)=0,"",SUM(AI27:AI29))</f>
        <v>37</v>
      </c>
      <c r="AJ30" s="495"/>
      <c r="AK30" s="495" t="str">
        <f>IF(SUM(AK27:AK29)=0,"",SUM(AK27:AK29))</f>
        <v/>
      </c>
      <c r="AL30" s="498"/>
      <c r="AM30" s="497">
        <f>IF(SUM(AM27:AM29)=0,"",SUM(AM27:AM29))</f>
        <v>50</v>
      </c>
      <c r="AN30" s="495"/>
      <c r="AO30" s="495" t="str">
        <f>IF(SUM(AO27:AO29)=0,"",SUM(AO27:AO29))</f>
        <v/>
      </c>
      <c r="AP30" s="498"/>
      <c r="AQ30" s="494" t="str">
        <f>IF(SUM(AQ27:AQ29)=0,"",SUM(AQ27:AQ29))</f>
        <v/>
      </c>
      <c r="AR30" s="495"/>
      <c r="AS30" s="495" t="str">
        <f>IF(SUM(AS27:AS29)=0,"",SUM(AS27:AS29))</f>
        <v/>
      </c>
      <c r="AT30" s="496"/>
      <c r="AU30" s="497" t="str">
        <f>IF(SUM(AU27:AU29)=0,"",SUM(AU27:AU29))</f>
        <v/>
      </c>
      <c r="AV30" s="495"/>
      <c r="AW30" s="495" t="str">
        <f>IF(SUM(AW27:AW29)=0,"",SUM(AW27:AW29))</f>
        <v/>
      </c>
      <c r="AX30" s="498"/>
      <c r="AY30" s="494" t="str">
        <f>IF(SUM(AY27:AY29)=0,"",SUM(AY27:AY29))</f>
        <v/>
      </c>
      <c r="AZ30" s="495"/>
      <c r="BA30" s="495" t="str">
        <f>IF(SUM(BA27:BA29)=0,"",SUM(BA27:BA29))</f>
        <v/>
      </c>
      <c r="BB30" s="498"/>
      <c r="BE30" s="187">
        <v>28</v>
      </c>
      <c r="BF30" s="317"/>
      <c r="BG30" s="317"/>
      <c r="BH30" s="317"/>
      <c r="BI30" s="317"/>
      <c r="BJ30" s="317"/>
      <c r="BK30" s="318"/>
      <c r="BL30" s="215"/>
      <c r="BM30" s="209"/>
      <c r="BN30" s="209"/>
      <c r="BO30" s="209"/>
      <c r="BP30" s="209"/>
      <c r="BQ30" s="210"/>
      <c r="BR30" s="319"/>
      <c r="BS30" s="317"/>
      <c r="BT30" s="317"/>
      <c r="BU30" s="320"/>
      <c r="BW30" s="285" t="b">
        <v>0</v>
      </c>
      <c r="BX30" s="192" t="s">
        <v>84</v>
      </c>
      <c r="BY30" s="195"/>
      <c r="BZ30" s="196"/>
      <c r="CA30" s="196"/>
      <c r="CB30" s="196"/>
      <c r="CC30" s="196"/>
      <c r="CD30" s="196"/>
      <c r="CE30" s="196"/>
      <c r="CF30" s="196"/>
      <c r="CG30" s="196"/>
      <c r="CH30" s="178"/>
    </row>
    <row r="31" spans="2:86" ht="22.5" customHeight="1" thickBot="1">
      <c r="B31" s="818"/>
      <c r="C31" s="818"/>
      <c r="D31" s="818"/>
      <c r="E31" s="818"/>
      <c r="F31" s="443" t="s">
        <v>786</v>
      </c>
      <c r="G31" s="444"/>
      <c r="H31" s="444"/>
      <c r="I31" s="445"/>
      <c r="J31" s="828">
        <v>0</v>
      </c>
      <c r="K31" s="816"/>
      <c r="L31" s="817"/>
      <c r="M31" s="815">
        <v>0</v>
      </c>
      <c r="N31" s="816"/>
      <c r="O31" s="829"/>
      <c r="P31" s="828">
        <v>0</v>
      </c>
      <c r="Q31" s="816"/>
      <c r="R31" s="817"/>
      <c r="S31" s="815">
        <v>0</v>
      </c>
      <c r="T31" s="816"/>
      <c r="U31" s="829"/>
      <c r="V31" s="828"/>
      <c r="W31" s="816"/>
      <c r="X31" s="817"/>
      <c r="Y31" s="815"/>
      <c r="Z31" s="816"/>
      <c r="AA31" s="817"/>
      <c r="AC31" s="550" t="s">
        <v>122</v>
      </c>
      <c r="AD31" s="551"/>
      <c r="AE31" s="536">
        <f>IFERROR(AG30/AE30,"")</f>
        <v>2.4390243902439025E-2</v>
      </c>
      <c r="AF31" s="537"/>
      <c r="AG31" s="537"/>
      <c r="AH31" s="538"/>
      <c r="AI31" s="539" t="str">
        <f>IFERROR(AK30/AI30,"")</f>
        <v/>
      </c>
      <c r="AJ31" s="537"/>
      <c r="AK31" s="537"/>
      <c r="AL31" s="540"/>
      <c r="AM31" s="536" t="str">
        <f t="shared" ref="AM31" si="20">IFERROR(AO30/AM30,"")</f>
        <v/>
      </c>
      <c r="AN31" s="537"/>
      <c r="AO31" s="537"/>
      <c r="AP31" s="538"/>
      <c r="AQ31" s="539" t="str">
        <f>IFERROR(AS30/AQ30,"")</f>
        <v/>
      </c>
      <c r="AR31" s="537"/>
      <c r="AS31" s="537"/>
      <c r="AT31" s="540"/>
      <c r="AU31" s="536" t="str">
        <f t="shared" ref="AU31" si="21">IFERROR(AW30/AU30,"")</f>
        <v/>
      </c>
      <c r="AV31" s="537"/>
      <c r="AW31" s="537"/>
      <c r="AX31" s="538"/>
      <c r="AY31" s="539" t="str">
        <f t="shared" ref="AY31" si="22">IFERROR(BA30/AY30,"")</f>
        <v/>
      </c>
      <c r="AZ31" s="537"/>
      <c r="BA31" s="537"/>
      <c r="BB31" s="538"/>
      <c r="BE31" s="187">
        <v>29</v>
      </c>
      <c r="BF31" s="317"/>
      <c r="BG31" s="317"/>
      <c r="BH31" s="317"/>
      <c r="BI31" s="317"/>
      <c r="BJ31" s="317"/>
      <c r="BK31" s="318"/>
      <c r="BL31" s="215"/>
      <c r="BM31" s="209"/>
      <c r="BN31" s="209"/>
      <c r="BO31" s="209"/>
      <c r="BP31" s="209"/>
      <c r="BQ31" s="210"/>
      <c r="BR31" s="319"/>
      <c r="BS31" s="317"/>
      <c r="BT31" s="317"/>
      <c r="BU31" s="320"/>
      <c r="BW31" s="285" t="b">
        <v>0</v>
      </c>
      <c r="BX31" s="192" t="s">
        <v>85</v>
      </c>
      <c r="BY31" s="195"/>
      <c r="BZ31" s="196"/>
      <c r="CA31" s="196"/>
      <c r="CB31" s="196"/>
      <c r="CC31" s="196"/>
      <c r="CD31" s="196"/>
      <c r="CE31" s="196"/>
      <c r="CF31" s="196"/>
      <c r="CG31" s="196"/>
      <c r="CH31" s="178"/>
    </row>
    <row r="32" spans="2:86" ht="22.5" customHeight="1" thickTop="1">
      <c r="B32" s="257"/>
      <c r="C32" s="258"/>
      <c r="D32" s="258"/>
      <c r="E32" s="259"/>
      <c r="F32" s="418"/>
      <c r="G32" s="419"/>
      <c r="H32" s="419"/>
      <c r="I32" s="420"/>
      <c r="J32" s="462"/>
      <c r="K32" s="463"/>
      <c r="L32" s="464"/>
      <c r="M32" s="462"/>
      <c r="N32" s="463"/>
      <c r="O32" s="464"/>
      <c r="P32" s="462"/>
      <c r="Q32" s="463"/>
      <c r="R32" s="464"/>
      <c r="S32" s="462"/>
      <c r="T32" s="463"/>
      <c r="U32" s="464"/>
      <c r="V32" s="462"/>
      <c r="W32" s="463"/>
      <c r="X32" s="464"/>
      <c r="Y32" s="462"/>
      <c r="Z32" s="463"/>
      <c r="AA32" s="464"/>
      <c r="AC32" s="486" t="s">
        <v>124</v>
      </c>
      <c r="AD32" s="487"/>
      <c r="AE32" s="580">
        <v>1</v>
      </c>
      <c r="AF32" s="581"/>
      <c r="AG32" s="581"/>
      <c r="AH32" s="582"/>
      <c r="AI32" s="583"/>
      <c r="AJ32" s="581"/>
      <c r="AK32" s="581"/>
      <c r="AL32" s="584"/>
      <c r="AM32" s="580"/>
      <c r="AN32" s="581"/>
      <c r="AO32" s="581"/>
      <c r="AP32" s="582"/>
      <c r="AQ32" s="583"/>
      <c r="AR32" s="581"/>
      <c r="AS32" s="581"/>
      <c r="AT32" s="584"/>
      <c r="AU32" s="580"/>
      <c r="AV32" s="581"/>
      <c r="AW32" s="581"/>
      <c r="AX32" s="582"/>
      <c r="AY32" s="583"/>
      <c r="AZ32" s="581"/>
      <c r="BA32" s="581"/>
      <c r="BB32" s="582"/>
      <c r="BE32" s="188">
        <v>30</v>
      </c>
      <c r="BF32" s="534"/>
      <c r="BG32" s="534"/>
      <c r="BH32" s="534"/>
      <c r="BI32" s="534"/>
      <c r="BJ32" s="534"/>
      <c r="BK32" s="742"/>
      <c r="BL32" s="216"/>
      <c r="BM32" s="213"/>
      <c r="BN32" s="213"/>
      <c r="BO32" s="213"/>
      <c r="BP32" s="213"/>
      <c r="BQ32" s="214"/>
      <c r="BR32" s="707"/>
      <c r="BS32" s="534"/>
      <c r="BT32" s="534"/>
      <c r="BU32" s="535"/>
      <c r="BW32" s="285" t="b">
        <v>0</v>
      </c>
      <c r="BX32" s="178" t="s">
        <v>65</v>
      </c>
      <c r="BY32" s="195"/>
      <c r="BZ32" s="196"/>
      <c r="CA32" s="196"/>
      <c r="CB32" s="196"/>
      <c r="CC32" s="196"/>
      <c r="CD32" s="196"/>
      <c r="CE32" s="196"/>
      <c r="CF32" s="196"/>
      <c r="CG32" s="196"/>
      <c r="CH32" s="178"/>
    </row>
    <row r="33" spans="2:87" ht="22.5" customHeight="1">
      <c r="B33" s="178"/>
      <c r="C33" s="178"/>
      <c r="D33" s="178"/>
      <c r="E33" s="178"/>
      <c r="F33" s="178"/>
      <c r="G33" s="588"/>
      <c r="H33" s="588"/>
      <c r="I33" s="588"/>
      <c r="J33" s="588"/>
      <c r="K33" s="588"/>
      <c r="L33" s="588"/>
      <c r="M33" s="588"/>
      <c r="N33" s="588"/>
      <c r="O33" s="588"/>
      <c r="P33" s="588"/>
      <c r="Q33" s="588"/>
      <c r="R33" s="588"/>
      <c r="S33" s="588"/>
      <c r="T33" s="588"/>
      <c r="U33" s="588"/>
      <c r="V33" s="588"/>
      <c r="W33" s="588"/>
      <c r="X33" s="588"/>
      <c r="AC33" s="575" t="s">
        <v>123</v>
      </c>
      <c r="AD33" s="576"/>
      <c r="AE33" s="552">
        <f>IFERROR(AE32/AG30,"")</f>
        <v>1</v>
      </c>
      <c r="AF33" s="553"/>
      <c r="AG33" s="553"/>
      <c r="AH33" s="554"/>
      <c r="AI33" s="552" t="str">
        <f>IFERROR(AI32/AK30,"")</f>
        <v/>
      </c>
      <c r="AJ33" s="553"/>
      <c r="AK33" s="553"/>
      <c r="AL33" s="554"/>
      <c r="AM33" s="552" t="str">
        <f>IFERROR(AM32/AO30,"")</f>
        <v/>
      </c>
      <c r="AN33" s="553"/>
      <c r="AO33" s="553"/>
      <c r="AP33" s="554"/>
      <c r="AQ33" s="552" t="str">
        <f>IFERROR(AQ32/AS30,"")</f>
        <v/>
      </c>
      <c r="AR33" s="553"/>
      <c r="AS33" s="553"/>
      <c r="AT33" s="554"/>
      <c r="AU33" s="552" t="str">
        <f>IFERROR(AU32/AW30,"")</f>
        <v/>
      </c>
      <c r="AV33" s="553"/>
      <c r="AW33" s="553"/>
      <c r="AX33" s="554"/>
      <c r="AY33" s="552" t="str">
        <f>IFERROR(AY32/BA30,"")</f>
        <v/>
      </c>
      <c r="AZ33" s="553"/>
      <c r="BA33" s="553"/>
      <c r="BB33" s="554"/>
      <c r="BL33" s="589" t="s">
        <v>125</v>
      </c>
      <c r="BM33" s="590"/>
      <c r="BN33" s="591"/>
      <c r="BO33" s="555" t="str">
        <f>IF(COUNTA(BH3:BH32)=0,"",
IF(COUNTIF(BN3:BN32,"完")/COUNTA(BH3:BH32)&gt;=0.8,"A",
IF(COUNTIF(BN3:BN32,"完")/COUNTA(BH3:BH32)&gt;=0.5,"B",
IF(COUNTIF(BN3:BN32,"完")/COUNTA(BH3:BH32)&gt;=0.3,"C",
IF(COUNTIF(BN3:BN32,"完")/COUNTA(BH3:BH32)&gt;=0.1,"D","E")))))</f>
        <v>D</v>
      </c>
      <c r="BP33" s="556"/>
      <c r="BQ33" s="556"/>
      <c r="BR33" s="557"/>
      <c r="BS33" s="561">
        <f>IF(COUNTA(BH3:BH32)=0,"",COUNTIF(BN3:BN32,"完")/COUNTA(BH3:BH32))</f>
        <v>0.2</v>
      </c>
      <c r="BT33" s="562"/>
      <c r="BU33" s="563"/>
      <c r="BW33" s="285" t="b">
        <v>0</v>
      </c>
      <c r="BX33" s="178" t="s">
        <v>96</v>
      </c>
      <c r="BY33" s="178"/>
      <c r="BZ33" s="178"/>
      <c r="CA33" s="178"/>
      <c r="CB33" s="178"/>
      <c r="CC33" s="178"/>
      <c r="CD33" s="196"/>
      <c r="CE33" s="196"/>
      <c r="CF33" s="196"/>
      <c r="CG33" s="196"/>
      <c r="CH33" s="178"/>
    </row>
    <row r="34" spans="2:87" ht="22.5" customHeight="1">
      <c r="BL34" s="592"/>
      <c r="BM34" s="593"/>
      <c r="BN34" s="594"/>
      <c r="BO34" s="558"/>
      <c r="BP34" s="559"/>
      <c r="BQ34" s="559"/>
      <c r="BR34" s="560"/>
      <c r="BS34" s="564"/>
      <c r="BT34" s="565"/>
      <c r="BU34" s="566"/>
      <c r="BY34" s="178"/>
      <c r="BZ34" s="178"/>
      <c r="CA34" s="178"/>
      <c r="CB34" s="178"/>
      <c r="CC34" s="178"/>
      <c r="CD34" s="178"/>
      <c r="CE34" s="178"/>
      <c r="CF34" s="178"/>
      <c r="CG34" s="196"/>
      <c r="CH34" s="196"/>
      <c r="CI34" s="178"/>
    </row>
    <row r="35" spans="2:87" ht="22.5" customHeight="1">
      <c r="B35" s="567" t="s">
        <v>38</v>
      </c>
      <c r="C35" s="568"/>
      <c r="D35" s="568"/>
      <c r="E35" s="568"/>
      <c r="F35" s="568"/>
      <c r="G35" s="568"/>
      <c r="H35" s="568"/>
      <c r="I35" s="568"/>
      <c r="J35" s="568"/>
      <c r="K35" s="568"/>
      <c r="L35" s="568"/>
      <c r="M35" s="568"/>
      <c r="N35" s="568"/>
      <c r="O35" s="568"/>
      <c r="P35" s="568"/>
      <c r="Q35" s="568"/>
      <c r="R35" s="568"/>
      <c r="S35" s="568"/>
      <c r="T35" s="568"/>
      <c r="U35" s="569"/>
      <c r="V35" s="570">
        <f>IF(COUNT(J37:J66)=0,"",AVERAGE(J37:J66))</f>
        <v>4.05</v>
      </c>
      <c r="W35" s="571"/>
      <c r="X35" s="572"/>
      <c r="Y35" s="573" t="s">
        <v>39</v>
      </c>
      <c r="Z35" s="568"/>
      <c r="AA35" s="568"/>
      <c r="AB35" s="568"/>
      <c r="AC35" s="568"/>
      <c r="AD35" s="568"/>
      <c r="AE35" s="568"/>
      <c r="AF35" s="568"/>
      <c r="AG35" s="569"/>
      <c r="AH35" s="574" t="s">
        <v>736</v>
      </c>
      <c r="AI35" s="436"/>
      <c r="AJ35" s="438"/>
      <c r="AL35" s="160" t="s">
        <v>59</v>
      </c>
      <c r="BW35" s="181" t="s">
        <v>950</v>
      </c>
      <c r="BX35" s="179"/>
      <c r="BY35" s="179"/>
      <c r="BZ35" s="179"/>
      <c r="CA35" s="179"/>
      <c r="CB35" s="179"/>
      <c r="CC35" s="179"/>
      <c r="CD35" s="179"/>
      <c r="CE35" s="179"/>
      <c r="CF35" s="186"/>
      <c r="CG35" s="186"/>
      <c r="CH35" s="179"/>
    </row>
    <row r="36" spans="2:87" ht="22.5" customHeight="1">
      <c r="B36" s="458" t="s">
        <v>776</v>
      </c>
      <c r="C36" s="459"/>
      <c r="D36" s="459"/>
      <c r="E36" s="459"/>
      <c r="F36" s="459"/>
      <c r="G36" s="459"/>
      <c r="H36" s="459"/>
      <c r="I36" s="459"/>
      <c r="J36" s="459" t="s">
        <v>42</v>
      </c>
      <c r="K36" s="459"/>
      <c r="L36" s="459" t="s">
        <v>43</v>
      </c>
      <c r="M36" s="459"/>
      <c r="N36" s="459"/>
      <c r="O36" s="459"/>
      <c r="P36" s="459"/>
      <c r="Q36" s="459"/>
      <c r="R36" s="459"/>
      <c r="S36" s="459" t="s">
        <v>44</v>
      </c>
      <c r="T36" s="459"/>
      <c r="U36" s="459"/>
      <c r="V36" s="459"/>
      <c r="W36" s="459"/>
      <c r="X36" s="460"/>
      <c r="Y36" s="598" t="s">
        <v>45</v>
      </c>
      <c r="Z36" s="599"/>
      <c r="AA36" s="599"/>
      <c r="AB36" s="599"/>
      <c r="AC36" s="599"/>
      <c r="AD36" s="459" t="s">
        <v>260</v>
      </c>
      <c r="AE36" s="459"/>
      <c r="AF36" s="459" t="s">
        <v>46</v>
      </c>
      <c r="AG36" s="459"/>
      <c r="AH36" s="459"/>
      <c r="AI36" s="459"/>
      <c r="AJ36" s="460"/>
      <c r="AL36" s="182" t="s">
        <v>247</v>
      </c>
      <c r="AM36" s="182"/>
      <c r="AN36" s="182"/>
      <c r="AO36" s="182"/>
      <c r="AP36" s="182"/>
      <c r="AQ36" s="182"/>
      <c r="AR36" s="183"/>
      <c r="AS36" s="183"/>
      <c r="AT36" s="183"/>
      <c r="AU36" s="183"/>
      <c r="AV36" s="183"/>
      <c r="AW36" s="183"/>
      <c r="AX36" s="183"/>
      <c r="AY36" s="179"/>
      <c r="AZ36" s="179"/>
      <c r="BA36" s="179"/>
      <c r="BB36" s="179"/>
      <c r="BC36" s="179"/>
      <c r="BD36" s="179"/>
      <c r="BE36" s="179"/>
      <c r="BF36" s="179"/>
      <c r="BG36" s="179"/>
      <c r="BH36" s="179"/>
      <c r="BI36" s="179"/>
      <c r="BK36" s="406" t="s">
        <v>244</v>
      </c>
      <c r="BL36" s="406"/>
      <c r="BM36" s="406"/>
      <c r="BN36" s="406"/>
      <c r="BO36" s="406"/>
      <c r="BP36" s="406"/>
      <c r="BQ36" s="406" t="s">
        <v>64</v>
      </c>
      <c r="BR36" s="406"/>
      <c r="BS36" s="406"/>
      <c r="BT36" s="406"/>
      <c r="BU36" s="406"/>
      <c r="BW36" s="285" t="b">
        <v>0</v>
      </c>
      <c r="BX36" s="192" t="s">
        <v>102</v>
      </c>
      <c r="BY36" s="178"/>
      <c r="BZ36" s="178"/>
      <c r="CA36" s="178"/>
      <c r="CB36" s="178"/>
      <c r="CC36" s="178"/>
      <c r="CD36" s="196"/>
      <c r="CE36" s="196"/>
      <c r="CF36" s="196"/>
      <c r="CG36" s="196"/>
      <c r="CH36" s="178"/>
    </row>
    <row r="37" spans="2:87" ht="22.5" customHeight="1">
      <c r="B37" s="324">
        <v>101</v>
      </c>
      <c r="C37" s="325"/>
      <c r="D37" s="531" t="s">
        <v>523</v>
      </c>
      <c r="E37" s="531"/>
      <c r="F37" s="531"/>
      <c r="G37" s="531"/>
      <c r="H37" s="531"/>
      <c r="I37" s="531"/>
      <c r="J37" s="469">
        <v>4</v>
      </c>
      <c r="K37" s="469"/>
      <c r="L37" s="595"/>
      <c r="M37" s="595"/>
      <c r="N37" s="595"/>
      <c r="O37" s="595"/>
      <c r="P37" s="595"/>
      <c r="Q37" s="595"/>
      <c r="R37" s="595"/>
      <c r="S37" s="208"/>
      <c r="T37" s="595"/>
      <c r="U37" s="595"/>
      <c r="V37" s="595"/>
      <c r="W37" s="595"/>
      <c r="X37" s="596"/>
      <c r="Y37" s="597"/>
      <c r="Z37" s="531"/>
      <c r="AA37" s="531"/>
      <c r="AB37" s="531"/>
      <c r="AC37" s="531"/>
      <c r="AD37" s="531"/>
      <c r="AE37" s="531"/>
      <c r="AF37" s="531"/>
      <c r="AG37" s="531"/>
      <c r="AH37" s="531"/>
      <c r="AI37" s="531"/>
      <c r="AJ37" s="532"/>
      <c r="AL37" s="600" t="s">
        <v>27</v>
      </c>
      <c r="AM37" s="600"/>
      <c r="AN37" s="600" t="s">
        <v>58</v>
      </c>
      <c r="AO37" s="600"/>
      <c r="AP37" s="600" t="s">
        <v>14</v>
      </c>
      <c r="AQ37" s="600"/>
      <c r="AR37" s="600" t="s">
        <v>22</v>
      </c>
      <c r="AS37" s="600"/>
      <c r="AT37" s="600" t="s">
        <v>1</v>
      </c>
      <c r="AU37" s="600"/>
      <c r="AV37" s="600" t="s">
        <v>18</v>
      </c>
      <c r="AW37" s="600"/>
      <c r="AX37" s="600" t="s">
        <v>28</v>
      </c>
      <c r="AY37" s="600"/>
      <c r="AZ37" s="600" t="s">
        <v>24</v>
      </c>
      <c r="BA37" s="600"/>
      <c r="BB37" s="600" t="s">
        <v>16</v>
      </c>
      <c r="BC37" s="600"/>
      <c r="BD37" s="600" t="s">
        <v>67</v>
      </c>
      <c r="BE37" s="600"/>
      <c r="BF37" s="600" t="s">
        <v>20</v>
      </c>
      <c r="BG37" s="600"/>
      <c r="BH37" s="600" t="s">
        <v>68</v>
      </c>
      <c r="BI37" s="600"/>
      <c r="BK37" s="601"/>
      <c r="BL37" s="601"/>
      <c r="BM37" s="601"/>
      <c r="BN37" s="601"/>
      <c r="BO37" s="601"/>
      <c r="BP37" s="601"/>
      <c r="BQ37" s="602" t="b">
        <v>0</v>
      </c>
      <c r="BR37" s="603"/>
      <c r="BS37" s="603"/>
      <c r="BT37" s="603"/>
      <c r="BU37" s="604"/>
      <c r="BV37" s="170"/>
      <c r="BW37" s="285" t="b">
        <v>0</v>
      </c>
      <c r="BX37" s="192" t="s">
        <v>86</v>
      </c>
      <c r="BY37" s="178"/>
      <c r="BZ37" s="178"/>
      <c r="CA37" s="178"/>
      <c r="CB37" s="178"/>
      <c r="CC37" s="178"/>
      <c r="CD37" s="196"/>
      <c r="CE37" s="196"/>
      <c r="CF37" s="196"/>
      <c r="CG37" s="196"/>
      <c r="CH37" s="178"/>
    </row>
    <row r="38" spans="2:87" ht="22.5" customHeight="1">
      <c r="B38" s="486">
        <v>102</v>
      </c>
      <c r="C38" s="606"/>
      <c r="D38" s="317" t="s">
        <v>524</v>
      </c>
      <c r="E38" s="317"/>
      <c r="F38" s="317"/>
      <c r="G38" s="317"/>
      <c r="H38" s="317"/>
      <c r="I38" s="317"/>
      <c r="J38" s="426">
        <v>5</v>
      </c>
      <c r="K38" s="426"/>
      <c r="L38" s="607"/>
      <c r="M38" s="607"/>
      <c r="N38" s="607"/>
      <c r="O38" s="607"/>
      <c r="P38" s="607"/>
      <c r="Q38" s="607"/>
      <c r="R38" s="607"/>
      <c r="S38" s="209"/>
      <c r="T38" s="607"/>
      <c r="U38" s="607"/>
      <c r="V38" s="607"/>
      <c r="W38" s="607"/>
      <c r="X38" s="608"/>
      <c r="Y38" s="319"/>
      <c r="Z38" s="317"/>
      <c r="AA38" s="317"/>
      <c r="AB38" s="317"/>
      <c r="AC38" s="317"/>
      <c r="AD38" s="317"/>
      <c r="AE38" s="317"/>
      <c r="AF38" s="317"/>
      <c r="AG38" s="317"/>
      <c r="AH38" s="317"/>
      <c r="AI38" s="317"/>
      <c r="AJ38" s="320"/>
      <c r="AL38" s="330">
        <v>0</v>
      </c>
      <c r="AM38" s="330"/>
      <c r="AN38" s="330">
        <v>0</v>
      </c>
      <c r="AO38" s="330"/>
      <c r="AP38" s="330">
        <v>0</v>
      </c>
      <c r="AQ38" s="330"/>
      <c r="AR38" s="330"/>
      <c r="AS38" s="330"/>
      <c r="AT38" s="330"/>
      <c r="AU38" s="330"/>
      <c r="AV38" s="330"/>
      <c r="AW38" s="330"/>
      <c r="AX38" s="330"/>
      <c r="AY38" s="330"/>
      <c r="AZ38" s="330"/>
      <c r="BA38" s="330"/>
      <c r="BB38" s="330"/>
      <c r="BC38" s="330"/>
      <c r="BD38" s="330"/>
      <c r="BE38" s="330"/>
      <c r="BF38" s="330"/>
      <c r="BG38" s="330"/>
      <c r="BH38" s="330">
        <v>21</v>
      </c>
      <c r="BI38" s="330"/>
      <c r="BK38" s="605"/>
      <c r="BL38" s="605"/>
      <c r="BM38" s="605"/>
      <c r="BN38" s="605"/>
      <c r="BO38" s="605"/>
      <c r="BP38" s="605"/>
      <c r="BQ38" s="609" t="b">
        <v>0</v>
      </c>
      <c r="BR38" s="610"/>
      <c r="BS38" s="610"/>
      <c r="BT38" s="610"/>
      <c r="BU38" s="611"/>
      <c r="BV38" s="170"/>
      <c r="BW38" s="285" t="b">
        <v>0</v>
      </c>
      <c r="BX38" s="192" t="s">
        <v>87</v>
      </c>
      <c r="BY38" s="178"/>
      <c r="BZ38" s="178"/>
      <c r="CA38" s="178"/>
      <c r="CB38" s="178"/>
      <c r="CC38" s="178"/>
      <c r="CD38" s="196"/>
      <c r="CE38" s="196"/>
      <c r="CF38" s="196"/>
      <c r="CG38" s="196"/>
      <c r="CH38" s="178"/>
    </row>
    <row r="39" spans="2:87" ht="22.5" customHeight="1">
      <c r="B39" s="486">
        <v>103</v>
      </c>
      <c r="C39" s="606"/>
      <c r="D39" s="317" t="s">
        <v>525</v>
      </c>
      <c r="E39" s="317"/>
      <c r="F39" s="317"/>
      <c r="G39" s="317"/>
      <c r="H39" s="317"/>
      <c r="I39" s="317"/>
      <c r="J39" s="426">
        <v>4</v>
      </c>
      <c r="K39" s="426"/>
      <c r="L39" s="607" t="s">
        <v>760</v>
      </c>
      <c r="M39" s="607"/>
      <c r="N39" s="607"/>
      <c r="O39" s="607"/>
      <c r="P39" s="607"/>
      <c r="Q39" s="607"/>
      <c r="R39" s="607"/>
      <c r="S39" s="209"/>
      <c r="T39" s="607"/>
      <c r="U39" s="607"/>
      <c r="V39" s="607"/>
      <c r="W39" s="607"/>
      <c r="X39" s="608"/>
      <c r="Y39" s="319"/>
      <c r="Z39" s="317"/>
      <c r="AA39" s="317"/>
      <c r="AB39" s="317"/>
      <c r="AC39" s="317"/>
      <c r="AD39" s="317"/>
      <c r="AE39" s="317"/>
      <c r="AF39" s="317"/>
      <c r="AG39" s="317"/>
      <c r="AH39" s="317"/>
      <c r="AI39" s="317"/>
      <c r="AJ39" s="320"/>
      <c r="BK39" s="605"/>
      <c r="BL39" s="605"/>
      <c r="BM39" s="605"/>
      <c r="BN39" s="605"/>
      <c r="BO39" s="605"/>
      <c r="BP39" s="605"/>
      <c r="BQ39" s="609" t="b">
        <v>0</v>
      </c>
      <c r="BR39" s="610"/>
      <c r="BS39" s="610"/>
      <c r="BT39" s="610"/>
      <c r="BU39" s="611"/>
      <c r="BW39" s="285" t="b">
        <v>0</v>
      </c>
      <c r="BX39" s="192" t="s">
        <v>88</v>
      </c>
      <c r="BY39" s="178"/>
      <c r="BZ39" s="178"/>
      <c r="CA39" s="178"/>
      <c r="CB39" s="178"/>
      <c r="CC39" s="178"/>
      <c r="CD39" s="196"/>
      <c r="CE39" s="196"/>
      <c r="CF39" s="196"/>
      <c r="CG39" s="196"/>
      <c r="CH39" s="178"/>
    </row>
    <row r="40" spans="2:87" ht="22.5" customHeight="1">
      <c r="B40" s="486">
        <v>104</v>
      </c>
      <c r="C40" s="606"/>
      <c r="D40" s="317" t="s">
        <v>526</v>
      </c>
      <c r="E40" s="317"/>
      <c r="F40" s="317"/>
      <c r="G40" s="317"/>
      <c r="H40" s="317"/>
      <c r="I40" s="317"/>
      <c r="J40" s="426">
        <v>5</v>
      </c>
      <c r="K40" s="426"/>
      <c r="L40" s="607"/>
      <c r="M40" s="607"/>
      <c r="N40" s="607"/>
      <c r="O40" s="607"/>
      <c r="P40" s="607"/>
      <c r="Q40" s="607"/>
      <c r="R40" s="607"/>
      <c r="S40" s="209"/>
      <c r="T40" s="607"/>
      <c r="U40" s="607"/>
      <c r="V40" s="607"/>
      <c r="W40" s="607"/>
      <c r="X40" s="608"/>
      <c r="Y40" s="319"/>
      <c r="Z40" s="317"/>
      <c r="AA40" s="317"/>
      <c r="AB40" s="317"/>
      <c r="AC40" s="317"/>
      <c r="AD40" s="317"/>
      <c r="AE40" s="317"/>
      <c r="AF40" s="317"/>
      <c r="AG40" s="317"/>
      <c r="AH40" s="317"/>
      <c r="AI40" s="317"/>
      <c r="AJ40" s="320"/>
      <c r="AL40" s="182" t="s">
        <v>248</v>
      </c>
      <c r="AM40" s="182"/>
      <c r="AN40" s="182"/>
      <c r="AO40" s="182"/>
      <c r="AP40" s="182"/>
      <c r="AQ40" s="182"/>
      <c r="AR40" s="183"/>
      <c r="AS40" s="183"/>
      <c r="AT40" s="183"/>
      <c r="AU40" s="183"/>
      <c r="AV40" s="183"/>
      <c r="AW40" s="183"/>
      <c r="AX40" s="183"/>
      <c r="AY40" s="179"/>
      <c r="AZ40" s="179"/>
      <c r="BA40" s="179"/>
      <c r="BB40" s="179"/>
      <c r="BC40" s="179"/>
      <c r="BD40" s="179"/>
      <c r="BE40" s="179"/>
      <c r="BF40" s="179"/>
      <c r="BG40" s="179"/>
      <c r="BH40" s="179"/>
      <c r="BI40" s="179"/>
      <c r="BK40" s="605"/>
      <c r="BL40" s="605"/>
      <c r="BM40" s="605"/>
      <c r="BN40" s="605"/>
      <c r="BO40" s="605"/>
      <c r="BP40" s="605"/>
      <c r="BQ40" s="609" t="b">
        <v>0</v>
      </c>
      <c r="BR40" s="610"/>
      <c r="BS40" s="610"/>
      <c r="BT40" s="610"/>
      <c r="BU40" s="611"/>
      <c r="BW40" s="285" t="b">
        <v>0</v>
      </c>
      <c r="BX40" s="192" t="s">
        <v>89</v>
      </c>
      <c r="BY40" s="178"/>
      <c r="BZ40" s="178"/>
      <c r="CA40" s="178"/>
      <c r="CB40" s="178"/>
      <c r="CC40" s="178"/>
      <c r="CD40" s="196"/>
      <c r="CE40" s="196"/>
      <c r="CF40" s="196"/>
      <c r="CG40" s="196"/>
      <c r="CH40" s="178"/>
    </row>
    <row r="41" spans="2:87" ht="22.5" customHeight="1">
      <c r="B41" s="486">
        <v>105</v>
      </c>
      <c r="C41" s="606"/>
      <c r="D41" s="317" t="s">
        <v>527</v>
      </c>
      <c r="E41" s="317"/>
      <c r="F41" s="317"/>
      <c r="G41" s="317"/>
      <c r="H41" s="317"/>
      <c r="I41" s="317"/>
      <c r="J41" s="426">
        <v>4</v>
      </c>
      <c r="K41" s="426"/>
      <c r="L41" s="607"/>
      <c r="M41" s="607"/>
      <c r="N41" s="607"/>
      <c r="O41" s="607"/>
      <c r="P41" s="607"/>
      <c r="Q41" s="607"/>
      <c r="R41" s="607"/>
      <c r="S41" s="209"/>
      <c r="T41" s="607"/>
      <c r="U41" s="607"/>
      <c r="V41" s="607"/>
      <c r="W41" s="607"/>
      <c r="X41" s="608"/>
      <c r="Y41" s="319"/>
      <c r="Z41" s="317"/>
      <c r="AA41" s="317"/>
      <c r="AB41" s="317"/>
      <c r="AC41" s="317"/>
      <c r="AD41" s="317"/>
      <c r="AE41" s="317"/>
      <c r="AF41" s="317"/>
      <c r="AG41" s="317"/>
      <c r="AH41" s="317"/>
      <c r="AI41" s="317"/>
      <c r="AJ41" s="320"/>
      <c r="AL41" s="600" t="s">
        <v>27</v>
      </c>
      <c r="AM41" s="600"/>
      <c r="AN41" s="600" t="s">
        <v>58</v>
      </c>
      <c r="AO41" s="600"/>
      <c r="AP41" s="600" t="s">
        <v>14</v>
      </c>
      <c r="AQ41" s="600"/>
      <c r="AR41" s="600" t="s">
        <v>22</v>
      </c>
      <c r="AS41" s="600"/>
      <c r="AT41" s="600" t="s">
        <v>1</v>
      </c>
      <c r="AU41" s="600"/>
      <c r="AV41" s="600" t="s">
        <v>18</v>
      </c>
      <c r="AW41" s="600"/>
      <c r="AX41" s="600" t="s">
        <v>28</v>
      </c>
      <c r="AY41" s="600"/>
      <c r="AZ41" s="600" t="s">
        <v>24</v>
      </c>
      <c r="BA41" s="600"/>
      <c r="BB41" s="600" t="s">
        <v>16</v>
      </c>
      <c r="BC41" s="600"/>
      <c r="BD41" s="600" t="s">
        <v>67</v>
      </c>
      <c r="BE41" s="600"/>
      <c r="BF41" s="600" t="s">
        <v>20</v>
      </c>
      <c r="BG41" s="600"/>
      <c r="BH41" s="600" t="s">
        <v>68</v>
      </c>
      <c r="BI41" s="600"/>
      <c r="BK41" s="605"/>
      <c r="BL41" s="605"/>
      <c r="BM41" s="605"/>
      <c r="BN41" s="605"/>
      <c r="BO41" s="605"/>
      <c r="BP41" s="605"/>
      <c r="BQ41" s="609" t="b">
        <v>0</v>
      </c>
      <c r="BR41" s="610"/>
      <c r="BS41" s="610"/>
      <c r="BT41" s="610"/>
      <c r="BU41" s="611"/>
      <c r="BW41" s="285" t="b">
        <v>0</v>
      </c>
      <c r="BX41" s="192" t="s">
        <v>103</v>
      </c>
      <c r="BY41" s="178"/>
      <c r="BZ41" s="178"/>
      <c r="CA41" s="178"/>
      <c r="CB41" s="178"/>
      <c r="CC41" s="178"/>
      <c r="CD41" s="196"/>
      <c r="CE41" s="196"/>
      <c r="CF41" s="196"/>
      <c r="CG41" s="196"/>
      <c r="CH41" s="178"/>
    </row>
    <row r="42" spans="2:87" ht="22.5" customHeight="1">
      <c r="B42" s="486">
        <v>106</v>
      </c>
      <c r="C42" s="606"/>
      <c r="D42" s="317" t="s">
        <v>528</v>
      </c>
      <c r="E42" s="317"/>
      <c r="F42" s="317"/>
      <c r="G42" s="317"/>
      <c r="H42" s="317"/>
      <c r="I42" s="317"/>
      <c r="J42" s="426">
        <v>4</v>
      </c>
      <c r="K42" s="426"/>
      <c r="L42" s="607"/>
      <c r="M42" s="607"/>
      <c r="N42" s="607"/>
      <c r="O42" s="607"/>
      <c r="P42" s="607"/>
      <c r="Q42" s="607"/>
      <c r="R42" s="607"/>
      <c r="S42" s="209"/>
      <c r="T42" s="607"/>
      <c r="U42" s="607"/>
      <c r="V42" s="607"/>
      <c r="W42" s="607"/>
      <c r="X42" s="608"/>
      <c r="Y42" s="319"/>
      <c r="Z42" s="317"/>
      <c r="AA42" s="317"/>
      <c r="AB42" s="317"/>
      <c r="AC42" s="317"/>
      <c r="AD42" s="317"/>
      <c r="AE42" s="317"/>
      <c r="AF42" s="317"/>
      <c r="AG42" s="317"/>
      <c r="AH42" s="317"/>
      <c r="AI42" s="317"/>
      <c r="AJ42" s="320"/>
      <c r="AL42" s="330">
        <v>2</v>
      </c>
      <c r="AM42" s="330"/>
      <c r="AN42" s="330">
        <v>1</v>
      </c>
      <c r="AO42" s="330"/>
      <c r="AP42" s="330">
        <v>0</v>
      </c>
      <c r="AQ42" s="330"/>
      <c r="AR42" s="330"/>
      <c r="AS42" s="330"/>
      <c r="AT42" s="330"/>
      <c r="AU42" s="330"/>
      <c r="AV42" s="330"/>
      <c r="AW42" s="330"/>
      <c r="AX42" s="330"/>
      <c r="AY42" s="330"/>
      <c r="AZ42" s="330"/>
      <c r="BA42" s="330"/>
      <c r="BB42" s="330"/>
      <c r="BC42" s="330"/>
      <c r="BD42" s="330"/>
      <c r="BE42" s="330"/>
      <c r="BF42" s="330"/>
      <c r="BG42" s="330"/>
      <c r="BH42" s="330"/>
      <c r="BI42" s="330"/>
      <c r="BK42" s="612"/>
      <c r="BL42" s="612"/>
      <c r="BM42" s="612"/>
      <c r="BN42" s="612"/>
      <c r="BO42" s="612"/>
      <c r="BP42" s="612"/>
      <c r="BQ42" s="613" t="b">
        <v>0</v>
      </c>
      <c r="BR42" s="614"/>
      <c r="BS42" s="614"/>
      <c r="BT42" s="614"/>
      <c r="BU42" s="615"/>
      <c r="BW42" s="285" t="b">
        <v>0</v>
      </c>
      <c r="BX42" s="192" t="s">
        <v>82</v>
      </c>
      <c r="BY42" s="178"/>
      <c r="BZ42" s="178"/>
      <c r="CA42" s="178"/>
      <c r="CB42" s="178"/>
      <c r="CC42" s="178"/>
      <c r="CD42" s="196"/>
      <c r="CE42" s="196"/>
      <c r="CF42" s="196"/>
      <c r="CG42" s="196"/>
      <c r="CH42" s="178"/>
    </row>
    <row r="43" spans="2:87" ht="22.5" customHeight="1">
      <c r="B43" s="486">
        <v>107</v>
      </c>
      <c r="C43" s="606"/>
      <c r="D43" s="317" t="s">
        <v>529</v>
      </c>
      <c r="E43" s="317"/>
      <c r="F43" s="317"/>
      <c r="G43" s="317"/>
      <c r="H43" s="317"/>
      <c r="I43" s="317"/>
      <c r="J43" s="426">
        <v>4</v>
      </c>
      <c r="K43" s="426"/>
      <c r="L43" s="607"/>
      <c r="M43" s="607"/>
      <c r="N43" s="607"/>
      <c r="O43" s="607"/>
      <c r="P43" s="607"/>
      <c r="Q43" s="607"/>
      <c r="R43" s="607"/>
      <c r="S43" s="209"/>
      <c r="T43" s="607"/>
      <c r="U43" s="607"/>
      <c r="V43" s="607"/>
      <c r="W43" s="607"/>
      <c r="X43" s="608"/>
      <c r="Y43" s="319"/>
      <c r="Z43" s="317"/>
      <c r="AA43" s="317"/>
      <c r="AB43" s="317"/>
      <c r="AC43" s="317"/>
      <c r="AD43" s="317"/>
      <c r="AE43" s="317"/>
      <c r="AF43" s="317"/>
      <c r="AG43" s="317"/>
      <c r="AH43" s="317"/>
      <c r="AI43" s="317"/>
      <c r="AJ43" s="320"/>
      <c r="AL43" s="171"/>
      <c r="AM43" s="171"/>
      <c r="AN43" s="171"/>
      <c r="AO43" s="171"/>
      <c r="AP43" s="171"/>
      <c r="AQ43" s="171"/>
      <c r="AR43" s="171"/>
      <c r="AS43" s="171"/>
      <c r="AT43" s="171"/>
      <c r="AU43" s="171"/>
      <c r="AV43" s="171"/>
      <c r="AW43" s="171"/>
      <c r="AX43" s="171"/>
      <c r="AY43" s="171"/>
      <c r="AZ43" s="171"/>
      <c r="BA43" s="171"/>
      <c r="BB43" s="171"/>
      <c r="BC43" s="171"/>
      <c r="BD43" s="171"/>
      <c r="BE43" s="171"/>
      <c r="BF43" s="171"/>
      <c r="BG43" s="171"/>
      <c r="BH43" s="171"/>
      <c r="BI43" s="171"/>
      <c r="BV43" s="164"/>
    </row>
    <row r="44" spans="2:87" ht="22.5" customHeight="1">
      <c r="B44" s="486">
        <v>108</v>
      </c>
      <c r="C44" s="606"/>
      <c r="D44" s="317" t="s">
        <v>530</v>
      </c>
      <c r="E44" s="317"/>
      <c r="F44" s="317"/>
      <c r="G44" s="317"/>
      <c r="H44" s="317"/>
      <c r="I44" s="317"/>
      <c r="J44" s="426">
        <v>4</v>
      </c>
      <c r="K44" s="426"/>
      <c r="L44" s="607"/>
      <c r="M44" s="607"/>
      <c r="N44" s="607"/>
      <c r="O44" s="607"/>
      <c r="P44" s="607"/>
      <c r="Q44" s="607"/>
      <c r="R44" s="607"/>
      <c r="S44" s="209"/>
      <c r="T44" s="607"/>
      <c r="U44" s="607"/>
      <c r="V44" s="607"/>
      <c r="W44" s="607"/>
      <c r="X44" s="608"/>
      <c r="Y44" s="319"/>
      <c r="Z44" s="317"/>
      <c r="AA44" s="317"/>
      <c r="AB44" s="317"/>
      <c r="AC44" s="317"/>
      <c r="AD44" s="317"/>
      <c r="AE44" s="317"/>
      <c r="AF44" s="317"/>
      <c r="AG44" s="317"/>
      <c r="AH44" s="317"/>
      <c r="AI44" s="317"/>
      <c r="AJ44" s="320"/>
      <c r="AL44" s="179" t="s">
        <v>246</v>
      </c>
      <c r="AM44" s="179"/>
      <c r="AN44" s="179"/>
      <c r="AO44" s="179"/>
      <c r="AP44" s="179"/>
      <c r="AQ44" s="179"/>
      <c r="AR44" s="179"/>
      <c r="AS44" s="179"/>
      <c r="AT44" s="179"/>
      <c r="AU44" s="179"/>
      <c r="AV44" s="179"/>
      <c r="AW44" s="179"/>
      <c r="AX44" s="179"/>
      <c r="AY44" s="179"/>
      <c r="AZ44" s="179"/>
      <c r="BA44" s="179"/>
      <c r="BB44" s="179"/>
      <c r="BC44" s="179"/>
      <c r="BD44" s="179"/>
      <c r="BE44" s="179"/>
      <c r="BF44" s="179"/>
      <c r="BG44" s="179"/>
      <c r="BH44" s="179"/>
      <c r="BI44" s="179"/>
      <c r="BJ44" s="163"/>
      <c r="BK44" s="163"/>
      <c r="BL44" s="163"/>
      <c r="BM44" s="163"/>
      <c r="BN44" s="163"/>
      <c r="BO44" s="163"/>
      <c r="BP44" s="163"/>
      <c r="BQ44" s="163"/>
      <c r="BR44" s="163"/>
      <c r="BS44" s="163"/>
      <c r="BT44" s="163"/>
      <c r="BU44" s="163"/>
      <c r="BV44" s="164"/>
      <c r="BW44" s="179" t="s">
        <v>75</v>
      </c>
      <c r="BX44" s="179"/>
      <c r="BY44" s="179"/>
      <c r="BZ44" s="179"/>
      <c r="CA44" s="179"/>
      <c r="CB44" s="179"/>
      <c r="CC44" s="179"/>
      <c r="CD44" s="179"/>
      <c r="CE44" s="179"/>
      <c r="CF44" s="179"/>
      <c r="CG44" s="179"/>
      <c r="CH44" s="179"/>
    </row>
    <row r="45" spans="2:87" ht="22.5" customHeight="1">
      <c r="B45" s="486">
        <v>109</v>
      </c>
      <c r="C45" s="606"/>
      <c r="D45" s="317" t="s">
        <v>531</v>
      </c>
      <c r="E45" s="317"/>
      <c r="F45" s="317"/>
      <c r="G45" s="317"/>
      <c r="H45" s="317"/>
      <c r="I45" s="317"/>
      <c r="J45" s="426">
        <v>3</v>
      </c>
      <c r="K45" s="426"/>
      <c r="L45" s="607"/>
      <c r="M45" s="607"/>
      <c r="N45" s="607"/>
      <c r="O45" s="607"/>
      <c r="P45" s="607"/>
      <c r="Q45" s="607"/>
      <c r="R45" s="607"/>
      <c r="S45" s="209"/>
      <c r="T45" s="607"/>
      <c r="U45" s="607"/>
      <c r="V45" s="607"/>
      <c r="W45" s="607"/>
      <c r="X45" s="608"/>
      <c r="Y45" s="616"/>
      <c r="Z45" s="617"/>
      <c r="AA45" s="617"/>
      <c r="AB45" s="617"/>
      <c r="AC45" s="617"/>
      <c r="AD45" s="317"/>
      <c r="AE45" s="317"/>
      <c r="AF45" s="317"/>
      <c r="AG45" s="317"/>
      <c r="AH45" s="317"/>
      <c r="AI45" s="317"/>
      <c r="AJ45" s="320"/>
      <c r="AL45" s="618" t="s">
        <v>27</v>
      </c>
      <c r="AM45" s="618"/>
      <c r="AN45" s="618" t="s">
        <v>58</v>
      </c>
      <c r="AO45" s="618"/>
      <c r="AP45" s="618" t="s">
        <v>14</v>
      </c>
      <c r="AQ45" s="618"/>
      <c r="AR45" s="618" t="s">
        <v>22</v>
      </c>
      <c r="AS45" s="618"/>
      <c r="AT45" s="618" t="s">
        <v>1</v>
      </c>
      <c r="AU45" s="618"/>
      <c r="AV45" s="618" t="s">
        <v>18</v>
      </c>
      <c r="AW45" s="618"/>
      <c r="AX45" s="618" t="s">
        <v>28</v>
      </c>
      <c r="AY45" s="618"/>
      <c r="AZ45" s="618" t="s">
        <v>24</v>
      </c>
      <c r="BA45" s="618"/>
      <c r="BB45" s="618" t="s">
        <v>16</v>
      </c>
      <c r="BC45" s="618"/>
      <c r="BD45" s="618" t="s">
        <v>67</v>
      </c>
      <c r="BE45" s="618"/>
      <c r="BF45" s="618" t="s">
        <v>20</v>
      </c>
      <c r="BG45" s="618"/>
      <c r="BH45" s="618" t="s">
        <v>68</v>
      </c>
      <c r="BI45" s="618"/>
      <c r="BK45" s="630" t="s">
        <v>108</v>
      </c>
      <c r="BL45" s="631"/>
      <c r="BM45" s="634">
        <f>SUM(AL46:BI46)</f>
        <v>6</v>
      </c>
      <c r="BN45" s="635"/>
      <c r="BO45" s="636"/>
      <c r="BP45" s="640" t="s">
        <v>107</v>
      </c>
      <c r="BQ45" s="641"/>
      <c r="BR45" s="631"/>
      <c r="BS45" s="642" t="str">
        <f>IF(OR(BP46="",ISBLANK(BP46)),"",
IF(BP46&gt;=5,"A",
IF(BP46&gt;=4,"B",
IF(BP46&gt;=3,"C",
IF(BP46&gt;=1,"D","E")))))</f>
        <v>D</v>
      </c>
      <c r="BT45" s="556"/>
      <c r="BU45" s="557"/>
      <c r="BV45" s="164"/>
      <c r="BW45" s="619"/>
      <c r="BX45" s="620"/>
      <c r="BY45" s="620"/>
      <c r="BZ45" s="620"/>
      <c r="CA45" s="620"/>
      <c r="CB45" s="620"/>
      <c r="CC45" s="620"/>
      <c r="CD45" s="620"/>
      <c r="CE45" s="620"/>
      <c r="CF45" s="620"/>
      <c r="CG45" s="620"/>
      <c r="CH45" s="621"/>
    </row>
    <row r="46" spans="2:87" ht="22.5" customHeight="1" thickBot="1">
      <c r="B46" s="622">
        <v>110</v>
      </c>
      <c r="C46" s="623"/>
      <c r="D46" s="624" t="s">
        <v>532</v>
      </c>
      <c r="E46" s="624"/>
      <c r="F46" s="624"/>
      <c r="G46" s="624"/>
      <c r="H46" s="624"/>
      <c r="I46" s="624"/>
      <c r="J46" s="625">
        <v>3</v>
      </c>
      <c r="K46" s="625"/>
      <c r="L46" s="626" t="s">
        <v>760</v>
      </c>
      <c r="M46" s="626"/>
      <c r="N46" s="626"/>
      <c r="O46" s="626"/>
      <c r="P46" s="626"/>
      <c r="Q46" s="626"/>
      <c r="R46" s="626"/>
      <c r="S46" s="211"/>
      <c r="T46" s="626"/>
      <c r="U46" s="626"/>
      <c r="V46" s="626"/>
      <c r="W46" s="626"/>
      <c r="X46" s="627"/>
      <c r="Y46" s="628"/>
      <c r="Z46" s="624"/>
      <c r="AA46" s="624"/>
      <c r="AB46" s="624"/>
      <c r="AC46" s="624"/>
      <c r="AD46" s="624"/>
      <c r="AE46" s="624"/>
      <c r="AF46" s="624"/>
      <c r="AG46" s="624"/>
      <c r="AH46" s="624"/>
      <c r="AI46" s="624"/>
      <c r="AJ46" s="629"/>
      <c r="AL46" s="330">
        <v>2</v>
      </c>
      <c r="AM46" s="330"/>
      <c r="AN46" s="330">
        <v>2</v>
      </c>
      <c r="AO46" s="330"/>
      <c r="AP46" s="330">
        <v>2</v>
      </c>
      <c r="AQ46" s="330"/>
      <c r="AR46" s="330"/>
      <c r="AS46" s="330"/>
      <c r="AT46" s="330"/>
      <c r="AU46" s="330"/>
      <c r="AV46" s="330"/>
      <c r="AW46" s="330"/>
      <c r="AX46" s="330"/>
      <c r="AY46" s="330"/>
      <c r="AZ46" s="330"/>
      <c r="BA46" s="330"/>
      <c r="BB46" s="330"/>
      <c r="BC46" s="330"/>
      <c r="BD46" s="330"/>
      <c r="BE46" s="330"/>
      <c r="BF46" s="330"/>
      <c r="BG46" s="330"/>
      <c r="BH46" s="330"/>
      <c r="BI46" s="330"/>
      <c r="BK46" s="632"/>
      <c r="BL46" s="633"/>
      <c r="BM46" s="637"/>
      <c r="BN46" s="638"/>
      <c r="BO46" s="639"/>
      <c r="BP46" s="652">
        <f>IF(COUNT(AL46:BI46)=0,"",ROUND(AVERAGE(AL46:BI46),1))</f>
        <v>2</v>
      </c>
      <c r="BQ46" s="653"/>
      <c r="BR46" s="654"/>
      <c r="BS46" s="643"/>
      <c r="BT46" s="559"/>
      <c r="BU46" s="560"/>
      <c r="BV46" s="164"/>
      <c r="BW46" s="644"/>
      <c r="BX46" s="607"/>
      <c r="BY46" s="607"/>
      <c r="BZ46" s="607"/>
      <c r="CA46" s="607"/>
      <c r="CB46" s="607"/>
      <c r="CC46" s="607"/>
      <c r="CD46" s="607"/>
      <c r="CE46" s="607"/>
      <c r="CF46" s="607"/>
      <c r="CG46" s="607"/>
      <c r="CH46" s="608"/>
    </row>
    <row r="47" spans="2:87" ht="22.5" customHeight="1">
      <c r="B47" s="550">
        <v>201</v>
      </c>
      <c r="C47" s="645"/>
      <c r="D47" s="646" t="s">
        <v>533</v>
      </c>
      <c r="E47" s="646"/>
      <c r="F47" s="646"/>
      <c r="G47" s="646"/>
      <c r="H47" s="646"/>
      <c r="I47" s="646"/>
      <c r="J47" s="647">
        <v>4</v>
      </c>
      <c r="K47" s="647"/>
      <c r="L47" s="648"/>
      <c r="M47" s="648"/>
      <c r="N47" s="648"/>
      <c r="O47" s="648"/>
      <c r="P47" s="648"/>
      <c r="Q47" s="648"/>
      <c r="R47" s="648"/>
      <c r="S47" s="212"/>
      <c r="T47" s="648"/>
      <c r="U47" s="648"/>
      <c r="V47" s="648"/>
      <c r="W47" s="648"/>
      <c r="X47" s="649"/>
      <c r="Y47" s="650" t="s">
        <v>272</v>
      </c>
      <c r="Z47" s="646"/>
      <c r="AA47" s="646"/>
      <c r="AB47" s="646"/>
      <c r="AC47" s="646"/>
      <c r="AD47" s="646" t="s">
        <v>723</v>
      </c>
      <c r="AE47" s="646"/>
      <c r="AF47" s="646"/>
      <c r="AG47" s="646"/>
      <c r="AH47" s="646"/>
      <c r="AI47" s="646"/>
      <c r="AJ47" s="651"/>
      <c r="BV47" s="164"/>
      <c r="BW47" s="644"/>
      <c r="BX47" s="607"/>
      <c r="BY47" s="607"/>
      <c r="BZ47" s="607"/>
      <c r="CA47" s="607"/>
      <c r="CB47" s="607"/>
      <c r="CC47" s="607"/>
      <c r="CD47" s="607"/>
      <c r="CE47" s="607"/>
      <c r="CF47" s="607"/>
      <c r="CG47" s="607"/>
      <c r="CH47" s="608"/>
    </row>
    <row r="48" spans="2:87" ht="22.5" customHeight="1">
      <c r="B48" s="486">
        <v>202</v>
      </c>
      <c r="C48" s="606"/>
      <c r="D48" s="317" t="s">
        <v>945</v>
      </c>
      <c r="E48" s="317"/>
      <c r="F48" s="317"/>
      <c r="G48" s="317"/>
      <c r="H48" s="317"/>
      <c r="I48" s="317"/>
      <c r="J48" s="426">
        <v>4</v>
      </c>
      <c r="K48" s="426"/>
      <c r="L48" s="607"/>
      <c r="M48" s="607"/>
      <c r="N48" s="607"/>
      <c r="O48" s="607"/>
      <c r="P48" s="607"/>
      <c r="Q48" s="607"/>
      <c r="R48" s="607"/>
      <c r="S48" s="209"/>
      <c r="T48" s="607"/>
      <c r="U48" s="607"/>
      <c r="V48" s="607"/>
      <c r="W48" s="607"/>
      <c r="X48" s="608"/>
      <c r="Y48" s="319" t="s">
        <v>272</v>
      </c>
      <c r="Z48" s="317"/>
      <c r="AA48" s="317"/>
      <c r="AB48" s="317"/>
      <c r="AC48" s="317"/>
      <c r="AD48" s="317" t="s">
        <v>723</v>
      </c>
      <c r="AE48" s="317"/>
      <c r="AF48" s="317"/>
      <c r="AG48" s="317"/>
      <c r="AH48" s="317"/>
      <c r="AI48" s="317"/>
      <c r="AJ48" s="320"/>
      <c r="AL48" s="182" t="s">
        <v>241</v>
      </c>
      <c r="AM48" s="182"/>
      <c r="AN48" s="182"/>
      <c r="AO48" s="182"/>
      <c r="AP48" s="182"/>
      <c r="AQ48" s="182"/>
      <c r="AR48" s="183"/>
      <c r="AS48" s="183"/>
      <c r="AT48" s="183"/>
      <c r="AU48" s="183"/>
      <c r="AV48" s="183"/>
      <c r="AW48" s="183"/>
      <c r="AX48" s="184"/>
      <c r="AY48" s="184"/>
      <c r="AZ48" s="184"/>
      <c r="BA48" s="184"/>
      <c r="BB48" s="185"/>
      <c r="BC48" s="185"/>
      <c r="BD48" s="185"/>
      <c r="BE48" s="185"/>
      <c r="BF48" s="186"/>
      <c r="BG48" s="186"/>
      <c r="BH48" s="186"/>
      <c r="BI48" s="186"/>
      <c r="BJ48" s="163"/>
      <c r="BK48" s="163"/>
      <c r="BL48" s="163"/>
      <c r="BM48" s="163"/>
      <c r="BN48" s="163"/>
      <c r="BO48" s="163"/>
      <c r="BP48" s="163"/>
      <c r="BQ48" s="163"/>
      <c r="BR48" s="163"/>
      <c r="BS48" s="163"/>
      <c r="BT48" s="163"/>
      <c r="BU48" s="163"/>
      <c r="BV48" s="164"/>
      <c r="BW48" s="644"/>
      <c r="BX48" s="607"/>
      <c r="BY48" s="607"/>
      <c r="BZ48" s="607"/>
      <c r="CA48" s="607"/>
      <c r="CB48" s="607"/>
      <c r="CC48" s="607"/>
      <c r="CD48" s="607"/>
      <c r="CE48" s="607"/>
      <c r="CF48" s="607"/>
      <c r="CG48" s="607"/>
      <c r="CH48" s="608"/>
    </row>
    <row r="49" spans="2:86" ht="22.5" customHeight="1">
      <c r="B49" s="486">
        <v>203</v>
      </c>
      <c r="C49" s="606"/>
      <c r="D49" s="317" t="s">
        <v>534</v>
      </c>
      <c r="E49" s="317"/>
      <c r="F49" s="317"/>
      <c r="G49" s="317"/>
      <c r="H49" s="317"/>
      <c r="I49" s="317"/>
      <c r="J49" s="426">
        <v>4</v>
      </c>
      <c r="K49" s="426"/>
      <c r="L49" s="607"/>
      <c r="M49" s="607"/>
      <c r="N49" s="607"/>
      <c r="O49" s="607"/>
      <c r="P49" s="607"/>
      <c r="Q49" s="607"/>
      <c r="R49" s="607"/>
      <c r="S49" s="209"/>
      <c r="T49" s="607"/>
      <c r="U49" s="607"/>
      <c r="V49" s="607"/>
      <c r="W49" s="607"/>
      <c r="X49" s="608"/>
      <c r="Y49" s="319"/>
      <c r="Z49" s="317"/>
      <c r="AA49" s="317"/>
      <c r="AB49" s="317"/>
      <c r="AC49" s="317"/>
      <c r="AD49" s="317"/>
      <c r="AE49" s="317"/>
      <c r="AF49" s="317"/>
      <c r="AG49" s="317"/>
      <c r="AH49" s="317"/>
      <c r="AI49" s="317"/>
      <c r="AJ49" s="320"/>
      <c r="AL49" s="600" t="s">
        <v>27</v>
      </c>
      <c r="AM49" s="600"/>
      <c r="AN49" s="600" t="s">
        <v>58</v>
      </c>
      <c r="AO49" s="600"/>
      <c r="AP49" s="600" t="s">
        <v>14</v>
      </c>
      <c r="AQ49" s="600"/>
      <c r="AR49" s="600" t="s">
        <v>22</v>
      </c>
      <c r="AS49" s="600"/>
      <c r="AT49" s="600" t="s">
        <v>1</v>
      </c>
      <c r="AU49" s="600"/>
      <c r="AV49" s="600" t="s">
        <v>18</v>
      </c>
      <c r="AW49" s="600"/>
      <c r="AX49" s="600" t="s">
        <v>28</v>
      </c>
      <c r="AY49" s="600"/>
      <c r="AZ49" s="600" t="s">
        <v>24</v>
      </c>
      <c r="BA49" s="600"/>
      <c r="BB49" s="600" t="s">
        <v>16</v>
      </c>
      <c r="BC49" s="600"/>
      <c r="BD49" s="600" t="s">
        <v>67</v>
      </c>
      <c r="BE49" s="600"/>
      <c r="BF49" s="600" t="s">
        <v>20</v>
      </c>
      <c r="BG49" s="600"/>
      <c r="BH49" s="600" t="s">
        <v>68</v>
      </c>
      <c r="BI49" s="600"/>
      <c r="BK49" s="658" t="s">
        <v>108</v>
      </c>
      <c r="BL49" s="326"/>
      <c r="BM49" s="659">
        <f>SUM(AL50:BI50)</f>
        <v>4</v>
      </c>
      <c r="BN49" s="660"/>
      <c r="BO49" s="661"/>
      <c r="BP49" s="327" t="s">
        <v>107</v>
      </c>
      <c r="BQ49" s="328"/>
      <c r="BR49" s="326"/>
      <c r="BS49" s="665"/>
      <c r="BT49" s="666"/>
      <c r="BU49" s="667"/>
      <c r="BV49" s="164"/>
      <c r="BW49" s="655"/>
      <c r="BX49" s="656"/>
      <c r="BY49" s="656"/>
      <c r="BZ49" s="656"/>
      <c r="CA49" s="656"/>
      <c r="CB49" s="656"/>
      <c r="CC49" s="656"/>
      <c r="CD49" s="656"/>
      <c r="CE49" s="656"/>
      <c r="CF49" s="656"/>
      <c r="CG49" s="656"/>
      <c r="CH49" s="657"/>
    </row>
    <row r="50" spans="2:86" ht="22.5" customHeight="1">
      <c r="B50" s="486">
        <v>204</v>
      </c>
      <c r="C50" s="606"/>
      <c r="D50" s="317" t="s">
        <v>535</v>
      </c>
      <c r="E50" s="317"/>
      <c r="F50" s="317"/>
      <c r="G50" s="317"/>
      <c r="H50" s="317"/>
      <c r="I50" s="317"/>
      <c r="J50" s="426">
        <v>4</v>
      </c>
      <c r="K50" s="426"/>
      <c r="L50" s="607"/>
      <c r="M50" s="607"/>
      <c r="N50" s="607"/>
      <c r="O50" s="607"/>
      <c r="P50" s="607"/>
      <c r="Q50" s="607"/>
      <c r="R50" s="607"/>
      <c r="S50" s="209"/>
      <c r="T50" s="607"/>
      <c r="U50" s="607"/>
      <c r="V50" s="607"/>
      <c r="W50" s="607"/>
      <c r="X50" s="608"/>
      <c r="Y50" s="319"/>
      <c r="Z50" s="317"/>
      <c r="AA50" s="317"/>
      <c r="AB50" s="317"/>
      <c r="AC50" s="317"/>
      <c r="AD50" s="317"/>
      <c r="AE50" s="317"/>
      <c r="AF50" s="317"/>
      <c r="AG50" s="317"/>
      <c r="AH50" s="317"/>
      <c r="AI50" s="317"/>
      <c r="AJ50" s="320"/>
      <c r="AL50" s="330">
        <v>2</v>
      </c>
      <c r="AM50" s="330"/>
      <c r="AN50" s="330">
        <v>2</v>
      </c>
      <c r="AO50" s="330"/>
      <c r="AP50" s="330"/>
      <c r="AQ50" s="330"/>
      <c r="AR50" s="330"/>
      <c r="AS50" s="330"/>
      <c r="AT50" s="330"/>
      <c r="AU50" s="330"/>
      <c r="AV50" s="330"/>
      <c r="AW50" s="330"/>
      <c r="AX50" s="330"/>
      <c r="AY50" s="330"/>
      <c r="AZ50" s="330"/>
      <c r="BA50" s="330"/>
      <c r="BB50" s="330"/>
      <c r="BC50" s="330"/>
      <c r="BD50" s="330"/>
      <c r="BE50" s="330"/>
      <c r="BF50" s="330"/>
      <c r="BG50" s="330"/>
      <c r="BH50" s="330"/>
      <c r="BI50" s="330"/>
      <c r="BK50" s="575"/>
      <c r="BL50" s="576"/>
      <c r="BM50" s="662"/>
      <c r="BN50" s="663"/>
      <c r="BO50" s="664"/>
      <c r="BP50" s="652">
        <f>IF(COUNT(AL50:BI50)=0,"",ROUND(AVERAGE(AL50:BI50),1))</f>
        <v>2</v>
      </c>
      <c r="BQ50" s="653"/>
      <c r="BR50" s="654"/>
      <c r="BS50" s="668"/>
      <c r="BT50" s="669"/>
      <c r="BU50" s="670"/>
      <c r="BV50" s="164"/>
    </row>
    <row r="51" spans="2:86" ht="22.5" customHeight="1">
      <c r="B51" s="486">
        <v>205</v>
      </c>
      <c r="C51" s="606"/>
      <c r="D51" s="317" t="s">
        <v>536</v>
      </c>
      <c r="E51" s="317"/>
      <c r="F51" s="317"/>
      <c r="G51" s="317"/>
      <c r="H51" s="317"/>
      <c r="I51" s="317"/>
      <c r="J51" s="426">
        <v>3</v>
      </c>
      <c r="K51" s="426"/>
      <c r="L51" s="607" t="s">
        <v>775</v>
      </c>
      <c r="M51" s="607"/>
      <c r="N51" s="607"/>
      <c r="O51" s="607"/>
      <c r="P51" s="607"/>
      <c r="Q51" s="607"/>
      <c r="R51" s="607"/>
      <c r="S51" s="209"/>
      <c r="T51" s="607"/>
      <c r="U51" s="607"/>
      <c r="V51" s="607"/>
      <c r="W51" s="607"/>
      <c r="X51" s="608"/>
      <c r="Y51" s="319"/>
      <c r="Z51" s="317"/>
      <c r="AA51" s="317"/>
      <c r="AB51" s="317"/>
      <c r="AC51" s="317"/>
      <c r="AD51" s="317"/>
      <c r="AE51" s="317"/>
      <c r="AF51" s="317"/>
      <c r="AG51" s="317"/>
      <c r="AH51" s="317"/>
      <c r="AI51" s="317"/>
      <c r="AJ51" s="320"/>
      <c r="AQ51" s="169"/>
      <c r="AR51" s="168"/>
      <c r="AS51" s="168"/>
      <c r="AT51" s="168"/>
      <c r="AU51" s="168"/>
      <c r="AV51" s="168"/>
      <c r="AW51" s="169"/>
      <c r="AX51" s="172"/>
      <c r="AY51" s="172"/>
      <c r="AZ51" s="172"/>
      <c r="BA51" s="172"/>
      <c r="BB51" s="168"/>
      <c r="BC51" s="168"/>
      <c r="BD51" s="168"/>
      <c r="BE51" s="168"/>
      <c r="BF51" s="169"/>
      <c r="BG51" s="169"/>
      <c r="BH51" s="169"/>
      <c r="BI51" s="169"/>
      <c r="BW51" s="179" t="s">
        <v>259</v>
      </c>
      <c r="BX51" s="179"/>
      <c r="BY51" s="179"/>
      <c r="BZ51" s="179"/>
      <c r="CA51" s="179"/>
      <c r="CB51" s="179"/>
      <c r="CC51" s="179"/>
      <c r="CD51" s="179"/>
      <c r="CE51" s="179"/>
      <c r="CF51" s="179"/>
      <c r="CG51" s="179"/>
      <c r="CH51" s="179"/>
    </row>
    <row r="52" spans="2:86" ht="22.5" customHeight="1">
      <c r="B52" s="486">
        <v>206</v>
      </c>
      <c r="C52" s="606"/>
      <c r="D52" s="317" t="s">
        <v>537</v>
      </c>
      <c r="E52" s="317"/>
      <c r="F52" s="317"/>
      <c r="G52" s="317"/>
      <c r="H52" s="317"/>
      <c r="I52" s="317"/>
      <c r="J52" s="426">
        <v>5</v>
      </c>
      <c r="K52" s="426"/>
      <c r="L52" s="607"/>
      <c r="M52" s="607"/>
      <c r="N52" s="607"/>
      <c r="O52" s="607"/>
      <c r="P52" s="607"/>
      <c r="Q52" s="607"/>
      <c r="R52" s="607"/>
      <c r="S52" s="209"/>
      <c r="T52" s="607"/>
      <c r="U52" s="607"/>
      <c r="V52" s="607"/>
      <c r="W52" s="607"/>
      <c r="X52" s="608"/>
      <c r="Y52" s="319"/>
      <c r="Z52" s="317"/>
      <c r="AA52" s="317"/>
      <c r="AB52" s="317"/>
      <c r="AC52" s="317"/>
      <c r="AD52" s="317"/>
      <c r="AE52" s="317"/>
      <c r="AF52" s="317"/>
      <c r="AG52" s="317"/>
      <c r="AH52" s="317"/>
      <c r="AI52" s="317"/>
      <c r="AJ52" s="320"/>
      <c r="AL52" s="182" t="s">
        <v>242</v>
      </c>
      <c r="AM52" s="182"/>
      <c r="AN52" s="182"/>
      <c r="AO52" s="182"/>
      <c r="AP52" s="182"/>
      <c r="AQ52" s="182"/>
      <c r="AR52" s="183"/>
      <c r="AS52" s="183"/>
      <c r="AT52" s="183"/>
      <c r="AU52" s="183"/>
      <c r="AV52" s="183"/>
      <c r="AW52" s="183"/>
      <c r="AX52" s="184"/>
      <c r="AY52" s="184"/>
      <c r="AZ52" s="184"/>
      <c r="BA52" s="184"/>
      <c r="BB52" s="185"/>
      <c r="BC52" s="185"/>
      <c r="BD52" s="185"/>
      <c r="BE52" s="185"/>
      <c r="BF52" s="186"/>
      <c r="BG52" s="186"/>
      <c r="BH52" s="186"/>
      <c r="BI52" s="186"/>
      <c r="BJ52" s="163"/>
      <c r="BK52" s="163"/>
      <c r="BL52" s="163"/>
      <c r="BM52" s="163"/>
      <c r="BN52" s="163"/>
      <c r="BO52" s="163"/>
      <c r="BP52" s="163"/>
      <c r="BQ52" s="163"/>
      <c r="BR52" s="163"/>
      <c r="BS52" s="163"/>
      <c r="BT52" s="163"/>
      <c r="BU52" s="163"/>
      <c r="BW52" s="678"/>
      <c r="BX52" s="679"/>
      <c r="BY52" s="679"/>
      <c r="BZ52" s="679"/>
      <c r="CA52" s="679"/>
      <c r="CB52" s="679"/>
      <c r="CC52" s="679"/>
      <c r="CD52" s="679"/>
      <c r="CE52" s="679"/>
      <c r="CF52" s="679"/>
      <c r="CG52" s="679"/>
      <c r="CH52" s="680"/>
    </row>
    <row r="53" spans="2:86" ht="22.5" customHeight="1">
      <c r="B53" s="486">
        <v>207</v>
      </c>
      <c r="C53" s="606"/>
      <c r="D53" s="317" t="s">
        <v>538</v>
      </c>
      <c r="E53" s="317"/>
      <c r="F53" s="317"/>
      <c r="G53" s="317"/>
      <c r="H53" s="317"/>
      <c r="I53" s="317"/>
      <c r="J53" s="426">
        <v>4</v>
      </c>
      <c r="K53" s="426"/>
      <c r="L53" s="607"/>
      <c r="M53" s="607"/>
      <c r="N53" s="607"/>
      <c r="O53" s="607"/>
      <c r="P53" s="607"/>
      <c r="Q53" s="607"/>
      <c r="R53" s="607"/>
      <c r="S53" s="209"/>
      <c r="T53" s="607"/>
      <c r="U53" s="607"/>
      <c r="V53" s="607"/>
      <c r="W53" s="607"/>
      <c r="X53" s="608"/>
      <c r="Y53" s="319"/>
      <c r="Z53" s="317"/>
      <c r="AA53" s="317"/>
      <c r="AB53" s="317"/>
      <c r="AC53" s="317"/>
      <c r="AD53" s="317"/>
      <c r="AE53" s="317"/>
      <c r="AF53" s="317"/>
      <c r="AG53" s="317"/>
      <c r="AH53" s="317"/>
      <c r="AI53" s="317"/>
      <c r="AJ53" s="320"/>
      <c r="AL53" s="671" t="s">
        <v>27</v>
      </c>
      <c r="AM53" s="671"/>
      <c r="AN53" s="671" t="s">
        <v>58</v>
      </c>
      <c r="AO53" s="671"/>
      <c r="AP53" s="671" t="s">
        <v>14</v>
      </c>
      <c r="AQ53" s="671"/>
      <c r="AR53" s="671" t="s">
        <v>22</v>
      </c>
      <c r="AS53" s="671"/>
      <c r="AT53" s="671" t="s">
        <v>1</v>
      </c>
      <c r="AU53" s="671"/>
      <c r="AV53" s="671" t="s">
        <v>18</v>
      </c>
      <c r="AW53" s="671"/>
      <c r="AX53" s="671" t="s">
        <v>28</v>
      </c>
      <c r="AY53" s="671"/>
      <c r="AZ53" s="671" t="s">
        <v>24</v>
      </c>
      <c r="BA53" s="671"/>
      <c r="BB53" s="671" t="s">
        <v>16</v>
      </c>
      <c r="BC53" s="671"/>
      <c r="BD53" s="671" t="s">
        <v>67</v>
      </c>
      <c r="BE53" s="671"/>
      <c r="BF53" s="671" t="s">
        <v>20</v>
      </c>
      <c r="BG53" s="671"/>
      <c r="BH53" s="671" t="s">
        <v>68</v>
      </c>
      <c r="BI53" s="671"/>
      <c r="BK53" s="672" t="s">
        <v>108</v>
      </c>
      <c r="BL53" s="673"/>
      <c r="BM53" s="659">
        <f>SUM(AL54:BI54)</f>
        <v>1</v>
      </c>
      <c r="BN53" s="660"/>
      <c r="BO53" s="661"/>
      <c r="BP53" s="676" t="s">
        <v>107</v>
      </c>
      <c r="BQ53" s="677"/>
      <c r="BR53" s="673"/>
      <c r="BS53" s="665"/>
      <c r="BT53" s="666"/>
      <c r="BU53" s="667"/>
      <c r="BW53" s="681"/>
      <c r="BX53" s="682"/>
      <c r="BY53" s="682"/>
      <c r="BZ53" s="682"/>
      <c r="CA53" s="682"/>
      <c r="CB53" s="682"/>
      <c r="CC53" s="682"/>
      <c r="CD53" s="682"/>
      <c r="CE53" s="682"/>
      <c r="CF53" s="682"/>
      <c r="CG53" s="682"/>
      <c r="CH53" s="683"/>
    </row>
    <row r="54" spans="2:86" ht="22.5" customHeight="1">
      <c r="B54" s="486">
        <v>208</v>
      </c>
      <c r="C54" s="606"/>
      <c r="D54" s="317" t="s">
        <v>539</v>
      </c>
      <c r="E54" s="317"/>
      <c r="F54" s="317"/>
      <c r="G54" s="317"/>
      <c r="H54" s="317"/>
      <c r="I54" s="317"/>
      <c r="J54" s="426">
        <v>4</v>
      </c>
      <c r="K54" s="426"/>
      <c r="L54" s="607"/>
      <c r="M54" s="607"/>
      <c r="N54" s="607"/>
      <c r="O54" s="607"/>
      <c r="P54" s="607"/>
      <c r="Q54" s="607"/>
      <c r="R54" s="607"/>
      <c r="S54" s="209"/>
      <c r="T54" s="607"/>
      <c r="U54" s="607"/>
      <c r="V54" s="607"/>
      <c r="W54" s="607"/>
      <c r="X54" s="608"/>
      <c r="Y54" s="319"/>
      <c r="Z54" s="317"/>
      <c r="AA54" s="317"/>
      <c r="AB54" s="317"/>
      <c r="AC54" s="317"/>
      <c r="AD54" s="317"/>
      <c r="AE54" s="317"/>
      <c r="AF54" s="317"/>
      <c r="AG54" s="317"/>
      <c r="AH54" s="317"/>
      <c r="AI54" s="317"/>
      <c r="AJ54" s="320"/>
      <c r="AL54" s="330">
        <v>0</v>
      </c>
      <c r="AM54" s="330"/>
      <c r="AN54" s="330">
        <v>1</v>
      </c>
      <c r="AO54" s="330"/>
      <c r="AP54" s="330">
        <v>0</v>
      </c>
      <c r="AQ54" s="330"/>
      <c r="AR54" s="330"/>
      <c r="AS54" s="330"/>
      <c r="AT54" s="330"/>
      <c r="AU54" s="330"/>
      <c r="AV54" s="330"/>
      <c r="AW54" s="330"/>
      <c r="AX54" s="330"/>
      <c r="AY54" s="330"/>
      <c r="AZ54" s="330"/>
      <c r="BA54" s="330"/>
      <c r="BB54" s="330"/>
      <c r="BC54" s="330"/>
      <c r="BD54" s="330"/>
      <c r="BE54" s="330"/>
      <c r="BF54" s="330"/>
      <c r="BG54" s="330"/>
      <c r="BH54" s="330"/>
      <c r="BI54" s="330"/>
      <c r="BK54" s="674"/>
      <c r="BL54" s="675"/>
      <c r="BM54" s="662"/>
      <c r="BN54" s="663"/>
      <c r="BO54" s="664"/>
      <c r="BP54" s="652">
        <f>IF(COUNT(AL54:BI54)=0,"",ROUND(AVERAGE(AL54:BI54),1))</f>
        <v>0.3</v>
      </c>
      <c r="BQ54" s="653"/>
      <c r="BR54" s="654"/>
      <c r="BS54" s="668"/>
      <c r="BT54" s="669"/>
      <c r="BU54" s="670"/>
      <c r="BW54" s="681"/>
      <c r="BX54" s="682"/>
      <c r="BY54" s="682"/>
      <c r="BZ54" s="682"/>
      <c r="CA54" s="682"/>
      <c r="CB54" s="682"/>
      <c r="CC54" s="682"/>
      <c r="CD54" s="682"/>
      <c r="CE54" s="682"/>
      <c r="CF54" s="682"/>
      <c r="CG54" s="682"/>
      <c r="CH54" s="683"/>
    </row>
    <row r="55" spans="2:86" ht="22.5" customHeight="1">
      <c r="B55" s="486">
        <v>209</v>
      </c>
      <c r="C55" s="606"/>
      <c r="D55" s="317" t="s">
        <v>540</v>
      </c>
      <c r="E55" s="317"/>
      <c r="F55" s="317"/>
      <c r="G55" s="317"/>
      <c r="H55" s="317"/>
      <c r="I55" s="317"/>
      <c r="J55" s="426">
        <v>4</v>
      </c>
      <c r="K55" s="426"/>
      <c r="L55" s="607"/>
      <c r="M55" s="607"/>
      <c r="N55" s="607"/>
      <c r="O55" s="607"/>
      <c r="P55" s="607"/>
      <c r="Q55" s="607"/>
      <c r="R55" s="607"/>
      <c r="S55" s="209"/>
      <c r="T55" s="607"/>
      <c r="U55" s="607"/>
      <c r="V55" s="607"/>
      <c r="W55" s="607"/>
      <c r="X55" s="608"/>
      <c r="Y55" s="319"/>
      <c r="Z55" s="317"/>
      <c r="AA55" s="317"/>
      <c r="AB55" s="317"/>
      <c r="AC55" s="317"/>
      <c r="AD55" s="317"/>
      <c r="AE55" s="317"/>
      <c r="AF55" s="317"/>
      <c r="AG55" s="317"/>
      <c r="AH55" s="317"/>
      <c r="AI55" s="317"/>
      <c r="AJ55" s="320"/>
      <c r="AL55" s="173"/>
      <c r="AM55" s="174"/>
      <c r="AN55" s="174"/>
      <c r="AO55" s="174"/>
      <c r="AQ55" s="169"/>
      <c r="AR55" s="168"/>
      <c r="AS55" s="168"/>
      <c r="AT55" s="168"/>
      <c r="AU55" s="168"/>
      <c r="AV55" s="168"/>
      <c r="AW55" s="169"/>
      <c r="AX55" s="172"/>
      <c r="AY55" s="172"/>
      <c r="AZ55" s="172"/>
      <c r="BA55" s="172"/>
      <c r="BB55" s="168"/>
      <c r="BC55" s="168"/>
      <c r="BD55" s="168"/>
      <c r="BE55" s="168"/>
      <c r="BF55" s="169"/>
      <c r="BG55" s="169"/>
      <c r="BH55" s="169"/>
      <c r="BI55" s="169"/>
      <c r="BW55" s="681"/>
      <c r="BX55" s="682"/>
      <c r="BY55" s="682"/>
      <c r="BZ55" s="682"/>
      <c r="CA55" s="682"/>
      <c r="CB55" s="682"/>
      <c r="CC55" s="682"/>
      <c r="CD55" s="682"/>
      <c r="CE55" s="682"/>
      <c r="CF55" s="682"/>
      <c r="CG55" s="682"/>
      <c r="CH55" s="683"/>
    </row>
    <row r="56" spans="2:86" ht="22.5" customHeight="1" thickBot="1">
      <c r="B56" s="622">
        <v>210</v>
      </c>
      <c r="C56" s="623"/>
      <c r="D56" s="624" t="s">
        <v>541</v>
      </c>
      <c r="E56" s="624"/>
      <c r="F56" s="624"/>
      <c r="G56" s="624"/>
      <c r="H56" s="624"/>
      <c r="I56" s="624"/>
      <c r="J56" s="625">
        <v>5</v>
      </c>
      <c r="K56" s="625"/>
      <c r="L56" s="626"/>
      <c r="M56" s="626"/>
      <c r="N56" s="626"/>
      <c r="O56" s="626"/>
      <c r="P56" s="626"/>
      <c r="Q56" s="626"/>
      <c r="R56" s="626"/>
      <c r="S56" s="211"/>
      <c r="T56" s="626"/>
      <c r="U56" s="626"/>
      <c r="V56" s="626"/>
      <c r="W56" s="626"/>
      <c r="X56" s="627"/>
      <c r="Y56" s="628"/>
      <c r="Z56" s="624"/>
      <c r="AA56" s="624"/>
      <c r="AB56" s="624"/>
      <c r="AC56" s="624"/>
      <c r="AD56" s="624"/>
      <c r="AE56" s="624"/>
      <c r="AF56" s="624"/>
      <c r="AG56" s="624"/>
      <c r="AH56" s="624"/>
      <c r="AI56" s="624"/>
      <c r="AJ56" s="629"/>
      <c r="AL56" s="182" t="s">
        <v>243</v>
      </c>
      <c r="AM56" s="182"/>
      <c r="AN56" s="182"/>
      <c r="AO56" s="182"/>
      <c r="AP56" s="182"/>
      <c r="AQ56" s="182"/>
      <c r="AR56" s="183"/>
      <c r="AS56" s="183"/>
      <c r="AT56" s="183"/>
      <c r="AU56" s="183"/>
      <c r="AV56" s="183"/>
      <c r="AW56" s="183"/>
      <c r="AX56" s="179"/>
      <c r="AY56" s="184"/>
      <c r="AZ56" s="184"/>
      <c r="BA56" s="184"/>
      <c r="BB56" s="185"/>
      <c r="BC56" s="185"/>
      <c r="BD56" s="185"/>
      <c r="BE56" s="185"/>
      <c r="BF56" s="186"/>
      <c r="BG56" s="186"/>
      <c r="BH56" s="186"/>
      <c r="BI56" s="186"/>
      <c r="BJ56" s="163"/>
      <c r="BK56" s="163"/>
      <c r="BL56" s="163"/>
      <c r="BM56" s="163"/>
      <c r="BN56" s="163"/>
      <c r="BO56" s="163"/>
      <c r="BP56" s="163"/>
      <c r="BQ56" s="163"/>
      <c r="BR56" s="163"/>
      <c r="BS56" s="163"/>
      <c r="BT56" s="163"/>
      <c r="BU56" s="163"/>
      <c r="BW56" s="681"/>
      <c r="BX56" s="682"/>
      <c r="BY56" s="682"/>
      <c r="BZ56" s="682"/>
      <c r="CA56" s="682"/>
      <c r="CB56" s="682"/>
      <c r="CC56" s="682"/>
      <c r="CD56" s="682"/>
      <c r="CE56" s="682"/>
      <c r="CF56" s="682"/>
      <c r="CG56" s="682"/>
      <c r="CH56" s="683"/>
    </row>
    <row r="57" spans="2:86" ht="22.5" customHeight="1">
      <c r="B57" s="550">
        <v>301</v>
      </c>
      <c r="C57" s="645"/>
      <c r="D57" s="646"/>
      <c r="E57" s="646"/>
      <c r="F57" s="646"/>
      <c r="G57" s="646"/>
      <c r="H57" s="646"/>
      <c r="I57" s="646"/>
      <c r="J57" s="647"/>
      <c r="K57" s="647"/>
      <c r="L57" s="648"/>
      <c r="M57" s="648"/>
      <c r="N57" s="648"/>
      <c r="O57" s="648"/>
      <c r="P57" s="648"/>
      <c r="Q57" s="648"/>
      <c r="R57" s="648"/>
      <c r="S57" s="212"/>
      <c r="T57" s="648"/>
      <c r="U57" s="648"/>
      <c r="V57" s="648"/>
      <c r="W57" s="648"/>
      <c r="X57" s="649"/>
      <c r="Y57" s="650"/>
      <c r="Z57" s="646"/>
      <c r="AA57" s="646"/>
      <c r="AB57" s="646"/>
      <c r="AC57" s="646"/>
      <c r="AD57" s="646"/>
      <c r="AE57" s="646"/>
      <c r="AF57" s="646"/>
      <c r="AG57" s="646"/>
      <c r="AH57" s="646"/>
      <c r="AI57" s="646"/>
      <c r="AJ57" s="651"/>
      <c r="AL57" s="600" t="s">
        <v>27</v>
      </c>
      <c r="AM57" s="600"/>
      <c r="AN57" s="600" t="s">
        <v>58</v>
      </c>
      <c r="AO57" s="600"/>
      <c r="AP57" s="600" t="s">
        <v>14</v>
      </c>
      <c r="AQ57" s="600"/>
      <c r="AR57" s="600" t="s">
        <v>22</v>
      </c>
      <c r="AS57" s="600"/>
      <c r="AT57" s="600" t="s">
        <v>1</v>
      </c>
      <c r="AU57" s="600"/>
      <c r="AV57" s="600" t="s">
        <v>18</v>
      </c>
      <c r="AW57" s="600"/>
      <c r="AX57" s="600" t="s">
        <v>28</v>
      </c>
      <c r="AY57" s="600"/>
      <c r="AZ57" s="600" t="s">
        <v>24</v>
      </c>
      <c r="BA57" s="600"/>
      <c r="BB57" s="600" t="s">
        <v>16</v>
      </c>
      <c r="BC57" s="600"/>
      <c r="BD57" s="600" t="s">
        <v>67</v>
      </c>
      <c r="BE57" s="600"/>
      <c r="BF57" s="600" t="s">
        <v>20</v>
      </c>
      <c r="BG57" s="600"/>
      <c r="BH57" s="600" t="s">
        <v>68</v>
      </c>
      <c r="BI57" s="600"/>
      <c r="BK57" s="658" t="s">
        <v>108</v>
      </c>
      <c r="BL57" s="326"/>
      <c r="BM57" s="659">
        <f>SUM(AL58:BI58)</f>
        <v>0</v>
      </c>
      <c r="BN57" s="660"/>
      <c r="BO57" s="661"/>
      <c r="BP57" s="327" t="s">
        <v>107</v>
      </c>
      <c r="BQ57" s="328"/>
      <c r="BR57" s="326"/>
      <c r="BS57" s="665"/>
      <c r="BT57" s="666"/>
      <c r="BU57" s="667"/>
      <c r="BW57" s="684"/>
      <c r="BX57" s="685"/>
      <c r="BY57" s="685"/>
      <c r="BZ57" s="685"/>
      <c r="CA57" s="685"/>
      <c r="CB57" s="685"/>
      <c r="CC57" s="685"/>
      <c r="CD57" s="685"/>
      <c r="CE57" s="685"/>
      <c r="CF57" s="685"/>
      <c r="CG57" s="685"/>
      <c r="CH57" s="686"/>
    </row>
    <row r="58" spans="2:86" ht="22.5" customHeight="1">
      <c r="B58" s="486">
        <v>302</v>
      </c>
      <c r="C58" s="606"/>
      <c r="D58" s="317"/>
      <c r="E58" s="317"/>
      <c r="F58" s="317"/>
      <c r="G58" s="317"/>
      <c r="H58" s="317"/>
      <c r="I58" s="317"/>
      <c r="J58" s="426"/>
      <c r="K58" s="426"/>
      <c r="L58" s="607"/>
      <c r="M58" s="607"/>
      <c r="N58" s="607"/>
      <c r="O58" s="607"/>
      <c r="P58" s="607"/>
      <c r="Q58" s="607"/>
      <c r="R58" s="607"/>
      <c r="S58" s="209"/>
      <c r="T58" s="607"/>
      <c r="U58" s="607"/>
      <c r="V58" s="607"/>
      <c r="W58" s="607"/>
      <c r="X58" s="608"/>
      <c r="Y58" s="319"/>
      <c r="Z58" s="317"/>
      <c r="AA58" s="317"/>
      <c r="AB58" s="317"/>
      <c r="AC58" s="317"/>
      <c r="AD58" s="317"/>
      <c r="AE58" s="317"/>
      <c r="AF58" s="317"/>
      <c r="AG58" s="317"/>
      <c r="AH58" s="317"/>
      <c r="AI58" s="317"/>
      <c r="AJ58" s="320"/>
      <c r="AL58" s="330">
        <v>0</v>
      </c>
      <c r="AM58" s="330"/>
      <c r="AN58" s="330">
        <v>0</v>
      </c>
      <c r="AO58" s="330"/>
      <c r="AP58" s="330">
        <v>0</v>
      </c>
      <c r="AQ58" s="330"/>
      <c r="AR58" s="330"/>
      <c r="AS58" s="330"/>
      <c r="AT58" s="330"/>
      <c r="AU58" s="330"/>
      <c r="AV58" s="330"/>
      <c r="AW58" s="330"/>
      <c r="AX58" s="330"/>
      <c r="AY58" s="330"/>
      <c r="AZ58" s="330"/>
      <c r="BA58" s="330"/>
      <c r="BB58" s="330"/>
      <c r="BC58" s="330"/>
      <c r="BD58" s="330"/>
      <c r="BE58" s="330"/>
      <c r="BF58" s="330"/>
      <c r="BG58" s="330"/>
      <c r="BH58" s="330"/>
      <c r="BI58" s="330"/>
      <c r="BK58" s="575"/>
      <c r="BL58" s="576"/>
      <c r="BM58" s="662"/>
      <c r="BN58" s="663"/>
      <c r="BO58" s="664"/>
      <c r="BP58" s="652">
        <f>IF(COUNT(AL58:BI58)=0,"",ROUND(AVERAGE(AL58:BI58),1))</f>
        <v>0</v>
      </c>
      <c r="BQ58" s="653"/>
      <c r="BR58" s="654"/>
      <c r="BS58" s="668"/>
      <c r="BT58" s="669"/>
      <c r="BU58" s="670"/>
    </row>
    <row r="59" spans="2:86" ht="22.5" customHeight="1">
      <c r="B59" s="486">
        <v>303</v>
      </c>
      <c r="C59" s="606"/>
      <c r="D59" s="317"/>
      <c r="E59" s="317"/>
      <c r="F59" s="317"/>
      <c r="G59" s="317"/>
      <c r="H59" s="317"/>
      <c r="I59" s="317"/>
      <c r="J59" s="426"/>
      <c r="K59" s="426"/>
      <c r="L59" s="607"/>
      <c r="M59" s="607"/>
      <c r="N59" s="607"/>
      <c r="O59" s="607"/>
      <c r="P59" s="607"/>
      <c r="Q59" s="607"/>
      <c r="R59" s="607"/>
      <c r="S59" s="209"/>
      <c r="T59" s="607"/>
      <c r="U59" s="607"/>
      <c r="V59" s="607"/>
      <c r="W59" s="607"/>
      <c r="X59" s="608"/>
      <c r="Y59" s="319"/>
      <c r="Z59" s="317"/>
      <c r="AA59" s="317"/>
      <c r="AB59" s="317"/>
      <c r="AC59" s="317"/>
      <c r="AD59" s="317"/>
      <c r="AE59" s="317"/>
      <c r="AF59" s="317"/>
      <c r="AG59" s="317"/>
      <c r="AH59" s="317"/>
      <c r="AI59" s="317"/>
      <c r="AJ59" s="320"/>
      <c r="AY59" s="172"/>
      <c r="AZ59" s="172"/>
      <c r="BA59" s="172"/>
      <c r="BB59" s="168"/>
      <c r="BC59" s="168"/>
      <c r="BD59" s="168"/>
      <c r="BE59" s="168"/>
      <c r="BF59" s="169"/>
      <c r="BG59" s="169"/>
      <c r="BH59" s="169"/>
      <c r="BI59" s="169"/>
      <c r="BW59" s="179" t="s">
        <v>259</v>
      </c>
      <c r="BX59" s="179"/>
      <c r="BY59" s="179"/>
      <c r="BZ59" s="179"/>
      <c r="CA59" s="179"/>
      <c r="CB59" s="179"/>
      <c r="CC59" s="179"/>
      <c r="CD59" s="179"/>
      <c r="CE59" s="179"/>
      <c r="CF59" s="179"/>
      <c r="CG59" s="179"/>
      <c r="CH59" s="179"/>
    </row>
    <row r="60" spans="2:86" ht="22.5" customHeight="1">
      <c r="B60" s="486">
        <v>304</v>
      </c>
      <c r="C60" s="606"/>
      <c r="D60" s="317"/>
      <c r="E60" s="317"/>
      <c r="F60" s="317"/>
      <c r="G60" s="317"/>
      <c r="H60" s="317"/>
      <c r="I60" s="317"/>
      <c r="J60" s="426"/>
      <c r="K60" s="426"/>
      <c r="L60" s="607"/>
      <c r="M60" s="607"/>
      <c r="N60" s="607"/>
      <c r="O60" s="607"/>
      <c r="P60" s="607"/>
      <c r="Q60" s="607"/>
      <c r="R60" s="607"/>
      <c r="S60" s="209"/>
      <c r="T60" s="607"/>
      <c r="U60" s="607"/>
      <c r="V60" s="607"/>
      <c r="W60" s="607"/>
      <c r="X60" s="608"/>
      <c r="Y60" s="319"/>
      <c r="Z60" s="317"/>
      <c r="AA60" s="317"/>
      <c r="AB60" s="317"/>
      <c r="AC60" s="317"/>
      <c r="AD60" s="317"/>
      <c r="AE60" s="317"/>
      <c r="AF60" s="317"/>
      <c r="AG60" s="317"/>
      <c r="AH60" s="317"/>
      <c r="AI60" s="317"/>
      <c r="AJ60" s="320"/>
      <c r="AL60" s="182" t="s">
        <v>231</v>
      </c>
      <c r="AM60" s="182"/>
      <c r="AN60" s="182"/>
      <c r="AO60" s="182"/>
      <c r="AP60" s="182"/>
      <c r="AQ60" s="182"/>
      <c r="AR60" s="183"/>
      <c r="AS60" s="183"/>
      <c r="AT60" s="183"/>
      <c r="AU60" s="183"/>
      <c r="AV60" s="183"/>
      <c r="AW60" s="183"/>
      <c r="AX60" s="184"/>
      <c r="AY60" s="184"/>
      <c r="AZ60" s="184"/>
      <c r="BA60" s="184"/>
      <c r="BB60" s="185"/>
      <c r="BC60" s="185"/>
      <c r="BD60" s="185"/>
      <c r="BE60" s="185"/>
      <c r="BF60" s="186"/>
      <c r="BG60" s="186"/>
      <c r="BH60" s="186"/>
      <c r="BI60" s="186"/>
      <c r="BJ60" s="163"/>
      <c r="BK60" s="163"/>
      <c r="BL60" s="163"/>
      <c r="BM60" s="163"/>
      <c r="BN60" s="163"/>
      <c r="BO60" s="163"/>
      <c r="BP60" s="163"/>
      <c r="BQ60" s="163"/>
      <c r="BR60" s="163"/>
      <c r="BS60" s="163"/>
      <c r="BT60" s="163"/>
      <c r="BU60" s="163"/>
      <c r="BW60" s="687"/>
      <c r="BX60" s="688"/>
      <c r="BY60" s="688"/>
      <c r="BZ60" s="688"/>
      <c r="CA60" s="688"/>
      <c r="CB60" s="688"/>
      <c r="CC60" s="688"/>
      <c r="CD60" s="688"/>
      <c r="CE60" s="688"/>
      <c r="CF60" s="688"/>
      <c r="CG60" s="688"/>
      <c r="CH60" s="689"/>
    </row>
    <row r="61" spans="2:86" ht="22.5" customHeight="1">
      <c r="B61" s="486">
        <v>305</v>
      </c>
      <c r="C61" s="606"/>
      <c r="D61" s="317"/>
      <c r="E61" s="317"/>
      <c r="F61" s="317"/>
      <c r="G61" s="317"/>
      <c r="H61" s="317"/>
      <c r="I61" s="317"/>
      <c r="J61" s="426"/>
      <c r="K61" s="426"/>
      <c r="L61" s="607"/>
      <c r="M61" s="607"/>
      <c r="N61" s="607"/>
      <c r="O61" s="607"/>
      <c r="P61" s="607"/>
      <c r="Q61" s="607"/>
      <c r="R61" s="607"/>
      <c r="S61" s="209"/>
      <c r="T61" s="607"/>
      <c r="U61" s="607"/>
      <c r="V61" s="607"/>
      <c r="W61" s="607"/>
      <c r="X61" s="608"/>
      <c r="Y61" s="319"/>
      <c r="Z61" s="317"/>
      <c r="AA61" s="317"/>
      <c r="AB61" s="317"/>
      <c r="AC61" s="317"/>
      <c r="AD61" s="317"/>
      <c r="AE61" s="317"/>
      <c r="AF61" s="317"/>
      <c r="AG61" s="317"/>
      <c r="AH61" s="317"/>
      <c r="AI61" s="317"/>
      <c r="AJ61" s="320"/>
      <c r="AL61" s="600" t="s">
        <v>27</v>
      </c>
      <c r="AM61" s="600"/>
      <c r="AN61" s="600" t="s">
        <v>58</v>
      </c>
      <c r="AO61" s="600"/>
      <c r="AP61" s="600" t="s">
        <v>14</v>
      </c>
      <c r="AQ61" s="600"/>
      <c r="AR61" s="600" t="s">
        <v>22</v>
      </c>
      <c r="AS61" s="600"/>
      <c r="AT61" s="600" t="s">
        <v>1</v>
      </c>
      <c r="AU61" s="600"/>
      <c r="AV61" s="600" t="s">
        <v>18</v>
      </c>
      <c r="AW61" s="600"/>
      <c r="AX61" s="600" t="s">
        <v>28</v>
      </c>
      <c r="AY61" s="600"/>
      <c r="AZ61" s="600" t="s">
        <v>24</v>
      </c>
      <c r="BA61" s="600"/>
      <c r="BB61" s="600" t="s">
        <v>16</v>
      </c>
      <c r="BC61" s="600"/>
      <c r="BD61" s="600" t="s">
        <v>67</v>
      </c>
      <c r="BE61" s="600"/>
      <c r="BF61" s="600" t="s">
        <v>20</v>
      </c>
      <c r="BG61" s="600"/>
      <c r="BH61" s="600" t="s">
        <v>68</v>
      </c>
      <c r="BI61" s="600"/>
      <c r="BK61" s="658" t="s">
        <v>108</v>
      </c>
      <c r="BL61" s="326"/>
      <c r="BM61" s="699">
        <f>SUM(AL62:BI62)</f>
        <v>0</v>
      </c>
      <c r="BN61" s="700"/>
      <c r="BO61" s="701"/>
      <c r="BP61" s="327" t="s">
        <v>107</v>
      </c>
      <c r="BQ61" s="328"/>
      <c r="BR61" s="326"/>
      <c r="BS61" s="665"/>
      <c r="BT61" s="666"/>
      <c r="BU61" s="667"/>
      <c r="BW61" s="690"/>
      <c r="BX61" s="691"/>
      <c r="BY61" s="691"/>
      <c r="BZ61" s="691"/>
      <c r="CA61" s="691"/>
      <c r="CB61" s="691"/>
      <c r="CC61" s="691"/>
      <c r="CD61" s="691"/>
      <c r="CE61" s="691"/>
      <c r="CF61" s="691"/>
      <c r="CG61" s="691"/>
      <c r="CH61" s="692"/>
    </row>
    <row r="62" spans="2:86" ht="22.5" customHeight="1">
      <c r="B62" s="486">
        <v>306</v>
      </c>
      <c r="C62" s="606"/>
      <c r="D62" s="317"/>
      <c r="E62" s="317"/>
      <c r="F62" s="317"/>
      <c r="G62" s="317"/>
      <c r="H62" s="317"/>
      <c r="I62" s="317"/>
      <c r="J62" s="426"/>
      <c r="K62" s="426"/>
      <c r="L62" s="607"/>
      <c r="M62" s="607"/>
      <c r="N62" s="607"/>
      <c r="O62" s="607"/>
      <c r="P62" s="607"/>
      <c r="Q62" s="607"/>
      <c r="R62" s="607"/>
      <c r="S62" s="209"/>
      <c r="T62" s="607"/>
      <c r="U62" s="607"/>
      <c r="V62" s="607"/>
      <c r="W62" s="607"/>
      <c r="X62" s="608"/>
      <c r="Y62" s="319"/>
      <c r="Z62" s="317"/>
      <c r="AA62" s="317"/>
      <c r="AB62" s="317"/>
      <c r="AC62" s="317"/>
      <c r="AD62" s="317"/>
      <c r="AE62" s="317"/>
      <c r="AF62" s="317"/>
      <c r="AG62" s="317"/>
      <c r="AH62" s="317"/>
      <c r="AI62" s="317"/>
      <c r="AJ62" s="320"/>
      <c r="AL62" s="330"/>
      <c r="AM62" s="330"/>
      <c r="AN62" s="330"/>
      <c r="AO62" s="330"/>
      <c r="AP62" s="330"/>
      <c r="AQ62" s="330"/>
      <c r="AR62" s="330"/>
      <c r="AS62" s="330"/>
      <c r="AT62" s="330"/>
      <c r="AU62" s="330"/>
      <c r="AV62" s="330"/>
      <c r="AW62" s="330"/>
      <c r="AX62" s="330"/>
      <c r="AY62" s="330"/>
      <c r="AZ62" s="330"/>
      <c r="BA62" s="330"/>
      <c r="BB62" s="330"/>
      <c r="BC62" s="330"/>
      <c r="BD62" s="330"/>
      <c r="BE62" s="330"/>
      <c r="BF62" s="330"/>
      <c r="BG62" s="330"/>
      <c r="BH62" s="330"/>
      <c r="BI62" s="330"/>
      <c r="BK62" s="575"/>
      <c r="BL62" s="576"/>
      <c r="BM62" s="702"/>
      <c r="BN62" s="703"/>
      <c r="BO62" s="704"/>
      <c r="BP62" s="696" t="str">
        <f>IF(COUNT(AL62:BI62)=0,"",ROUND(AVERAGE(AL62:BI62),1))</f>
        <v/>
      </c>
      <c r="BQ62" s="697"/>
      <c r="BR62" s="698"/>
      <c r="BS62" s="668"/>
      <c r="BT62" s="669"/>
      <c r="BU62" s="670"/>
      <c r="BW62" s="690"/>
      <c r="BX62" s="691"/>
      <c r="BY62" s="691"/>
      <c r="BZ62" s="691"/>
      <c r="CA62" s="691"/>
      <c r="CB62" s="691"/>
      <c r="CC62" s="691"/>
      <c r="CD62" s="691"/>
      <c r="CE62" s="691"/>
      <c r="CF62" s="691"/>
      <c r="CG62" s="691"/>
      <c r="CH62" s="692"/>
    </row>
    <row r="63" spans="2:86" ht="22.5" customHeight="1">
      <c r="B63" s="486">
        <v>307</v>
      </c>
      <c r="C63" s="606"/>
      <c r="D63" s="317"/>
      <c r="E63" s="317"/>
      <c r="F63" s="317"/>
      <c r="G63" s="317"/>
      <c r="H63" s="317"/>
      <c r="I63" s="317"/>
      <c r="J63" s="426"/>
      <c r="K63" s="426"/>
      <c r="L63" s="607"/>
      <c r="M63" s="607"/>
      <c r="N63" s="607"/>
      <c r="O63" s="607"/>
      <c r="P63" s="607"/>
      <c r="Q63" s="607"/>
      <c r="R63" s="607"/>
      <c r="S63" s="209"/>
      <c r="T63" s="607"/>
      <c r="U63" s="607"/>
      <c r="V63" s="607"/>
      <c r="W63" s="607"/>
      <c r="X63" s="608"/>
      <c r="Y63" s="319"/>
      <c r="Z63" s="317"/>
      <c r="AA63" s="317"/>
      <c r="AB63" s="317"/>
      <c r="AC63" s="317"/>
      <c r="AD63" s="317"/>
      <c r="AE63" s="317"/>
      <c r="AF63" s="317"/>
      <c r="AG63" s="317"/>
      <c r="AH63" s="317"/>
      <c r="AI63" s="317"/>
      <c r="AJ63" s="320"/>
      <c r="AY63" s="172"/>
      <c r="AZ63" s="172"/>
      <c r="BA63" s="172"/>
      <c r="BB63" s="168"/>
      <c r="BC63" s="168"/>
      <c r="BD63" s="168"/>
      <c r="BE63" s="168"/>
      <c r="BF63" s="169"/>
      <c r="BG63" s="169"/>
      <c r="BH63" s="169"/>
      <c r="BI63" s="169"/>
      <c r="BW63" s="690"/>
      <c r="BX63" s="691"/>
      <c r="BY63" s="691"/>
      <c r="BZ63" s="691"/>
      <c r="CA63" s="691"/>
      <c r="CB63" s="691"/>
      <c r="CC63" s="691"/>
      <c r="CD63" s="691"/>
      <c r="CE63" s="691"/>
      <c r="CF63" s="691"/>
      <c r="CG63" s="691"/>
      <c r="CH63" s="692"/>
    </row>
    <row r="64" spans="2:86" ht="22.5" customHeight="1">
      <c r="B64" s="486">
        <v>308</v>
      </c>
      <c r="C64" s="606"/>
      <c r="D64" s="317"/>
      <c r="E64" s="317"/>
      <c r="F64" s="317"/>
      <c r="G64" s="317"/>
      <c r="H64" s="317"/>
      <c r="I64" s="317"/>
      <c r="J64" s="426"/>
      <c r="K64" s="426"/>
      <c r="L64" s="607"/>
      <c r="M64" s="607"/>
      <c r="N64" s="607"/>
      <c r="O64" s="607"/>
      <c r="P64" s="607"/>
      <c r="Q64" s="607"/>
      <c r="R64" s="607"/>
      <c r="S64" s="209"/>
      <c r="T64" s="607"/>
      <c r="U64" s="607"/>
      <c r="V64" s="607"/>
      <c r="W64" s="607"/>
      <c r="X64" s="608"/>
      <c r="Y64" s="319"/>
      <c r="Z64" s="317"/>
      <c r="AA64" s="317"/>
      <c r="AB64" s="317"/>
      <c r="AC64" s="317"/>
      <c r="AD64" s="317"/>
      <c r="AE64" s="317"/>
      <c r="AF64" s="317"/>
      <c r="AG64" s="317"/>
      <c r="AH64" s="317"/>
      <c r="AI64" s="317"/>
      <c r="AJ64" s="320"/>
      <c r="AL64" s="182" t="s">
        <v>230</v>
      </c>
      <c r="AM64" s="182"/>
      <c r="AN64" s="182"/>
      <c r="AO64" s="182"/>
      <c r="AP64" s="182"/>
      <c r="AQ64" s="182"/>
      <c r="AR64" s="183"/>
      <c r="AS64" s="183"/>
      <c r="AT64" s="183"/>
      <c r="AU64" s="183"/>
      <c r="AV64" s="183"/>
      <c r="AW64" s="183"/>
      <c r="AX64" s="179"/>
      <c r="AY64" s="184"/>
      <c r="AZ64" s="184"/>
      <c r="BA64" s="184"/>
      <c r="BB64" s="185"/>
      <c r="BC64" s="185"/>
      <c r="BD64" s="185"/>
      <c r="BE64" s="185"/>
      <c r="BF64" s="186"/>
      <c r="BG64" s="186"/>
      <c r="BH64" s="186"/>
      <c r="BI64" s="186"/>
      <c r="BJ64" s="163"/>
      <c r="BK64" s="163"/>
      <c r="BL64" s="163"/>
      <c r="BM64" s="163"/>
      <c r="BN64" s="163"/>
      <c r="BO64" s="163"/>
      <c r="BP64" s="163"/>
      <c r="BQ64" s="163"/>
      <c r="BR64" s="163"/>
      <c r="BS64" s="163"/>
      <c r="BT64" s="163"/>
      <c r="BU64" s="163"/>
      <c r="BW64" s="690"/>
      <c r="BX64" s="691"/>
      <c r="BY64" s="691"/>
      <c r="BZ64" s="691"/>
      <c r="CA64" s="691"/>
      <c r="CB64" s="691"/>
      <c r="CC64" s="691"/>
      <c r="CD64" s="691"/>
      <c r="CE64" s="691"/>
      <c r="CF64" s="691"/>
      <c r="CG64" s="691"/>
      <c r="CH64" s="692"/>
    </row>
    <row r="65" spans="2:86" ht="22.5" customHeight="1">
      <c r="B65" s="486">
        <v>309</v>
      </c>
      <c r="C65" s="606"/>
      <c r="D65" s="317"/>
      <c r="E65" s="317"/>
      <c r="F65" s="317"/>
      <c r="G65" s="317"/>
      <c r="H65" s="317"/>
      <c r="I65" s="317"/>
      <c r="J65" s="426"/>
      <c r="K65" s="426"/>
      <c r="L65" s="607"/>
      <c r="M65" s="607"/>
      <c r="N65" s="607"/>
      <c r="O65" s="607"/>
      <c r="P65" s="607"/>
      <c r="Q65" s="607"/>
      <c r="R65" s="607"/>
      <c r="S65" s="209"/>
      <c r="T65" s="607"/>
      <c r="U65" s="607"/>
      <c r="V65" s="607"/>
      <c r="W65" s="607"/>
      <c r="X65" s="608"/>
      <c r="Y65" s="319"/>
      <c r="Z65" s="317"/>
      <c r="AA65" s="317"/>
      <c r="AB65" s="317"/>
      <c r="AC65" s="317"/>
      <c r="AD65" s="317"/>
      <c r="AE65" s="317"/>
      <c r="AF65" s="317"/>
      <c r="AG65" s="317"/>
      <c r="AH65" s="317"/>
      <c r="AI65" s="317"/>
      <c r="AJ65" s="320"/>
      <c r="AL65" s="600" t="s">
        <v>27</v>
      </c>
      <c r="AM65" s="600"/>
      <c r="AN65" s="600" t="s">
        <v>58</v>
      </c>
      <c r="AO65" s="600"/>
      <c r="AP65" s="600" t="s">
        <v>14</v>
      </c>
      <c r="AQ65" s="600"/>
      <c r="AR65" s="600" t="s">
        <v>22</v>
      </c>
      <c r="AS65" s="600"/>
      <c r="AT65" s="600" t="s">
        <v>1</v>
      </c>
      <c r="AU65" s="600"/>
      <c r="AV65" s="600" t="s">
        <v>18</v>
      </c>
      <c r="AW65" s="600"/>
      <c r="AX65" s="600" t="s">
        <v>28</v>
      </c>
      <c r="AY65" s="600"/>
      <c r="AZ65" s="600" t="s">
        <v>24</v>
      </c>
      <c r="BA65" s="600"/>
      <c r="BB65" s="600" t="s">
        <v>16</v>
      </c>
      <c r="BC65" s="600"/>
      <c r="BD65" s="600" t="s">
        <v>67</v>
      </c>
      <c r="BE65" s="600"/>
      <c r="BF65" s="600" t="s">
        <v>20</v>
      </c>
      <c r="BG65" s="600"/>
      <c r="BH65" s="600" t="s">
        <v>68</v>
      </c>
      <c r="BI65" s="600"/>
      <c r="BK65" s="658" t="s">
        <v>108</v>
      </c>
      <c r="BL65" s="326"/>
      <c r="BM65" s="699">
        <f>SUM(AL66:BI66)</f>
        <v>0</v>
      </c>
      <c r="BN65" s="700"/>
      <c r="BO65" s="701"/>
      <c r="BP65" s="327" t="s">
        <v>107</v>
      </c>
      <c r="BQ65" s="328"/>
      <c r="BR65" s="326"/>
      <c r="BS65" s="665"/>
      <c r="BT65" s="666"/>
      <c r="BU65" s="667"/>
      <c r="BW65" s="690"/>
      <c r="BX65" s="691"/>
      <c r="BY65" s="691"/>
      <c r="BZ65" s="691"/>
      <c r="CA65" s="691"/>
      <c r="CB65" s="691"/>
      <c r="CC65" s="691"/>
      <c r="CD65" s="691"/>
      <c r="CE65" s="691"/>
      <c r="CF65" s="691"/>
      <c r="CG65" s="691"/>
      <c r="CH65" s="692"/>
    </row>
    <row r="66" spans="2:86" ht="22.5" customHeight="1">
      <c r="B66" s="575">
        <v>310</v>
      </c>
      <c r="C66" s="705"/>
      <c r="D66" s="534"/>
      <c r="E66" s="534"/>
      <c r="F66" s="534"/>
      <c r="G66" s="534"/>
      <c r="H66" s="534"/>
      <c r="I66" s="534"/>
      <c r="J66" s="706"/>
      <c r="K66" s="706"/>
      <c r="L66" s="656"/>
      <c r="M66" s="656"/>
      <c r="N66" s="656"/>
      <c r="O66" s="656"/>
      <c r="P66" s="656"/>
      <c r="Q66" s="656"/>
      <c r="R66" s="656"/>
      <c r="S66" s="213"/>
      <c r="T66" s="656"/>
      <c r="U66" s="656"/>
      <c r="V66" s="656"/>
      <c r="W66" s="656"/>
      <c r="X66" s="657"/>
      <c r="Y66" s="707"/>
      <c r="Z66" s="534"/>
      <c r="AA66" s="534"/>
      <c r="AB66" s="534"/>
      <c r="AC66" s="534"/>
      <c r="AD66" s="534"/>
      <c r="AE66" s="534"/>
      <c r="AF66" s="534"/>
      <c r="AG66" s="534"/>
      <c r="AH66" s="534"/>
      <c r="AI66" s="534"/>
      <c r="AJ66" s="535"/>
      <c r="AL66" s="330"/>
      <c r="AM66" s="330"/>
      <c r="AN66" s="330"/>
      <c r="AO66" s="330"/>
      <c r="AP66" s="330"/>
      <c r="AQ66" s="330"/>
      <c r="AR66" s="330"/>
      <c r="AS66" s="330"/>
      <c r="AT66" s="330"/>
      <c r="AU66" s="330"/>
      <c r="AV66" s="330"/>
      <c r="AW66" s="330"/>
      <c r="AX66" s="330"/>
      <c r="AY66" s="330"/>
      <c r="AZ66" s="330"/>
      <c r="BA66" s="330"/>
      <c r="BB66" s="330"/>
      <c r="BC66" s="330"/>
      <c r="BD66" s="330"/>
      <c r="BE66" s="330"/>
      <c r="BF66" s="330"/>
      <c r="BG66" s="330"/>
      <c r="BH66" s="330"/>
      <c r="BI66" s="330"/>
      <c r="BK66" s="575"/>
      <c r="BL66" s="576"/>
      <c r="BM66" s="702"/>
      <c r="BN66" s="703"/>
      <c r="BO66" s="704"/>
      <c r="BP66" s="696" t="str">
        <f>IF(COUNT(AL66:BI66)=0,"",ROUND(AVERAGE(AL66:BI66),1))</f>
        <v/>
      </c>
      <c r="BQ66" s="697"/>
      <c r="BR66" s="698"/>
      <c r="BS66" s="668"/>
      <c r="BT66" s="669"/>
      <c r="BU66" s="670"/>
      <c r="BW66" s="693"/>
      <c r="BX66" s="694"/>
      <c r="BY66" s="694"/>
      <c r="BZ66" s="694"/>
      <c r="CA66" s="694"/>
      <c r="CB66" s="694"/>
      <c r="CC66" s="694"/>
      <c r="CD66" s="694"/>
      <c r="CE66" s="694"/>
      <c r="CF66" s="694"/>
      <c r="CG66" s="694"/>
      <c r="CH66" s="695"/>
    </row>
    <row r="68" spans="2:86" ht="22.5" customHeight="1">
      <c r="B68" s="181" t="s">
        <v>31</v>
      </c>
      <c r="C68" s="179"/>
      <c r="D68" s="179"/>
      <c r="E68" s="179"/>
      <c r="F68" s="179"/>
      <c r="G68" s="179"/>
      <c r="H68" s="179"/>
      <c r="I68" s="179"/>
      <c r="J68" s="179"/>
      <c r="K68" s="179"/>
      <c r="L68" s="179"/>
      <c r="M68" s="179"/>
      <c r="N68" s="179"/>
      <c r="O68" s="179"/>
      <c r="P68" s="179"/>
      <c r="Q68" s="179"/>
      <c r="R68" s="179"/>
      <c r="S68" s="179"/>
      <c r="T68" s="179"/>
      <c r="U68" s="179"/>
      <c r="V68" s="179"/>
      <c r="W68" s="179"/>
      <c r="X68" s="179"/>
      <c r="Y68" s="179"/>
      <c r="Z68" s="179"/>
      <c r="AA68" s="179"/>
    </row>
    <row r="69" spans="2:86" ht="22.5" customHeight="1">
      <c r="B69" s="406" t="s">
        <v>0</v>
      </c>
      <c r="C69" s="406"/>
      <c r="D69" s="406"/>
      <c r="E69" s="406"/>
      <c r="F69" s="406"/>
      <c r="G69" s="406"/>
      <c r="H69" s="406"/>
      <c r="I69" s="406"/>
      <c r="J69" s="406"/>
      <c r="K69" s="406"/>
      <c r="L69" s="346" t="s">
        <v>30</v>
      </c>
      <c r="M69" s="343"/>
      <c r="N69" s="343"/>
      <c r="O69" s="343"/>
      <c r="P69" s="343"/>
      <c r="Q69" s="343"/>
      <c r="R69" s="343"/>
      <c r="S69" s="343"/>
      <c r="T69" s="343"/>
      <c r="U69" s="343"/>
      <c r="V69" s="343"/>
      <c r="W69" s="343"/>
      <c r="X69" s="343"/>
      <c r="Y69" s="343"/>
      <c r="Z69" s="343"/>
      <c r="AA69" s="345"/>
    </row>
    <row r="70" spans="2:86" ht="22.5" customHeight="1">
      <c r="B70" s="166" t="s">
        <v>228</v>
      </c>
      <c r="C70" s="429" t="s">
        <v>5</v>
      </c>
      <c r="D70" s="429"/>
      <c r="E70" s="429"/>
      <c r="F70" s="430" t="s">
        <v>8</v>
      </c>
      <c r="G70" s="430"/>
      <c r="H70" s="430"/>
      <c r="I70" s="430"/>
      <c r="J70" s="430"/>
      <c r="K70" s="430"/>
      <c r="L70" s="431" t="s">
        <v>12</v>
      </c>
      <c r="M70" s="432"/>
      <c r="N70" s="433" t="s">
        <v>11</v>
      </c>
      <c r="O70" s="434"/>
      <c r="P70" s="435"/>
      <c r="Q70" s="436"/>
      <c r="R70" s="436"/>
      <c r="S70" s="437"/>
      <c r="T70" s="431" t="s">
        <v>12</v>
      </c>
      <c r="U70" s="432"/>
      <c r="V70" s="433"/>
      <c r="W70" s="434"/>
      <c r="X70" s="435"/>
      <c r="Y70" s="436"/>
      <c r="Z70" s="436"/>
      <c r="AA70" s="438"/>
    </row>
    <row r="71" spans="2:86" ht="22.5" customHeight="1">
      <c r="B71" s="166" t="s">
        <v>228</v>
      </c>
      <c r="C71" s="429"/>
      <c r="D71" s="429"/>
      <c r="E71" s="429"/>
      <c r="F71" s="430" t="s">
        <v>7</v>
      </c>
      <c r="G71" s="430"/>
      <c r="H71" s="430"/>
      <c r="I71" s="430"/>
      <c r="J71" s="430"/>
      <c r="K71" s="430"/>
      <c r="L71" s="431" t="s">
        <v>12</v>
      </c>
      <c r="M71" s="432"/>
      <c r="N71" s="433" t="s">
        <v>11</v>
      </c>
      <c r="O71" s="434"/>
      <c r="P71" s="435"/>
      <c r="Q71" s="436"/>
      <c r="R71" s="436"/>
      <c r="S71" s="437"/>
      <c r="T71" s="431" t="s">
        <v>12</v>
      </c>
      <c r="U71" s="432"/>
      <c r="V71" s="433"/>
      <c r="W71" s="434"/>
      <c r="X71" s="435"/>
      <c r="Y71" s="436"/>
      <c r="Z71" s="436"/>
      <c r="AA71" s="438"/>
    </row>
    <row r="72" spans="2:86" ht="22.5" customHeight="1">
      <c r="B72" s="166" t="s">
        <v>228</v>
      </c>
      <c r="C72" s="429"/>
      <c r="D72" s="429"/>
      <c r="E72" s="429"/>
      <c r="F72" s="430" t="s">
        <v>9</v>
      </c>
      <c r="G72" s="430"/>
      <c r="H72" s="430"/>
      <c r="I72" s="430"/>
      <c r="J72" s="430"/>
      <c r="K72" s="430"/>
      <c r="L72" s="431" t="s">
        <v>12</v>
      </c>
      <c r="M72" s="432"/>
      <c r="N72" s="433" t="s">
        <v>15</v>
      </c>
      <c r="O72" s="434"/>
      <c r="P72" s="205"/>
      <c r="Q72" s="465" t="s">
        <v>17</v>
      </c>
      <c r="R72" s="465"/>
      <c r="S72" s="205"/>
      <c r="T72" s="431" t="s">
        <v>13</v>
      </c>
      <c r="U72" s="432"/>
      <c r="V72" s="433" t="s">
        <v>19</v>
      </c>
      <c r="W72" s="434"/>
      <c r="X72" s="206"/>
      <c r="Y72" s="465" t="s">
        <v>21</v>
      </c>
      <c r="Z72" s="465"/>
      <c r="AA72" s="207"/>
    </row>
    <row r="73" spans="2:86" ht="22.5" customHeight="1">
      <c r="B73" s="166" t="s">
        <v>228</v>
      </c>
      <c r="C73" s="429"/>
      <c r="D73" s="429"/>
      <c r="E73" s="429"/>
      <c r="F73" s="430" t="s">
        <v>6</v>
      </c>
      <c r="G73" s="430"/>
      <c r="H73" s="430"/>
      <c r="I73" s="430"/>
      <c r="J73" s="430"/>
      <c r="K73" s="430"/>
      <c r="L73" s="431" t="s">
        <v>12</v>
      </c>
      <c r="M73" s="432"/>
      <c r="N73" s="433" t="s">
        <v>23</v>
      </c>
      <c r="O73" s="434"/>
      <c r="P73" s="435"/>
      <c r="Q73" s="436"/>
      <c r="R73" s="436"/>
      <c r="S73" s="437"/>
      <c r="T73" s="431" t="s">
        <v>13</v>
      </c>
      <c r="U73" s="432"/>
      <c r="V73" s="433" t="s">
        <v>25</v>
      </c>
      <c r="W73" s="434"/>
      <c r="X73" s="435"/>
      <c r="Y73" s="436"/>
      <c r="Z73" s="436"/>
      <c r="AA73" s="438"/>
    </row>
    <row r="74" spans="2:86" ht="22.5" customHeight="1">
      <c r="B74" s="166" t="s">
        <v>228</v>
      </c>
      <c r="C74" s="429"/>
      <c r="D74" s="429"/>
      <c r="E74" s="429"/>
      <c r="F74" s="461"/>
      <c r="G74" s="461"/>
      <c r="H74" s="461"/>
      <c r="I74" s="461"/>
      <c r="J74" s="461"/>
      <c r="K74" s="461"/>
      <c r="L74" s="431" t="s">
        <v>12</v>
      </c>
      <c r="M74" s="432"/>
      <c r="N74" s="433"/>
      <c r="O74" s="434"/>
      <c r="P74" s="435"/>
      <c r="Q74" s="436"/>
      <c r="R74" s="436"/>
      <c r="S74" s="437"/>
      <c r="T74" s="431" t="s">
        <v>12</v>
      </c>
      <c r="U74" s="432"/>
      <c r="V74" s="433"/>
      <c r="W74" s="434"/>
      <c r="X74" s="435"/>
      <c r="Y74" s="436"/>
      <c r="Z74" s="436"/>
      <c r="AA74" s="438"/>
    </row>
    <row r="75" spans="2:86" ht="22.5" customHeight="1">
      <c r="B75" s="166" t="s">
        <v>228</v>
      </c>
      <c r="C75" s="466" t="s">
        <v>10</v>
      </c>
      <c r="D75" s="466"/>
      <c r="E75" s="466"/>
      <c r="F75" s="466"/>
      <c r="G75" s="466"/>
      <c r="H75" s="466"/>
      <c r="I75" s="466"/>
      <c r="J75" s="466"/>
      <c r="K75" s="466"/>
      <c r="L75" s="472" t="s">
        <v>26</v>
      </c>
      <c r="M75" s="472"/>
      <c r="N75" s="472"/>
      <c r="O75" s="472"/>
      <c r="P75" s="217" t="s">
        <v>724</v>
      </c>
      <c r="Q75" s="218" t="s">
        <v>724</v>
      </c>
      <c r="R75" s="218" t="s">
        <v>724</v>
      </c>
      <c r="S75" s="218" t="s">
        <v>724</v>
      </c>
      <c r="T75" s="218" t="s">
        <v>724</v>
      </c>
      <c r="U75" s="218">
        <v>6</v>
      </c>
      <c r="V75" s="218">
        <v>7</v>
      </c>
      <c r="W75" s="218">
        <v>8</v>
      </c>
      <c r="X75" s="218">
        <v>9</v>
      </c>
      <c r="Y75" s="218">
        <v>10</v>
      </c>
      <c r="Z75" s="218">
        <v>11</v>
      </c>
      <c r="AA75" s="219">
        <v>12</v>
      </c>
    </row>
    <row r="76" spans="2:86" ht="22.5" customHeight="1">
      <c r="B76" s="166" t="s">
        <v>228</v>
      </c>
      <c r="C76" s="466" t="s">
        <v>2</v>
      </c>
      <c r="D76" s="466"/>
      <c r="E76" s="466"/>
      <c r="F76" s="466"/>
      <c r="G76" s="466"/>
      <c r="H76" s="466"/>
      <c r="I76" s="466"/>
      <c r="J76" s="466"/>
      <c r="K76" s="466"/>
      <c r="L76" s="431" t="s">
        <v>13</v>
      </c>
      <c r="M76" s="432"/>
      <c r="N76" s="433" t="s">
        <v>27</v>
      </c>
      <c r="O76" s="434"/>
      <c r="P76" s="435" t="s">
        <v>267</v>
      </c>
      <c r="Q76" s="436"/>
      <c r="R76" s="436"/>
      <c r="S76" s="437"/>
      <c r="T76" s="431" t="s">
        <v>13</v>
      </c>
      <c r="U76" s="432"/>
      <c r="V76" s="433" t="s">
        <v>29</v>
      </c>
      <c r="W76" s="434"/>
      <c r="X76" s="435"/>
      <c r="Y76" s="436"/>
      <c r="Z76" s="436"/>
      <c r="AA76" s="438"/>
    </row>
    <row r="77" spans="2:86" ht="22.5" customHeight="1">
      <c r="B77" s="166" t="s">
        <v>228</v>
      </c>
      <c r="C77" s="466" t="s">
        <v>3</v>
      </c>
      <c r="D77" s="466"/>
      <c r="E77" s="466"/>
      <c r="F77" s="466"/>
      <c r="G77" s="466"/>
      <c r="H77" s="466"/>
      <c r="I77" s="466"/>
      <c r="J77" s="466"/>
      <c r="K77" s="466"/>
      <c r="L77" s="477" t="s">
        <v>252</v>
      </c>
      <c r="M77" s="477"/>
      <c r="N77" s="477"/>
      <c r="O77" s="477"/>
      <c r="P77" s="435"/>
      <c r="Q77" s="436"/>
      <c r="R77" s="436"/>
      <c r="S77" s="437"/>
      <c r="T77" s="455" t="s">
        <v>253</v>
      </c>
      <c r="U77" s="456"/>
      <c r="V77" s="456"/>
      <c r="W77" s="456"/>
      <c r="X77" s="456"/>
      <c r="Y77" s="456"/>
      <c r="Z77" s="456"/>
      <c r="AA77" s="457"/>
    </row>
    <row r="78" spans="2:86" ht="22.5" customHeight="1">
      <c r="B78" s="166" t="s">
        <v>228</v>
      </c>
      <c r="C78" s="466" t="s">
        <v>126</v>
      </c>
      <c r="D78" s="466"/>
      <c r="E78" s="466"/>
      <c r="F78" s="466"/>
      <c r="G78" s="466"/>
      <c r="H78" s="466"/>
      <c r="I78" s="466"/>
      <c r="J78" s="466"/>
      <c r="K78" s="466"/>
      <c r="L78" s="431" t="s">
        <v>36</v>
      </c>
      <c r="M78" s="432"/>
      <c r="N78" s="433" t="s">
        <v>245</v>
      </c>
      <c r="O78" s="434"/>
      <c r="P78" s="435"/>
      <c r="Q78" s="436"/>
      <c r="R78" s="436"/>
      <c r="S78" s="437"/>
      <c r="T78" s="431" t="s">
        <v>37</v>
      </c>
      <c r="U78" s="432"/>
      <c r="V78" s="433" t="s">
        <v>245</v>
      </c>
      <c r="W78" s="434"/>
      <c r="X78" s="435"/>
      <c r="Y78" s="436"/>
      <c r="Z78" s="436"/>
      <c r="AA78" s="438"/>
    </row>
    <row r="79" spans="2:86" ht="22.5" customHeight="1">
      <c r="B79" s="166" t="s">
        <v>228</v>
      </c>
      <c r="C79" s="466" t="s">
        <v>4</v>
      </c>
      <c r="D79" s="466"/>
      <c r="E79" s="466"/>
      <c r="F79" s="466"/>
      <c r="G79" s="466"/>
      <c r="H79" s="466"/>
      <c r="I79" s="466"/>
      <c r="J79" s="466"/>
      <c r="K79" s="466"/>
      <c r="L79" s="483"/>
      <c r="M79" s="484"/>
      <c r="N79" s="484"/>
      <c r="O79" s="484"/>
      <c r="P79" s="484"/>
      <c r="Q79" s="484"/>
      <c r="R79" s="484"/>
      <c r="S79" s="484"/>
      <c r="T79" s="484"/>
      <c r="U79" s="484"/>
      <c r="V79" s="484"/>
      <c r="W79" s="484"/>
      <c r="X79" s="484"/>
      <c r="Y79" s="484"/>
      <c r="Z79" s="484"/>
      <c r="AA79" s="485"/>
    </row>
    <row r="81" spans="2:63" ht="22.5" customHeight="1">
      <c r="B81" s="179" t="s">
        <v>40</v>
      </c>
      <c r="C81" s="179"/>
      <c r="D81" s="179"/>
      <c r="E81" s="179"/>
      <c r="F81" s="179"/>
      <c r="G81" s="179"/>
      <c r="H81" s="179"/>
      <c r="I81" s="179"/>
      <c r="J81" s="179"/>
      <c r="K81" s="179"/>
      <c r="L81" s="179"/>
      <c r="M81" s="179"/>
      <c r="N81" s="179"/>
      <c r="O81" s="183"/>
      <c r="P81" s="179"/>
      <c r="Q81" s="179"/>
      <c r="R81" s="179"/>
      <c r="S81" s="179"/>
      <c r="T81" s="179"/>
      <c r="U81" s="179"/>
      <c r="V81" s="179"/>
      <c r="W81" s="179"/>
      <c r="X81" s="179"/>
      <c r="Y81" s="179"/>
      <c r="Z81" s="179"/>
      <c r="AA81" s="179"/>
    </row>
    <row r="82" spans="2:63" ht="22.5" customHeight="1">
      <c r="B82" s="342" t="s">
        <v>48</v>
      </c>
      <c r="C82" s="343"/>
      <c r="D82" s="344"/>
      <c r="E82" s="544" t="s">
        <v>49</v>
      </c>
      <c r="F82" s="545"/>
      <c r="G82" s="546"/>
      <c r="H82" s="547" t="s">
        <v>113</v>
      </c>
      <c r="I82" s="548"/>
      <c r="J82" s="548" t="s">
        <v>114</v>
      </c>
      <c r="K82" s="549"/>
      <c r="L82" s="544" t="s">
        <v>116</v>
      </c>
      <c r="M82" s="545"/>
      <c r="N82" s="545"/>
      <c r="O82" s="545"/>
      <c r="P82" s="545"/>
      <c r="Q82" s="545"/>
      <c r="R82" s="545"/>
      <c r="S82" s="545"/>
      <c r="T82" s="545"/>
      <c r="U82" s="545"/>
      <c r="V82" s="545"/>
      <c r="W82" s="545"/>
      <c r="X82" s="545"/>
      <c r="Y82" s="545"/>
      <c r="Z82" s="545"/>
      <c r="AA82" s="546"/>
    </row>
    <row r="83" spans="2:63" ht="22.5" customHeight="1">
      <c r="B83" s="512"/>
      <c r="C83" s="513"/>
      <c r="D83" s="514"/>
      <c r="E83" s="518"/>
      <c r="F83" s="519"/>
      <c r="G83" s="520"/>
      <c r="H83" s="524" t="str" cm="1">
        <f t="array" ref="H83">IF(SUM(COUNTIF(BF3:BF32,{"月給","常時給"}))=0,"",
IF(SUMPRODUCT((BF3:BF32={"月給","常時給"})*(BR3:BR32="●"))/SUM(COUNTIF(BF3:BF32,{"月給","常時給"}))&gt;=35%,"〇","×"))</f>
        <v>×</v>
      </c>
      <c r="I83" s="525"/>
      <c r="J83" s="525" t="str" cm="1">
        <f t="array" ref="J83">IFERROR(
  IF(
    SUMPRODUCT((BF3:BF32={"月給","常時給"})*(BR3:BR32="●"))/
    SUM(COUNTIF(BF3:BF32,{"月給","常時給"}))&gt;=25%,
    "〇",
    "×"
  ),
"")</f>
        <v>×</v>
      </c>
      <c r="K83" s="528"/>
      <c r="L83" s="838"/>
      <c r="M83" s="744"/>
      <c r="N83" s="744"/>
      <c r="O83" s="744"/>
      <c r="P83" s="744"/>
      <c r="Q83" s="744"/>
      <c r="R83" s="744"/>
      <c r="S83" s="744"/>
      <c r="T83" s="744"/>
      <c r="U83" s="744"/>
      <c r="V83" s="744"/>
      <c r="W83" s="744"/>
      <c r="X83" s="744"/>
      <c r="Y83" s="744"/>
      <c r="Z83" s="744"/>
      <c r="AA83" s="745"/>
    </row>
    <row r="84" spans="2:63" ht="22.5" customHeight="1">
      <c r="B84" s="515"/>
      <c r="C84" s="516"/>
      <c r="D84" s="517"/>
      <c r="E84" s="521"/>
      <c r="F84" s="522"/>
      <c r="G84" s="523"/>
      <c r="H84" s="526"/>
      <c r="I84" s="527"/>
      <c r="J84" s="527"/>
      <c r="K84" s="529"/>
      <c r="L84" s="746"/>
      <c r="M84" s="747"/>
      <c r="N84" s="747"/>
      <c r="O84" s="747"/>
      <c r="P84" s="747"/>
      <c r="Q84" s="747"/>
      <c r="R84" s="747"/>
      <c r="S84" s="747"/>
      <c r="T84" s="747"/>
      <c r="U84" s="747"/>
      <c r="V84" s="747"/>
      <c r="W84" s="747"/>
      <c r="X84" s="747"/>
      <c r="Y84" s="747"/>
      <c r="Z84" s="747"/>
      <c r="AA84" s="748"/>
    </row>
    <row r="87" spans="2:63" ht="22.5" customHeight="1">
      <c r="B87" s="725" t="s">
        <v>792</v>
      </c>
      <c r="C87" s="725"/>
      <c r="D87" s="725"/>
      <c r="E87" s="725"/>
      <c r="F87" s="725" t="s">
        <v>793</v>
      </c>
      <c r="G87" s="725"/>
      <c r="H87" s="725"/>
      <c r="I87" s="725"/>
      <c r="J87" s="725" t="s">
        <v>794</v>
      </c>
      <c r="K87" s="725"/>
      <c r="L87" s="725"/>
      <c r="M87" s="725"/>
      <c r="N87" s="729" t="s">
        <v>806</v>
      </c>
      <c r="O87" s="730"/>
      <c r="P87" s="730"/>
      <c r="Q87" s="730"/>
      <c r="R87" s="730"/>
      <c r="S87" s="730"/>
      <c r="T87" s="730"/>
      <c r="U87" s="730"/>
      <c r="V87" s="730"/>
      <c r="W87" s="730"/>
      <c r="X87" s="730"/>
      <c r="Y87" s="730"/>
      <c r="Z87" s="730"/>
      <c r="AA87" s="730"/>
      <c r="AB87" s="730"/>
      <c r="AC87" s="730"/>
      <c r="AD87" s="730"/>
      <c r="AE87" s="730"/>
      <c r="AF87" s="730"/>
      <c r="AG87" s="730"/>
      <c r="AH87" s="730"/>
      <c r="AI87" s="730"/>
      <c r="AJ87" s="730"/>
      <c r="AK87" s="730"/>
      <c r="AL87" s="730"/>
      <c r="AM87" s="730"/>
      <c r="AN87" s="730"/>
      <c r="AO87" s="730"/>
      <c r="AP87" s="730"/>
      <c r="AQ87" s="730"/>
      <c r="AR87" s="730"/>
      <c r="AS87" s="730"/>
      <c r="AT87" s="731"/>
      <c r="AU87" s="725"/>
      <c r="AV87" s="725"/>
      <c r="AW87" s="725"/>
      <c r="AX87" s="725"/>
      <c r="AY87" s="725"/>
      <c r="AZ87" s="725"/>
      <c r="BA87" s="725"/>
      <c r="BB87" s="725"/>
      <c r="BC87" s="725"/>
      <c r="BD87" s="725"/>
      <c r="BE87" s="725"/>
      <c r="BF87" s="725"/>
      <c r="BG87" s="725"/>
      <c r="BH87" s="725"/>
      <c r="BI87" s="725"/>
      <c r="BJ87" s="725"/>
      <c r="BK87" s="725"/>
    </row>
    <row r="88" spans="2:63" ht="22.5" customHeight="1">
      <c r="B88" s="727" t="s">
        <v>795</v>
      </c>
      <c r="C88" s="727"/>
      <c r="D88" s="727"/>
      <c r="E88" s="727"/>
      <c r="F88" s="465" t="s">
        <v>796</v>
      </c>
      <c r="G88" s="465"/>
      <c r="H88" s="465"/>
      <c r="I88" s="465"/>
      <c r="J88" s="726" t="s">
        <v>874</v>
      </c>
      <c r="K88" s="726"/>
      <c r="L88" s="726"/>
      <c r="M88" s="726"/>
      <c r="N88" s="732" t="s">
        <v>881</v>
      </c>
      <c r="O88" s="733"/>
      <c r="P88" s="733"/>
      <c r="Q88" s="733"/>
      <c r="R88" s="733"/>
      <c r="S88" s="733"/>
      <c r="T88" s="733"/>
      <c r="U88" s="733"/>
      <c r="V88" s="733"/>
      <c r="W88" s="733"/>
      <c r="X88" s="733"/>
      <c r="Y88" s="733"/>
      <c r="Z88" s="733"/>
      <c r="AA88" s="733"/>
      <c r="AB88" s="733"/>
      <c r="AC88" s="733"/>
      <c r="AD88" s="733"/>
      <c r="AE88" s="733"/>
      <c r="AF88" s="733"/>
      <c r="AG88" s="733"/>
      <c r="AH88" s="733"/>
      <c r="AI88" s="733"/>
      <c r="AJ88" s="733"/>
      <c r="AK88" s="733"/>
      <c r="AL88" s="733"/>
      <c r="AM88" s="733"/>
      <c r="AN88" s="733"/>
      <c r="AO88" s="733"/>
      <c r="AP88" s="733"/>
      <c r="AQ88" s="733"/>
      <c r="AR88" s="733"/>
      <c r="AS88" s="733"/>
      <c r="AT88" s="734"/>
      <c r="AU88" s="726"/>
      <c r="AV88" s="726"/>
      <c r="AW88" s="726"/>
      <c r="AX88" s="726"/>
      <c r="AY88" s="726"/>
      <c r="AZ88" s="726"/>
      <c r="BA88" s="726"/>
      <c r="BB88" s="726"/>
      <c r="BC88" s="726"/>
      <c r="BD88" s="726"/>
      <c r="BE88" s="726"/>
      <c r="BF88" s="726"/>
      <c r="BG88" s="726"/>
      <c r="BH88" s="726"/>
      <c r="BI88" s="726"/>
      <c r="BJ88" s="726"/>
      <c r="BK88" s="726"/>
    </row>
    <row r="89" spans="2:63" ht="22.5" customHeight="1">
      <c r="B89" s="727" t="s">
        <v>804</v>
      </c>
      <c r="C89" s="727"/>
      <c r="D89" s="727"/>
      <c r="E89" s="727"/>
      <c r="F89" s="465" t="s">
        <v>817</v>
      </c>
      <c r="G89" s="465"/>
      <c r="H89" s="465"/>
      <c r="I89" s="465"/>
      <c r="J89" s="726" t="s">
        <v>864</v>
      </c>
      <c r="K89" s="726"/>
      <c r="L89" s="726"/>
      <c r="M89" s="726"/>
      <c r="N89" s="732" t="s">
        <v>867</v>
      </c>
      <c r="O89" s="733"/>
      <c r="P89" s="733"/>
      <c r="Q89" s="733"/>
      <c r="R89" s="733"/>
      <c r="S89" s="733"/>
      <c r="T89" s="733"/>
      <c r="U89" s="733"/>
      <c r="V89" s="733"/>
      <c r="W89" s="733"/>
      <c r="X89" s="733"/>
      <c r="Y89" s="733"/>
      <c r="Z89" s="733"/>
      <c r="AA89" s="733"/>
      <c r="AB89" s="733"/>
      <c r="AC89" s="733"/>
      <c r="AD89" s="733"/>
      <c r="AE89" s="733"/>
      <c r="AF89" s="733"/>
      <c r="AG89" s="733"/>
      <c r="AH89" s="733"/>
      <c r="AI89" s="733"/>
      <c r="AJ89" s="733"/>
      <c r="AK89" s="733"/>
      <c r="AL89" s="733"/>
      <c r="AM89" s="733"/>
      <c r="AN89" s="733"/>
      <c r="AO89" s="733"/>
      <c r="AP89" s="733"/>
      <c r="AQ89" s="733"/>
      <c r="AR89" s="733"/>
      <c r="AS89" s="733"/>
      <c r="AT89" s="734"/>
      <c r="AU89" s="726"/>
      <c r="AV89" s="726"/>
      <c r="AW89" s="726"/>
      <c r="AX89" s="726"/>
      <c r="AY89" s="726"/>
      <c r="AZ89" s="726"/>
      <c r="BA89" s="726"/>
      <c r="BB89" s="726"/>
      <c r="BC89" s="726"/>
      <c r="BD89" s="726"/>
      <c r="BE89" s="726"/>
      <c r="BF89" s="726"/>
      <c r="BG89" s="726"/>
      <c r="BH89" s="726"/>
      <c r="BI89" s="726"/>
      <c r="BJ89" s="726"/>
      <c r="BK89" s="726"/>
    </row>
    <row r="90" spans="2:63" ht="22.5" customHeight="1">
      <c r="B90" s="727" t="s">
        <v>807</v>
      </c>
      <c r="C90" s="727"/>
      <c r="D90" s="727"/>
      <c r="E90" s="727"/>
      <c r="F90" s="465" t="s">
        <v>859</v>
      </c>
      <c r="G90" s="465"/>
      <c r="H90" s="465"/>
      <c r="I90" s="465"/>
      <c r="J90" s="726" t="s">
        <v>866</v>
      </c>
      <c r="K90" s="726"/>
      <c r="L90" s="726"/>
      <c r="M90" s="726"/>
      <c r="N90" s="732" t="s">
        <v>867</v>
      </c>
      <c r="O90" s="733"/>
      <c r="P90" s="733"/>
      <c r="Q90" s="733"/>
      <c r="R90" s="733"/>
      <c r="S90" s="733"/>
      <c r="T90" s="733"/>
      <c r="U90" s="733"/>
      <c r="V90" s="733"/>
      <c r="W90" s="733"/>
      <c r="X90" s="733"/>
      <c r="Y90" s="733"/>
      <c r="Z90" s="733"/>
      <c r="AA90" s="733"/>
      <c r="AB90" s="733"/>
      <c r="AC90" s="733"/>
      <c r="AD90" s="733"/>
      <c r="AE90" s="733"/>
      <c r="AF90" s="733"/>
      <c r="AG90" s="733"/>
      <c r="AH90" s="733"/>
      <c r="AI90" s="733"/>
      <c r="AJ90" s="733"/>
      <c r="AK90" s="733"/>
      <c r="AL90" s="733"/>
      <c r="AM90" s="733"/>
      <c r="AN90" s="733"/>
      <c r="AO90" s="733"/>
      <c r="AP90" s="733"/>
      <c r="AQ90" s="733"/>
      <c r="AR90" s="733"/>
      <c r="AS90" s="733"/>
      <c r="AT90" s="734"/>
      <c r="AU90" s="726"/>
      <c r="AV90" s="726"/>
      <c r="AW90" s="726"/>
      <c r="AX90" s="726"/>
      <c r="AY90" s="726"/>
      <c r="AZ90" s="726"/>
      <c r="BA90" s="726"/>
      <c r="BB90" s="726"/>
      <c r="BC90" s="726"/>
      <c r="BD90" s="726"/>
      <c r="BE90" s="726"/>
      <c r="BF90" s="726"/>
      <c r="BG90" s="726"/>
      <c r="BH90" s="726"/>
      <c r="BI90" s="726"/>
      <c r="BJ90" s="726"/>
      <c r="BK90" s="726"/>
    </row>
    <row r="91" spans="2:63" ht="22.5" customHeight="1">
      <c r="B91" s="727" t="s">
        <v>808</v>
      </c>
      <c r="C91" s="727"/>
      <c r="D91" s="727"/>
      <c r="E91" s="727"/>
      <c r="F91" s="465" t="s">
        <v>875</v>
      </c>
      <c r="G91" s="465"/>
      <c r="H91" s="465"/>
      <c r="I91" s="465"/>
      <c r="J91" s="726" t="s">
        <v>856</v>
      </c>
      <c r="K91" s="726"/>
      <c r="L91" s="726"/>
      <c r="M91" s="726"/>
      <c r="N91" s="732" t="s">
        <v>876</v>
      </c>
      <c r="O91" s="733"/>
      <c r="P91" s="733"/>
      <c r="Q91" s="733"/>
      <c r="R91" s="733"/>
      <c r="S91" s="733"/>
      <c r="T91" s="733"/>
      <c r="U91" s="733"/>
      <c r="V91" s="733"/>
      <c r="W91" s="733"/>
      <c r="X91" s="733"/>
      <c r="Y91" s="733"/>
      <c r="Z91" s="733"/>
      <c r="AA91" s="733"/>
      <c r="AB91" s="733"/>
      <c r="AC91" s="733"/>
      <c r="AD91" s="733"/>
      <c r="AE91" s="733"/>
      <c r="AF91" s="733"/>
      <c r="AG91" s="733"/>
      <c r="AH91" s="733"/>
      <c r="AI91" s="733"/>
      <c r="AJ91" s="733"/>
      <c r="AK91" s="733"/>
      <c r="AL91" s="733"/>
      <c r="AM91" s="733"/>
      <c r="AN91" s="733"/>
      <c r="AO91" s="733"/>
      <c r="AP91" s="733"/>
      <c r="AQ91" s="733"/>
      <c r="AR91" s="733"/>
      <c r="AS91" s="733"/>
      <c r="AT91" s="734"/>
      <c r="AU91" s="726"/>
      <c r="AV91" s="726"/>
      <c r="AW91" s="726"/>
      <c r="AX91" s="726"/>
      <c r="AY91" s="726"/>
      <c r="AZ91" s="726"/>
      <c r="BA91" s="726"/>
      <c r="BB91" s="726"/>
      <c r="BC91" s="726"/>
      <c r="BD91" s="726"/>
      <c r="BE91" s="726"/>
      <c r="BF91" s="726"/>
      <c r="BG91" s="726"/>
      <c r="BH91" s="726"/>
      <c r="BI91" s="726"/>
      <c r="BJ91" s="726"/>
      <c r="BK91" s="726"/>
    </row>
    <row r="92" spans="2:63" ht="22.5" customHeight="1">
      <c r="B92" s="727" t="s">
        <v>799</v>
      </c>
      <c r="C92" s="727"/>
      <c r="D92" s="727"/>
      <c r="E92" s="727"/>
      <c r="F92" s="465" t="s">
        <v>869</v>
      </c>
      <c r="G92" s="465"/>
      <c r="H92" s="465"/>
      <c r="I92" s="465"/>
      <c r="J92" s="726" t="s">
        <v>838</v>
      </c>
      <c r="K92" s="726"/>
      <c r="L92" s="726"/>
      <c r="M92" s="726"/>
      <c r="N92" s="732" t="s">
        <v>877</v>
      </c>
      <c r="O92" s="733"/>
      <c r="P92" s="733"/>
      <c r="Q92" s="733"/>
      <c r="R92" s="733"/>
      <c r="S92" s="733"/>
      <c r="T92" s="733"/>
      <c r="U92" s="733"/>
      <c r="V92" s="733"/>
      <c r="W92" s="733"/>
      <c r="X92" s="733"/>
      <c r="Y92" s="733"/>
      <c r="Z92" s="733"/>
      <c r="AA92" s="733"/>
      <c r="AB92" s="733"/>
      <c r="AC92" s="733"/>
      <c r="AD92" s="733"/>
      <c r="AE92" s="733"/>
      <c r="AF92" s="733"/>
      <c r="AG92" s="733"/>
      <c r="AH92" s="733"/>
      <c r="AI92" s="733"/>
      <c r="AJ92" s="733"/>
      <c r="AK92" s="733"/>
      <c r="AL92" s="733"/>
      <c r="AM92" s="733"/>
      <c r="AN92" s="733"/>
      <c r="AO92" s="733"/>
      <c r="AP92" s="733"/>
      <c r="AQ92" s="733"/>
      <c r="AR92" s="733"/>
      <c r="AS92" s="733"/>
      <c r="AT92" s="734"/>
      <c r="AU92" s="726"/>
      <c r="AV92" s="726"/>
      <c r="AW92" s="726"/>
      <c r="AX92" s="726"/>
      <c r="AY92" s="726"/>
      <c r="AZ92" s="726"/>
      <c r="BA92" s="726"/>
      <c r="BB92" s="726"/>
      <c r="BC92" s="726"/>
      <c r="BD92" s="726"/>
      <c r="BE92" s="726"/>
      <c r="BF92" s="726"/>
      <c r="BG92" s="726"/>
      <c r="BH92" s="726"/>
      <c r="BI92" s="726"/>
      <c r="BJ92" s="726"/>
      <c r="BK92" s="726"/>
    </row>
    <row r="93" spans="2:63" ht="22.5" customHeight="1">
      <c r="B93" s="715" t="s">
        <v>791</v>
      </c>
      <c r="C93" s="716"/>
      <c r="D93" s="716"/>
      <c r="E93" s="717"/>
      <c r="F93" s="718" t="s">
        <v>798</v>
      </c>
      <c r="G93" s="433"/>
      <c r="H93" s="433"/>
      <c r="I93" s="434"/>
      <c r="J93" s="719" t="s">
        <v>878</v>
      </c>
      <c r="K93" s="720"/>
      <c r="L93" s="720"/>
      <c r="M93" s="721"/>
      <c r="N93" s="732" t="s">
        <v>879</v>
      </c>
      <c r="O93" s="733"/>
      <c r="P93" s="733"/>
      <c r="Q93" s="733"/>
      <c r="R93" s="733"/>
      <c r="S93" s="733"/>
      <c r="T93" s="733"/>
      <c r="U93" s="733"/>
      <c r="V93" s="733"/>
      <c r="W93" s="733"/>
      <c r="X93" s="733"/>
      <c r="Y93" s="733"/>
      <c r="Z93" s="733"/>
      <c r="AA93" s="733"/>
      <c r="AB93" s="733"/>
      <c r="AC93" s="733"/>
      <c r="AD93" s="733"/>
      <c r="AE93" s="733"/>
      <c r="AF93" s="733"/>
      <c r="AG93" s="733"/>
      <c r="AH93" s="733"/>
      <c r="AI93" s="733"/>
      <c r="AJ93" s="733"/>
      <c r="AK93" s="733"/>
      <c r="AL93" s="733"/>
      <c r="AM93" s="733"/>
      <c r="AN93" s="733"/>
      <c r="AO93" s="733"/>
      <c r="AP93" s="733"/>
      <c r="AQ93" s="733"/>
      <c r="AR93" s="733"/>
      <c r="AS93" s="733"/>
      <c r="AT93" s="734"/>
      <c r="AU93" s="726"/>
      <c r="AV93" s="726"/>
      <c r="AW93" s="726"/>
      <c r="AX93" s="726"/>
      <c r="AY93" s="726"/>
      <c r="AZ93" s="726"/>
      <c r="BA93" s="726"/>
      <c r="BB93" s="726"/>
      <c r="BC93" s="726"/>
      <c r="BD93" s="726"/>
      <c r="BE93" s="726"/>
      <c r="BF93" s="726"/>
      <c r="BG93" s="726"/>
      <c r="BH93" s="726"/>
      <c r="BI93" s="726"/>
      <c r="BJ93" s="726"/>
      <c r="BK93" s="726"/>
    </row>
    <row r="94" spans="2:63" ht="22.5" customHeight="1">
      <c r="B94" s="715" t="s">
        <v>801</v>
      </c>
      <c r="C94" s="716"/>
      <c r="D94" s="716"/>
      <c r="E94" s="717"/>
      <c r="F94" s="718"/>
      <c r="G94" s="433"/>
      <c r="H94" s="433"/>
      <c r="I94" s="434"/>
      <c r="J94" s="719"/>
      <c r="K94" s="720"/>
      <c r="L94" s="720"/>
      <c r="M94" s="721"/>
      <c r="N94" s="732"/>
      <c r="O94" s="733"/>
      <c r="P94" s="733"/>
      <c r="Q94" s="733"/>
      <c r="R94" s="733"/>
      <c r="S94" s="733"/>
      <c r="T94" s="733"/>
      <c r="U94" s="733"/>
      <c r="V94" s="733"/>
      <c r="W94" s="733"/>
      <c r="X94" s="733"/>
      <c r="Y94" s="733"/>
      <c r="Z94" s="733"/>
      <c r="AA94" s="733"/>
      <c r="AB94" s="733"/>
      <c r="AC94" s="733"/>
      <c r="AD94" s="733"/>
      <c r="AE94" s="733"/>
      <c r="AF94" s="733"/>
      <c r="AG94" s="733"/>
      <c r="AH94" s="733"/>
      <c r="AI94" s="733"/>
      <c r="AJ94" s="733"/>
      <c r="AK94" s="733"/>
      <c r="AL94" s="733"/>
      <c r="AM94" s="733"/>
      <c r="AN94" s="733"/>
      <c r="AO94" s="733"/>
      <c r="AP94" s="733"/>
      <c r="AQ94" s="733"/>
      <c r="AR94" s="733"/>
      <c r="AS94" s="733"/>
      <c r="AT94" s="734"/>
      <c r="AU94" s="726"/>
      <c r="AV94" s="726"/>
      <c r="AW94" s="726"/>
      <c r="AX94" s="726"/>
      <c r="AY94" s="726"/>
      <c r="AZ94" s="726"/>
      <c r="BA94" s="726"/>
      <c r="BB94" s="726"/>
      <c r="BC94" s="726"/>
      <c r="BD94" s="726"/>
      <c r="BE94" s="726"/>
      <c r="BF94" s="726"/>
      <c r="BG94" s="726"/>
      <c r="BH94" s="726"/>
      <c r="BI94" s="726"/>
      <c r="BJ94" s="726"/>
      <c r="BK94" s="726"/>
    </row>
    <row r="95" spans="2:63" ht="22.5" customHeight="1">
      <c r="B95" s="715" t="s">
        <v>802</v>
      </c>
      <c r="C95" s="716"/>
      <c r="D95" s="716"/>
      <c r="E95" s="717"/>
      <c r="F95" s="718" t="s">
        <v>831</v>
      </c>
      <c r="G95" s="433"/>
      <c r="H95" s="433"/>
      <c r="I95" s="434"/>
      <c r="J95" s="719" t="s">
        <v>840</v>
      </c>
      <c r="K95" s="720"/>
      <c r="L95" s="720"/>
      <c r="M95" s="721"/>
      <c r="N95" s="732" t="s">
        <v>880</v>
      </c>
      <c r="O95" s="733"/>
      <c r="P95" s="733"/>
      <c r="Q95" s="733"/>
      <c r="R95" s="733"/>
      <c r="S95" s="733"/>
      <c r="T95" s="733"/>
      <c r="U95" s="733"/>
      <c r="V95" s="733"/>
      <c r="W95" s="733"/>
      <c r="X95" s="733"/>
      <c r="Y95" s="733"/>
      <c r="Z95" s="733"/>
      <c r="AA95" s="733"/>
      <c r="AB95" s="733"/>
      <c r="AC95" s="733"/>
      <c r="AD95" s="733"/>
      <c r="AE95" s="733"/>
      <c r="AF95" s="733"/>
      <c r="AG95" s="733"/>
      <c r="AH95" s="733"/>
      <c r="AI95" s="733"/>
      <c r="AJ95" s="733"/>
      <c r="AK95" s="733"/>
      <c r="AL95" s="733"/>
      <c r="AM95" s="733"/>
      <c r="AN95" s="733"/>
      <c r="AO95" s="733"/>
      <c r="AP95" s="733"/>
      <c r="AQ95" s="733"/>
      <c r="AR95" s="733"/>
      <c r="AS95" s="733"/>
      <c r="AT95" s="734"/>
      <c r="AU95" s="726"/>
      <c r="AV95" s="726"/>
      <c r="AW95" s="726"/>
      <c r="AX95" s="726"/>
      <c r="AY95" s="726"/>
      <c r="AZ95" s="726"/>
      <c r="BA95" s="726"/>
      <c r="BB95" s="726"/>
      <c r="BC95" s="726"/>
      <c r="BD95" s="726"/>
      <c r="BE95" s="726"/>
      <c r="BF95" s="726"/>
      <c r="BG95" s="726"/>
      <c r="BH95" s="726"/>
      <c r="BI95" s="726"/>
      <c r="BJ95" s="726"/>
      <c r="BK95" s="726"/>
    </row>
    <row r="96" spans="2:63" ht="22" customHeight="1">
      <c r="B96" s="895" t="s">
        <v>884</v>
      </c>
      <c r="C96" s="895"/>
      <c r="E96" s="895" t="s">
        <v>885</v>
      </c>
      <c r="F96" s="895"/>
      <c r="G96" s="895"/>
    </row>
    <row r="97" spans="2:7" ht="22" customHeight="1">
      <c r="B97" s="271" t="s">
        <v>886</v>
      </c>
      <c r="C97" s="271"/>
      <c r="E97" s="271" t="s">
        <v>896</v>
      </c>
      <c r="F97" s="271">
        <v>4.2</v>
      </c>
      <c r="G97" s="271">
        <v>36</v>
      </c>
    </row>
    <row r="98" spans="2:7" ht="22" customHeight="1">
      <c r="B98" s="271" t="s">
        <v>887</v>
      </c>
      <c r="C98" s="271">
        <v>30</v>
      </c>
      <c r="E98" s="271"/>
      <c r="F98" s="271" t="s">
        <v>897</v>
      </c>
      <c r="G98" s="271" t="s">
        <v>898</v>
      </c>
    </row>
    <row r="99" spans="2:7" ht="22" customHeight="1">
      <c r="B99" s="271" t="s">
        <v>888</v>
      </c>
      <c r="C99" s="271">
        <v>1</v>
      </c>
      <c r="E99" s="271" t="s">
        <v>899</v>
      </c>
      <c r="F99" s="271">
        <v>4</v>
      </c>
      <c r="G99" s="271">
        <v>18</v>
      </c>
    </row>
    <row r="100" spans="2:7" ht="22" customHeight="1">
      <c r="B100" s="271" t="s">
        <v>889</v>
      </c>
      <c r="C100" s="271">
        <v>5</v>
      </c>
      <c r="E100" s="271" t="s">
        <v>900</v>
      </c>
      <c r="F100" s="271">
        <v>3</v>
      </c>
      <c r="G100" s="271">
        <v>4</v>
      </c>
    </row>
    <row r="101" spans="2:7" ht="22" customHeight="1">
      <c r="B101" s="271" t="s">
        <v>890</v>
      </c>
      <c r="C101" s="271">
        <v>36</v>
      </c>
      <c r="E101" s="271" t="s">
        <v>901</v>
      </c>
      <c r="F101" s="271">
        <v>6</v>
      </c>
      <c r="G101" s="271">
        <v>6</v>
      </c>
    </row>
    <row r="102" spans="2:7" ht="22" customHeight="1">
      <c r="B102" s="271" t="s">
        <v>33</v>
      </c>
      <c r="C102" s="272">
        <v>1.2</v>
      </c>
      <c r="E102" s="271" t="s">
        <v>902</v>
      </c>
      <c r="F102" s="271">
        <v>4</v>
      </c>
      <c r="G102" s="271">
        <v>2</v>
      </c>
    </row>
    <row r="103" spans="2:7" ht="22" customHeight="1">
      <c r="B103" s="271" t="s">
        <v>891</v>
      </c>
      <c r="C103" s="271"/>
      <c r="E103" s="271" t="s">
        <v>903</v>
      </c>
      <c r="F103" s="271">
        <v>4</v>
      </c>
      <c r="G103" s="271">
        <v>6</v>
      </c>
    </row>
    <row r="104" spans="2:7" ht="22" customHeight="1">
      <c r="B104" s="271" t="s">
        <v>892</v>
      </c>
      <c r="C104" s="271"/>
      <c r="E104" s="271"/>
      <c r="F104" s="271"/>
      <c r="G104" s="271"/>
    </row>
    <row r="105" spans="2:7" ht="22" customHeight="1">
      <c r="B105" s="271" t="s">
        <v>893</v>
      </c>
      <c r="C105" s="271">
        <v>5</v>
      </c>
      <c r="E105" s="271"/>
      <c r="F105" s="271"/>
      <c r="G105" s="271"/>
    </row>
    <row r="106" spans="2:7" ht="22" customHeight="1">
      <c r="B106" s="271" t="s">
        <v>894</v>
      </c>
      <c r="C106" s="271">
        <v>1</v>
      </c>
      <c r="E106" s="271"/>
      <c r="F106" s="271"/>
      <c r="G106" s="271"/>
    </row>
    <row r="107" spans="2:7" ht="22" customHeight="1">
      <c r="B107" s="271" t="s">
        <v>895</v>
      </c>
      <c r="C107" s="271">
        <v>7.2</v>
      </c>
      <c r="E107" s="271"/>
      <c r="F107" s="271"/>
      <c r="G107" s="271"/>
    </row>
  </sheetData>
  <mergeCells count="1174">
    <mergeCell ref="B96:C96"/>
    <mergeCell ref="E96:G96"/>
    <mergeCell ref="B95:E95"/>
    <mergeCell ref="F95:I95"/>
    <mergeCell ref="J95:M95"/>
    <mergeCell ref="N95:AT95"/>
    <mergeCell ref="AU95:BK95"/>
    <mergeCell ref="B91:E91"/>
    <mergeCell ref="F91:I91"/>
    <mergeCell ref="J91:M91"/>
    <mergeCell ref="N91:AT91"/>
    <mergeCell ref="AU91:BK91"/>
    <mergeCell ref="B92:E92"/>
    <mergeCell ref="F92:I92"/>
    <mergeCell ref="J92:M92"/>
    <mergeCell ref="N92:AT92"/>
    <mergeCell ref="AU92:BK92"/>
    <mergeCell ref="B93:E93"/>
    <mergeCell ref="F93:I93"/>
    <mergeCell ref="J93:M93"/>
    <mergeCell ref="N93:AT93"/>
    <mergeCell ref="AU93:BK93"/>
    <mergeCell ref="B94:E94"/>
    <mergeCell ref="F94:I94"/>
    <mergeCell ref="J94:M94"/>
    <mergeCell ref="N94:AT94"/>
    <mergeCell ref="AU94:BK94"/>
    <mergeCell ref="B87:E87"/>
    <mergeCell ref="F87:I87"/>
    <mergeCell ref="J87:M87"/>
    <mergeCell ref="N87:AT87"/>
    <mergeCell ref="AU87:BK87"/>
    <mergeCell ref="B88:E88"/>
    <mergeCell ref="F88:I88"/>
    <mergeCell ref="J88:M88"/>
    <mergeCell ref="N88:AT88"/>
    <mergeCell ref="AU88:BK88"/>
    <mergeCell ref="B89:E89"/>
    <mergeCell ref="F89:I89"/>
    <mergeCell ref="J89:M89"/>
    <mergeCell ref="N89:AT89"/>
    <mergeCell ref="AU89:BK89"/>
    <mergeCell ref="B90:E90"/>
    <mergeCell ref="F90:I90"/>
    <mergeCell ref="J90:M90"/>
    <mergeCell ref="N90:AT90"/>
    <mergeCell ref="AU90:BK90"/>
    <mergeCell ref="J32:L32"/>
    <mergeCell ref="M32:O32"/>
    <mergeCell ref="P32:R32"/>
    <mergeCell ref="S32:U32"/>
    <mergeCell ref="V32:X32"/>
    <mergeCell ref="B26:I26"/>
    <mergeCell ref="Y26:AA26"/>
    <mergeCell ref="B27:E29"/>
    <mergeCell ref="F27:I27"/>
    <mergeCell ref="Y27:AA27"/>
    <mergeCell ref="F28:I28"/>
    <mergeCell ref="Y28:AA28"/>
    <mergeCell ref="F29:I29"/>
    <mergeCell ref="Y29:AA29"/>
    <mergeCell ref="B30:E31"/>
    <mergeCell ref="F30:I30"/>
    <mergeCell ref="Y30:AA30"/>
    <mergeCell ref="F31:I31"/>
    <mergeCell ref="Y31:AA31"/>
    <mergeCell ref="F32:I32"/>
    <mergeCell ref="Y32:AA32"/>
    <mergeCell ref="B23:F23"/>
    <mergeCell ref="G23:I23"/>
    <mergeCell ref="J23:L23"/>
    <mergeCell ref="M23:O23"/>
    <mergeCell ref="P23:R23"/>
    <mergeCell ref="S23:U23"/>
    <mergeCell ref="V23:X23"/>
    <mergeCell ref="S29:U29"/>
    <mergeCell ref="V29:X29"/>
    <mergeCell ref="J30:L30"/>
    <mergeCell ref="M30:O30"/>
    <mergeCell ref="P30:R30"/>
    <mergeCell ref="S30:U30"/>
    <mergeCell ref="V30:X30"/>
    <mergeCell ref="J31:L31"/>
    <mergeCell ref="M31:O31"/>
    <mergeCell ref="P31:R31"/>
    <mergeCell ref="S31:U31"/>
    <mergeCell ref="V31:X31"/>
    <mergeCell ref="BR4:BS4"/>
    <mergeCell ref="BT4:BU4"/>
    <mergeCell ref="AK4:AL4"/>
    <mergeCell ref="AM4:AN4"/>
    <mergeCell ref="AQ4:AR4"/>
    <mergeCell ref="AS4:AT4"/>
    <mergeCell ref="AU4:AV4"/>
    <mergeCell ref="AW4:AX4"/>
    <mergeCell ref="BH5:BK5"/>
    <mergeCell ref="P21:R21"/>
    <mergeCell ref="S21:U21"/>
    <mergeCell ref="V21:X21"/>
    <mergeCell ref="B22:F22"/>
    <mergeCell ref="G22:I22"/>
    <mergeCell ref="J22:L22"/>
    <mergeCell ref="M22:O22"/>
    <mergeCell ref="P22:R22"/>
    <mergeCell ref="S22:U22"/>
    <mergeCell ref="V22:X22"/>
    <mergeCell ref="B17:F17"/>
    <mergeCell ref="G17:I17"/>
    <mergeCell ref="J17:L17"/>
    <mergeCell ref="M17:O17"/>
    <mergeCell ref="P17:R17"/>
    <mergeCell ref="S17:U17"/>
    <mergeCell ref="V17:X17"/>
    <mergeCell ref="B18:F18"/>
    <mergeCell ref="G18:I18"/>
    <mergeCell ref="J18:L18"/>
    <mergeCell ref="M18:O18"/>
    <mergeCell ref="P18:R18"/>
    <mergeCell ref="S18:U18"/>
    <mergeCell ref="BF6:BG6"/>
    <mergeCell ref="V18:X18"/>
    <mergeCell ref="B4:F4"/>
    <mergeCell ref="G4:I4"/>
    <mergeCell ref="J4:L4"/>
    <mergeCell ref="M4:O4"/>
    <mergeCell ref="P4:R4"/>
    <mergeCell ref="CA1:CH1"/>
    <mergeCell ref="BE2:BK2"/>
    <mergeCell ref="BR2:BS2"/>
    <mergeCell ref="BT2:BU2"/>
    <mergeCell ref="B3:F3"/>
    <mergeCell ref="G3:I3"/>
    <mergeCell ref="J3:L3"/>
    <mergeCell ref="M3:O3"/>
    <mergeCell ref="P3:R3"/>
    <mergeCell ref="S3:U3"/>
    <mergeCell ref="A1:C1"/>
    <mergeCell ref="G1:H1"/>
    <mergeCell ref="AA1:AB1"/>
    <mergeCell ref="BA1:BB1"/>
    <mergeCell ref="BC1:BE1"/>
    <mergeCell ref="BF1:BJ1"/>
    <mergeCell ref="BF3:BG3"/>
    <mergeCell ref="BH3:BK3"/>
    <mergeCell ref="BR3:BS3"/>
    <mergeCell ref="BT3:BU3"/>
    <mergeCell ref="BR5:BS5"/>
    <mergeCell ref="BT5:BU5"/>
    <mergeCell ref="AK5:AL5"/>
    <mergeCell ref="AM5:AN5"/>
    <mergeCell ref="AQ5:AR5"/>
    <mergeCell ref="AU5:AV5"/>
    <mergeCell ref="AW5:AX5"/>
    <mergeCell ref="B5:F5"/>
    <mergeCell ref="G5:I5"/>
    <mergeCell ref="J5:L5"/>
    <mergeCell ref="M5:O5"/>
    <mergeCell ref="P5:R5"/>
    <mergeCell ref="S5:U5"/>
    <mergeCell ref="AY4:AZ4"/>
    <mergeCell ref="BA4:BB4"/>
    <mergeCell ref="BF4:BG4"/>
    <mergeCell ref="S4:U4"/>
    <mergeCell ref="AC4:AD4"/>
    <mergeCell ref="AE4:AF4"/>
    <mergeCell ref="AG4:AH4"/>
    <mergeCell ref="AI4:AJ4"/>
    <mergeCell ref="AC5:AD5"/>
    <mergeCell ref="AE5:AF5"/>
    <mergeCell ref="AG5:AH5"/>
    <mergeCell ref="AI5:AJ5"/>
    <mergeCell ref="AY5:AZ5"/>
    <mergeCell ref="BA5:BB5"/>
    <mergeCell ref="BF5:BG5"/>
    <mergeCell ref="BH4:BK4"/>
    <mergeCell ref="AM7:AN7"/>
    <mergeCell ref="AQ7:AR7"/>
    <mergeCell ref="AS7:AT7"/>
    <mergeCell ref="AU7:AV7"/>
    <mergeCell ref="AC7:AD7"/>
    <mergeCell ref="AE7:AF7"/>
    <mergeCell ref="AG7:AH7"/>
    <mergeCell ref="AI7:AJ7"/>
    <mergeCell ref="AK7:AL7"/>
    <mergeCell ref="BH6:BK6"/>
    <mergeCell ref="BR6:BS6"/>
    <mergeCell ref="BT6:BU6"/>
    <mergeCell ref="B7:F7"/>
    <mergeCell ref="G7:I7"/>
    <mergeCell ref="J7:L7"/>
    <mergeCell ref="M7:O7"/>
    <mergeCell ref="P7:R7"/>
    <mergeCell ref="S7:U7"/>
    <mergeCell ref="B6:F6"/>
    <mergeCell ref="G6:I6"/>
    <mergeCell ref="J6:L6"/>
    <mergeCell ref="M6:O6"/>
    <mergeCell ref="P6:R6"/>
    <mergeCell ref="S6:U6"/>
    <mergeCell ref="BA7:BB7"/>
    <mergeCell ref="BF7:BG7"/>
    <mergeCell ref="BH7:BK7"/>
    <mergeCell ref="BR7:BS7"/>
    <mergeCell ref="BT7:BU7"/>
    <mergeCell ref="AW7:AX7"/>
    <mergeCell ref="AS5:AT5"/>
    <mergeCell ref="AY7:AZ7"/>
    <mergeCell ref="BA8:BB8"/>
    <mergeCell ref="BF8:BG8"/>
    <mergeCell ref="BH8:BK8"/>
    <mergeCell ref="BR8:BS8"/>
    <mergeCell ref="BT8:BU8"/>
    <mergeCell ref="B9:F9"/>
    <mergeCell ref="G9:I9"/>
    <mergeCell ref="J9:L9"/>
    <mergeCell ref="M9:O9"/>
    <mergeCell ref="P9:R9"/>
    <mergeCell ref="AM8:AN8"/>
    <mergeCell ref="AQ8:AR8"/>
    <mergeCell ref="AS8:AT8"/>
    <mergeCell ref="AU8:AV8"/>
    <mergeCell ref="AW8:AX8"/>
    <mergeCell ref="AY8:AZ8"/>
    <mergeCell ref="S8:U8"/>
    <mergeCell ref="AC8:AD8"/>
    <mergeCell ref="AE8:AF8"/>
    <mergeCell ref="AG8:AH8"/>
    <mergeCell ref="AI8:AJ8"/>
    <mergeCell ref="AK8:AL8"/>
    <mergeCell ref="S9:U9"/>
    <mergeCell ref="B8:F8"/>
    <mergeCell ref="G8:I8"/>
    <mergeCell ref="J8:L8"/>
    <mergeCell ref="M8:O8"/>
    <mergeCell ref="P8:R8"/>
    <mergeCell ref="S11:U11"/>
    <mergeCell ref="B10:F10"/>
    <mergeCell ref="G10:I10"/>
    <mergeCell ref="J10:L10"/>
    <mergeCell ref="M10:O10"/>
    <mergeCell ref="P10:R10"/>
    <mergeCell ref="S10:U10"/>
    <mergeCell ref="BF9:BG9"/>
    <mergeCell ref="BH9:BK9"/>
    <mergeCell ref="BR9:BS9"/>
    <mergeCell ref="BT9:BU9"/>
    <mergeCell ref="AC10:AJ10"/>
    <mergeCell ref="AK10:AM10"/>
    <mergeCell ref="AN10:BB10"/>
    <mergeCell ref="BF10:BG10"/>
    <mergeCell ref="BH10:BK10"/>
    <mergeCell ref="BR10:BS10"/>
    <mergeCell ref="BT10:BU10"/>
    <mergeCell ref="AC13:AJ13"/>
    <mergeCell ref="AK13:AL13"/>
    <mergeCell ref="AN13:BB13"/>
    <mergeCell ref="BF13:BG13"/>
    <mergeCell ref="BH13:BK13"/>
    <mergeCell ref="AN14:BB14"/>
    <mergeCell ref="BF14:BG14"/>
    <mergeCell ref="BT11:BU11"/>
    <mergeCell ref="B12:F12"/>
    <mergeCell ref="G12:I12"/>
    <mergeCell ref="J12:L12"/>
    <mergeCell ref="M12:O12"/>
    <mergeCell ref="P12:R12"/>
    <mergeCell ref="S12:U12"/>
    <mergeCell ref="AC12:AJ12"/>
    <mergeCell ref="AK12:AL12"/>
    <mergeCell ref="AN12:BB12"/>
    <mergeCell ref="AC11:AJ11"/>
    <mergeCell ref="AK11:AL11"/>
    <mergeCell ref="AN11:BB11"/>
    <mergeCell ref="BF11:BG11"/>
    <mergeCell ref="BH11:BK11"/>
    <mergeCell ref="BR11:BS11"/>
    <mergeCell ref="BF12:BG12"/>
    <mergeCell ref="BH12:BK12"/>
    <mergeCell ref="BR12:BS12"/>
    <mergeCell ref="BT12:BU12"/>
    <mergeCell ref="B11:F11"/>
    <mergeCell ref="G11:I11"/>
    <mergeCell ref="J11:L11"/>
    <mergeCell ref="M11:O11"/>
    <mergeCell ref="P11:R11"/>
    <mergeCell ref="BH16:BK16"/>
    <mergeCell ref="BH14:BK14"/>
    <mergeCell ref="BR14:BS14"/>
    <mergeCell ref="BT14:BU14"/>
    <mergeCell ref="B15:F15"/>
    <mergeCell ref="G15:I15"/>
    <mergeCell ref="J15:L15"/>
    <mergeCell ref="M15:O15"/>
    <mergeCell ref="P15:R15"/>
    <mergeCell ref="S15:U15"/>
    <mergeCell ref="V15:W15"/>
    <mergeCell ref="X15:AA15"/>
    <mergeCell ref="BF15:BG15"/>
    <mergeCell ref="BH15:BK15"/>
    <mergeCell ref="BR15:BS15"/>
    <mergeCell ref="BT15:BU15"/>
    <mergeCell ref="B13:F13"/>
    <mergeCell ref="G13:I13"/>
    <mergeCell ref="J13:L13"/>
    <mergeCell ref="M13:O13"/>
    <mergeCell ref="P13:R13"/>
    <mergeCell ref="S13:U13"/>
    <mergeCell ref="BR13:BS13"/>
    <mergeCell ref="BT13:BU13"/>
    <mergeCell ref="B14:F14"/>
    <mergeCell ref="G14:I14"/>
    <mergeCell ref="J14:L14"/>
    <mergeCell ref="M14:O14"/>
    <mergeCell ref="P14:R14"/>
    <mergeCell ref="S14:U14"/>
    <mergeCell ref="AC14:AJ14"/>
    <mergeCell ref="AK14:AL14"/>
    <mergeCell ref="BR16:BS16"/>
    <mergeCell ref="BT16:BU16"/>
    <mergeCell ref="AC17:AF18"/>
    <mergeCell ref="AG17:AJ17"/>
    <mergeCell ref="AK17:AM17"/>
    <mergeCell ref="AN17:AP17"/>
    <mergeCell ref="AQ17:AS17"/>
    <mergeCell ref="BT17:BU17"/>
    <mergeCell ref="B69:K69"/>
    <mergeCell ref="L69:AA69"/>
    <mergeCell ref="AG18:AJ18"/>
    <mergeCell ref="AK18:AM18"/>
    <mergeCell ref="AN18:AP18"/>
    <mergeCell ref="AQ18:AS18"/>
    <mergeCell ref="AT18:AV18"/>
    <mergeCell ref="AW18:AY18"/>
    <mergeCell ref="AZ18:BB18"/>
    <mergeCell ref="AT17:AV17"/>
    <mergeCell ref="AW17:AY17"/>
    <mergeCell ref="AZ17:BB17"/>
    <mergeCell ref="BF17:BG17"/>
    <mergeCell ref="BH17:BK17"/>
    <mergeCell ref="BR17:BS17"/>
    <mergeCell ref="BF18:BG18"/>
    <mergeCell ref="AC16:AJ16"/>
    <mergeCell ref="AK16:AM16"/>
    <mergeCell ref="AN16:AP16"/>
    <mergeCell ref="AQ16:AS16"/>
    <mergeCell ref="AT16:AV16"/>
    <mergeCell ref="AW16:AY16"/>
    <mergeCell ref="AZ16:BB16"/>
    <mergeCell ref="BF16:BG16"/>
    <mergeCell ref="BR18:BS18"/>
    <mergeCell ref="BT18:BU18"/>
    <mergeCell ref="C70:E74"/>
    <mergeCell ref="F70:K70"/>
    <mergeCell ref="L70:M70"/>
    <mergeCell ref="N70:O70"/>
    <mergeCell ref="P70:S70"/>
    <mergeCell ref="T70:U70"/>
    <mergeCell ref="BR19:BS19"/>
    <mergeCell ref="BT19:BU19"/>
    <mergeCell ref="F71:K71"/>
    <mergeCell ref="L71:M71"/>
    <mergeCell ref="N71:O71"/>
    <mergeCell ref="P71:S71"/>
    <mergeCell ref="T71:U71"/>
    <mergeCell ref="V71:W71"/>
    <mergeCell ref="X71:AA71"/>
    <mergeCell ref="AG20:AJ20"/>
    <mergeCell ref="AQ19:AS19"/>
    <mergeCell ref="AT19:AV19"/>
    <mergeCell ref="AW19:AY19"/>
    <mergeCell ref="AZ19:BB19"/>
    <mergeCell ref="BF19:BG19"/>
    <mergeCell ref="B19:F19"/>
    <mergeCell ref="G19:I19"/>
    <mergeCell ref="J19:L19"/>
    <mergeCell ref="M19:O19"/>
    <mergeCell ref="P19:R19"/>
    <mergeCell ref="S19:U19"/>
    <mergeCell ref="V19:X19"/>
    <mergeCell ref="B20:F20"/>
    <mergeCell ref="G20:I20"/>
    <mergeCell ref="BH19:BK19"/>
    <mergeCell ref="V70:W70"/>
    <mergeCell ref="X70:AA70"/>
    <mergeCell ref="AC19:AF22"/>
    <mergeCell ref="AG19:AJ19"/>
    <mergeCell ref="AK19:AM19"/>
    <mergeCell ref="AN19:AP19"/>
    <mergeCell ref="AK20:AM20"/>
    <mergeCell ref="AN20:AP20"/>
    <mergeCell ref="BH21:BK21"/>
    <mergeCell ref="BF22:BG22"/>
    <mergeCell ref="BH22:BK22"/>
    <mergeCell ref="V73:W73"/>
    <mergeCell ref="X73:AA73"/>
    <mergeCell ref="AG22:AJ22"/>
    <mergeCell ref="AQ21:AS21"/>
    <mergeCell ref="BH18:BK18"/>
    <mergeCell ref="V20:X20"/>
    <mergeCell ref="V24:X24"/>
    <mergeCell ref="V25:X25"/>
    <mergeCell ref="V26:X26"/>
    <mergeCell ref="V27:X27"/>
    <mergeCell ref="V28:X28"/>
    <mergeCell ref="V33:X33"/>
    <mergeCell ref="AU30:AV30"/>
    <mergeCell ref="AW30:AX30"/>
    <mergeCell ref="BA29:BB29"/>
    <mergeCell ref="BF29:BG29"/>
    <mergeCell ref="BH29:BK29"/>
    <mergeCell ref="BF31:BG31"/>
    <mergeCell ref="BH31:BK31"/>
    <mergeCell ref="BF32:BG32"/>
    <mergeCell ref="BR20:BS20"/>
    <mergeCell ref="BT20:BU20"/>
    <mergeCell ref="F72:K72"/>
    <mergeCell ref="L72:M72"/>
    <mergeCell ref="N72:O72"/>
    <mergeCell ref="Q72:R72"/>
    <mergeCell ref="T72:U72"/>
    <mergeCell ref="V72:W72"/>
    <mergeCell ref="Y72:Z72"/>
    <mergeCell ref="AG21:AJ21"/>
    <mergeCell ref="AQ20:AS20"/>
    <mergeCell ref="AT20:AV20"/>
    <mergeCell ref="AW20:AY20"/>
    <mergeCell ref="AZ20:BB20"/>
    <mergeCell ref="BF20:BG20"/>
    <mergeCell ref="BH20:BK20"/>
    <mergeCell ref="AK21:AM21"/>
    <mergeCell ref="AN21:AP21"/>
    <mergeCell ref="BR21:BS21"/>
    <mergeCell ref="BT21:BU21"/>
    <mergeCell ref="AT21:AV21"/>
    <mergeCell ref="AW21:AY21"/>
    <mergeCell ref="AZ21:BB21"/>
    <mergeCell ref="BF21:BG21"/>
    <mergeCell ref="J20:L20"/>
    <mergeCell ref="M20:O20"/>
    <mergeCell ref="P20:R20"/>
    <mergeCell ref="S20:U20"/>
    <mergeCell ref="B21:F21"/>
    <mergeCell ref="G21:I21"/>
    <mergeCell ref="J21:L21"/>
    <mergeCell ref="M21:O21"/>
    <mergeCell ref="BR22:BS22"/>
    <mergeCell ref="BT22:BU22"/>
    <mergeCell ref="F74:K74"/>
    <mergeCell ref="L74:M74"/>
    <mergeCell ref="N74:O74"/>
    <mergeCell ref="P74:S74"/>
    <mergeCell ref="T74:U74"/>
    <mergeCell ref="V74:W74"/>
    <mergeCell ref="AK22:AM22"/>
    <mergeCell ref="AN22:AP22"/>
    <mergeCell ref="AQ22:AS22"/>
    <mergeCell ref="AT22:AV22"/>
    <mergeCell ref="AW22:AY22"/>
    <mergeCell ref="AZ22:BB22"/>
    <mergeCell ref="X74:AA74"/>
    <mergeCell ref="BF23:BG23"/>
    <mergeCell ref="BH23:BK23"/>
    <mergeCell ref="BR23:BS23"/>
    <mergeCell ref="BT23:BU23"/>
    <mergeCell ref="F73:K73"/>
    <mergeCell ref="L73:M73"/>
    <mergeCell ref="N73:O73"/>
    <mergeCell ref="P73:S73"/>
    <mergeCell ref="T73:U73"/>
    <mergeCell ref="B24:F24"/>
    <mergeCell ref="G24:I24"/>
    <mergeCell ref="J24:L24"/>
    <mergeCell ref="M24:O24"/>
    <mergeCell ref="P24:R24"/>
    <mergeCell ref="S24:U24"/>
    <mergeCell ref="B25:F25"/>
    <mergeCell ref="G25:I25"/>
    <mergeCell ref="C75:K75"/>
    <mergeCell ref="L75:O75"/>
    <mergeCell ref="BF24:BG24"/>
    <mergeCell ref="BH24:BK24"/>
    <mergeCell ref="BR24:BS24"/>
    <mergeCell ref="BT24:BU24"/>
    <mergeCell ref="C76:K76"/>
    <mergeCell ref="L76:M76"/>
    <mergeCell ref="N76:O76"/>
    <mergeCell ref="P76:S76"/>
    <mergeCell ref="T76:U76"/>
    <mergeCell ref="V76:W76"/>
    <mergeCell ref="X76:AA76"/>
    <mergeCell ref="AC25:AD26"/>
    <mergeCell ref="AE25:AH25"/>
    <mergeCell ref="BH25:BK25"/>
    <mergeCell ref="BR25:BS25"/>
    <mergeCell ref="BT25:BU25"/>
    <mergeCell ref="AU25:AX25"/>
    <mergeCell ref="AY25:BB25"/>
    <mergeCell ref="BF25:BG25"/>
    <mergeCell ref="BT26:BU26"/>
    <mergeCell ref="BT27:BU27"/>
    <mergeCell ref="BH28:BK28"/>
    <mergeCell ref="BR28:BS28"/>
    <mergeCell ref="BT28:BU28"/>
    <mergeCell ref="AU28:AV28"/>
    <mergeCell ref="AW28:AX28"/>
    <mergeCell ref="BF30:BG30"/>
    <mergeCell ref="BH30:BK30"/>
    <mergeCell ref="BR30:BS30"/>
    <mergeCell ref="BT30:BU30"/>
    <mergeCell ref="C77:K77"/>
    <mergeCell ref="L77:O77"/>
    <mergeCell ref="P77:S77"/>
    <mergeCell ref="T77:AA77"/>
    <mergeCell ref="AE26:AF26"/>
    <mergeCell ref="AG26:AH26"/>
    <mergeCell ref="J25:L25"/>
    <mergeCell ref="M25:O25"/>
    <mergeCell ref="P25:R25"/>
    <mergeCell ref="S25:U25"/>
    <mergeCell ref="J26:L26"/>
    <mergeCell ref="M26:O26"/>
    <mergeCell ref="AI25:AL25"/>
    <mergeCell ref="AM25:AP25"/>
    <mergeCell ref="AQ25:AT25"/>
    <mergeCell ref="AM28:AN28"/>
    <mergeCell ref="AO28:AP28"/>
    <mergeCell ref="AQ28:AR28"/>
    <mergeCell ref="AS28:AT28"/>
    <mergeCell ref="AM30:AN30"/>
    <mergeCell ref="AO30:AP30"/>
    <mergeCell ref="AQ30:AR30"/>
    <mergeCell ref="AS30:AT30"/>
    <mergeCell ref="AH35:AJ35"/>
    <mergeCell ref="B37:C37"/>
    <mergeCell ref="D37:I37"/>
    <mergeCell ref="J37:K37"/>
    <mergeCell ref="L37:R37"/>
    <mergeCell ref="T37:X37"/>
    <mergeCell ref="Y37:AC37"/>
    <mergeCell ref="B36:I36"/>
    <mergeCell ref="J36:K36"/>
    <mergeCell ref="C78:K78"/>
    <mergeCell ref="L78:M78"/>
    <mergeCell ref="N78:O78"/>
    <mergeCell ref="P78:S78"/>
    <mergeCell ref="T78:U78"/>
    <mergeCell ref="V78:W78"/>
    <mergeCell ref="X78:AA78"/>
    <mergeCell ref="AC27:AD27"/>
    <mergeCell ref="AE27:AF27"/>
    <mergeCell ref="AW26:AX26"/>
    <mergeCell ref="AY26:AZ26"/>
    <mergeCell ref="BA26:BB26"/>
    <mergeCell ref="BF26:BG26"/>
    <mergeCell ref="BH26:BK26"/>
    <mergeCell ref="BR26:BS26"/>
    <mergeCell ref="AK26:AL26"/>
    <mergeCell ref="P26:R26"/>
    <mergeCell ref="S26:U26"/>
    <mergeCell ref="J27:L27"/>
    <mergeCell ref="M27:O27"/>
    <mergeCell ref="P27:R27"/>
    <mergeCell ref="S27:U27"/>
    <mergeCell ref="J28:L28"/>
    <mergeCell ref="AM26:AN26"/>
    <mergeCell ref="AO26:AP26"/>
    <mergeCell ref="AQ26:AR26"/>
    <mergeCell ref="AS26:AT26"/>
    <mergeCell ref="AU26:AV26"/>
    <mergeCell ref="BH27:BK27"/>
    <mergeCell ref="BR27:BS27"/>
    <mergeCell ref="BR29:BS29"/>
    <mergeCell ref="BR31:BS31"/>
    <mergeCell ref="C79:K79"/>
    <mergeCell ref="L79:AA79"/>
    <mergeCell ref="AC28:AD28"/>
    <mergeCell ref="AE28:AF28"/>
    <mergeCell ref="AG28:AH28"/>
    <mergeCell ref="AI28:AJ28"/>
    <mergeCell ref="AK28:AL28"/>
    <mergeCell ref="AS27:AT27"/>
    <mergeCell ref="AU27:AV27"/>
    <mergeCell ref="AW27:AX27"/>
    <mergeCell ref="AY27:AZ27"/>
    <mergeCell ref="BA27:BB27"/>
    <mergeCell ref="BF27:BG27"/>
    <mergeCell ref="AG27:AH27"/>
    <mergeCell ref="AI27:AJ27"/>
    <mergeCell ref="AK27:AL27"/>
    <mergeCell ref="AI26:AJ26"/>
    <mergeCell ref="M28:O28"/>
    <mergeCell ref="P28:R28"/>
    <mergeCell ref="S28:U28"/>
    <mergeCell ref="J29:L29"/>
    <mergeCell ref="M29:O29"/>
    <mergeCell ref="P29:R29"/>
    <mergeCell ref="AY30:AZ30"/>
    <mergeCell ref="BA30:BB30"/>
    <mergeCell ref="AM27:AN27"/>
    <mergeCell ref="AO27:AP27"/>
    <mergeCell ref="AQ27:AR27"/>
    <mergeCell ref="AY28:AZ28"/>
    <mergeCell ref="BA28:BB28"/>
    <mergeCell ref="BF28:BG28"/>
    <mergeCell ref="AD37:AE37"/>
    <mergeCell ref="BT29:BU29"/>
    <mergeCell ref="AC30:AD30"/>
    <mergeCell ref="AE30:AF30"/>
    <mergeCell ref="AG30:AH30"/>
    <mergeCell ref="AI30:AJ30"/>
    <mergeCell ref="AK30:AL30"/>
    <mergeCell ref="AO29:AP29"/>
    <mergeCell ref="AQ29:AR29"/>
    <mergeCell ref="AS29:AT29"/>
    <mergeCell ref="AU29:AV29"/>
    <mergeCell ref="AW29:AX29"/>
    <mergeCell ref="AY29:AZ29"/>
    <mergeCell ref="AC29:AD29"/>
    <mergeCell ref="AE29:AF29"/>
    <mergeCell ref="AG29:AH29"/>
    <mergeCell ref="AI29:AJ29"/>
    <mergeCell ref="AK29:AL29"/>
    <mergeCell ref="AM29:AN29"/>
    <mergeCell ref="BT31:BU31"/>
    <mergeCell ref="B83:D84"/>
    <mergeCell ref="E83:G84"/>
    <mergeCell ref="H83:I84"/>
    <mergeCell ref="J83:K84"/>
    <mergeCell ref="L83:AA84"/>
    <mergeCell ref="AC32:AD32"/>
    <mergeCell ref="AE31:AH31"/>
    <mergeCell ref="AI31:AL31"/>
    <mergeCell ref="AM31:AP31"/>
    <mergeCell ref="AQ31:AT31"/>
    <mergeCell ref="AU31:AX31"/>
    <mergeCell ref="AY31:BB31"/>
    <mergeCell ref="B82:D82"/>
    <mergeCell ref="E82:G82"/>
    <mergeCell ref="H82:I82"/>
    <mergeCell ref="J82:K82"/>
    <mergeCell ref="L82:AA82"/>
    <mergeCell ref="AC31:AD31"/>
    <mergeCell ref="AY33:BB33"/>
    <mergeCell ref="BL33:BN34"/>
    <mergeCell ref="G33:I33"/>
    <mergeCell ref="J33:L33"/>
    <mergeCell ref="M33:O33"/>
    <mergeCell ref="P33:R33"/>
    <mergeCell ref="S33:U33"/>
    <mergeCell ref="BO33:BR34"/>
    <mergeCell ref="BS33:BU34"/>
    <mergeCell ref="B35:U35"/>
    <mergeCell ref="V35:X35"/>
    <mergeCell ref="Y35:AG35"/>
    <mergeCell ref="BH32:BK32"/>
    <mergeCell ref="BR32:BS32"/>
    <mergeCell ref="BT32:BU32"/>
    <mergeCell ref="AC33:AD33"/>
    <mergeCell ref="AE33:AH33"/>
    <mergeCell ref="AI33:AL33"/>
    <mergeCell ref="AM33:AP33"/>
    <mergeCell ref="AQ33:AT33"/>
    <mergeCell ref="AU33:AX33"/>
    <mergeCell ref="AE32:AH32"/>
    <mergeCell ref="AI32:AL32"/>
    <mergeCell ref="AM32:AP32"/>
    <mergeCell ref="AQ32:AT32"/>
    <mergeCell ref="AU32:AX32"/>
    <mergeCell ref="AY32:BB32"/>
    <mergeCell ref="AF36:AJ36"/>
    <mergeCell ref="BK36:BP36"/>
    <mergeCell ref="BQ36:BU36"/>
    <mergeCell ref="L36:R36"/>
    <mergeCell ref="S36:X36"/>
    <mergeCell ref="Y36:AC36"/>
    <mergeCell ref="AD36:AE36"/>
    <mergeCell ref="BH37:BI37"/>
    <mergeCell ref="BK37:BP37"/>
    <mergeCell ref="BQ37:BU37"/>
    <mergeCell ref="AZ37:BA37"/>
    <mergeCell ref="BB37:BC37"/>
    <mergeCell ref="BD37:BE37"/>
    <mergeCell ref="BF37:BG37"/>
    <mergeCell ref="AR38:AS38"/>
    <mergeCell ref="AT38:AU38"/>
    <mergeCell ref="AF39:AJ39"/>
    <mergeCell ref="BK39:BP39"/>
    <mergeCell ref="B38:C38"/>
    <mergeCell ref="D38:I38"/>
    <mergeCell ref="J38:K38"/>
    <mergeCell ref="L38:R38"/>
    <mergeCell ref="T38:X38"/>
    <mergeCell ref="Y38:AC38"/>
    <mergeCell ref="AD38:AE38"/>
    <mergeCell ref="AV37:AW37"/>
    <mergeCell ref="AX37:AY37"/>
    <mergeCell ref="AF37:AJ37"/>
    <mergeCell ref="AL37:AM37"/>
    <mergeCell ref="AN37:AO37"/>
    <mergeCell ref="AP37:AQ37"/>
    <mergeCell ref="AR37:AS37"/>
    <mergeCell ref="AT37:AU37"/>
    <mergeCell ref="BK41:BP41"/>
    <mergeCell ref="BQ39:BU39"/>
    <mergeCell ref="B40:C40"/>
    <mergeCell ref="D40:I40"/>
    <mergeCell ref="J40:K40"/>
    <mergeCell ref="L40:R40"/>
    <mergeCell ref="T40:X40"/>
    <mergeCell ref="Y40:AC40"/>
    <mergeCell ref="AD40:AE40"/>
    <mergeCell ref="AF40:AJ40"/>
    <mergeCell ref="BK40:BP40"/>
    <mergeCell ref="BQ40:BU40"/>
    <mergeCell ref="BH38:BI38"/>
    <mergeCell ref="BK38:BP38"/>
    <mergeCell ref="BQ38:BU38"/>
    <mergeCell ref="B39:C39"/>
    <mergeCell ref="D39:I39"/>
    <mergeCell ref="J39:K39"/>
    <mergeCell ref="L39:R39"/>
    <mergeCell ref="T39:X39"/>
    <mergeCell ref="Y39:AC39"/>
    <mergeCell ref="AD39:AE39"/>
    <mergeCell ref="AV38:AW38"/>
    <mergeCell ref="AX38:AY38"/>
    <mergeCell ref="AZ38:BA38"/>
    <mergeCell ref="BB38:BC38"/>
    <mergeCell ref="BD38:BE38"/>
    <mergeCell ref="BF38:BG38"/>
    <mergeCell ref="AF38:AJ38"/>
    <mergeCell ref="AL38:AM38"/>
    <mergeCell ref="AN38:AO38"/>
    <mergeCell ref="AP38:AQ38"/>
    <mergeCell ref="BQ41:BU41"/>
    <mergeCell ref="B42:C42"/>
    <mergeCell ref="D42:I42"/>
    <mergeCell ref="J42:K42"/>
    <mergeCell ref="L42:R42"/>
    <mergeCell ref="T42:X42"/>
    <mergeCell ref="Y42:AC42"/>
    <mergeCell ref="AD42:AE42"/>
    <mergeCell ref="AV41:AW41"/>
    <mergeCell ref="AX41:AY41"/>
    <mergeCell ref="AZ41:BA41"/>
    <mergeCell ref="BB41:BC41"/>
    <mergeCell ref="BD41:BE41"/>
    <mergeCell ref="BF41:BG41"/>
    <mergeCell ref="AF41:AJ41"/>
    <mergeCell ref="AL41:AM41"/>
    <mergeCell ref="AN41:AO41"/>
    <mergeCell ref="AP41:AQ41"/>
    <mergeCell ref="AR41:AS41"/>
    <mergeCell ref="AT41:AU41"/>
    <mergeCell ref="BH42:BI42"/>
    <mergeCell ref="BK42:BP42"/>
    <mergeCell ref="BQ42:BU42"/>
    <mergeCell ref="AZ42:BA42"/>
    <mergeCell ref="B41:C41"/>
    <mergeCell ref="D41:I41"/>
    <mergeCell ref="J41:K41"/>
    <mergeCell ref="L41:R41"/>
    <mergeCell ref="T41:X41"/>
    <mergeCell ref="Y41:AC41"/>
    <mergeCell ref="AD41:AE41"/>
    <mergeCell ref="BH41:BI41"/>
    <mergeCell ref="Y45:AC45"/>
    <mergeCell ref="B44:C44"/>
    <mergeCell ref="D44:I44"/>
    <mergeCell ref="J44:K44"/>
    <mergeCell ref="L44:R44"/>
    <mergeCell ref="T44:X44"/>
    <mergeCell ref="Y44:AC44"/>
    <mergeCell ref="AD44:AE44"/>
    <mergeCell ref="AF44:AJ44"/>
    <mergeCell ref="AL45:AM45"/>
    <mergeCell ref="BB42:BC42"/>
    <mergeCell ref="BD42:BE42"/>
    <mergeCell ref="BF42:BG42"/>
    <mergeCell ref="AF42:AJ42"/>
    <mergeCell ref="AL42:AM42"/>
    <mergeCell ref="AN42:AO42"/>
    <mergeCell ref="AP42:AQ42"/>
    <mergeCell ref="AR42:AS42"/>
    <mergeCell ref="AT42:AU42"/>
    <mergeCell ref="B43:C43"/>
    <mergeCell ref="D43:I43"/>
    <mergeCell ref="J43:K43"/>
    <mergeCell ref="L43:R43"/>
    <mergeCell ref="T43:X43"/>
    <mergeCell ref="Y43:AC43"/>
    <mergeCell ref="AD43:AE43"/>
    <mergeCell ref="AV42:AW42"/>
    <mergeCell ref="AX42:AY42"/>
    <mergeCell ref="AF43:AJ43"/>
    <mergeCell ref="BW45:CH45"/>
    <mergeCell ref="B46:C46"/>
    <mergeCell ref="D46:I46"/>
    <mergeCell ref="J46:K46"/>
    <mergeCell ref="L46:R46"/>
    <mergeCell ref="T46:X46"/>
    <mergeCell ref="Y46:AC46"/>
    <mergeCell ref="AD46:AE46"/>
    <mergeCell ref="AF46:AJ46"/>
    <mergeCell ref="AL46:AM46"/>
    <mergeCell ref="BF45:BG45"/>
    <mergeCell ref="BH45:BI45"/>
    <mergeCell ref="BK45:BL46"/>
    <mergeCell ref="BM45:BO46"/>
    <mergeCell ref="BP45:BR45"/>
    <mergeCell ref="BS45:BU46"/>
    <mergeCell ref="AT45:AU45"/>
    <mergeCell ref="AV45:AW45"/>
    <mergeCell ref="AX45:AY45"/>
    <mergeCell ref="AZ45:BA45"/>
    <mergeCell ref="BB45:BC45"/>
    <mergeCell ref="BD45:BE45"/>
    <mergeCell ref="AD45:AE45"/>
    <mergeCell ref="AF45:AJ45"/>
    <mergeCell ref="AN45:AO45"/>
    <mergeCell ref="AP45:AQ45"/>
    <mergeCell ref="AR45:AS45"/>
    <mergeCell ref="B45:C45"/>
    <mergeCell ref="D45:I45"/>
    <mergeCell ref="J45:K45"/>
    <mergeCell ref="L45:R45"/>
    <mergeCell ref="T45:X45"/>
    <mergeCell ref="BW46:CH46"/>
    <mergeCell ref="B47:C47"/>
    <mergeCell ref="D47:I47"/>
    <mergeCell ref="J47:K47"/>
    <mergeCell ref="L47:R47"/>
    <mergeCell ref="T47:X47"/>
    <mergeCell ref="Y47:AC47"/>
    <mergeCell ref="AD47:AE47"/>
    <mergeCell ref="AF47:AJ47"/>
    <mergeCell ref="BW47:CH47"/>
    <mergeCell ref="AZ46:BA46"/>
    <mergeCell ref="BB46:BC46"/>
    <mergeCell ref="BD46:BE46"/>
    <mergeCell ref="BF46:BG46"/>
    <mergeCell ref="BH46:BI46"/>
    <mergeCell ref="BP46:BR46"/>
    <mergeCell ref="AN46:AO46"/>
    <mergeCell ref="AP46:AQ46"/>
    <mergeCell ref="AR46:AS46"/>
    <mergeCell ref="AT46:AU46"/>
    <mergeCell ref="AV46:AW46"/>
    <mergeCell ref="AX46:AY46"/>
    <mergeCell ref="B49:C49"/>
    <mergeCell ref="D49:I49"/>
    <mergeCell ref="J49:K49"/>
    <mergeCell ref="L49:R49"/>
    <mergeCell ref="T49:X49"/>
    <mergeCell ref="Y49:AC49"/>
    <mergeCell ref="AD49:AE49"/>
    <mergeCell ref="B48:C48"/>
    <mergeCell ref="D48:I48"/>
    <mergeCell ref="J48:K48"/>
    <mergeCell ref="L48:R48"/>
    <mergeCell ref="T48:X48"/>
    <mergeCell ref="Y48:AC48"/>
    <mergeCell ref="BW49:CH49"/>
    <mergeCell ref="AV49:AW49"/>
    <mergeCell ref="AX49:AY49"/>
    <mergeCell ref="AZ49:BA49"/>
    <mergeCell ref="BB49:BC49"/>
    <mergeCell ref="BD49:BE49"/>
    <mergeCell ref="BF49:BG49"/>
    <mergeCell ref="AF49:AJ49"/>
    <mergeCell ref="BH49:BI49"/>
    <mergeCell ref="BK49:BL50"/>
    <mergeCell ref="BM49:BO50"/>
    <mergeCell ref="BP49:BR49"/>
    <mergeCell ref="BS49:BU50"/>
    <mergeCell ref="BF50:BG50"/>
    <mergeCell ref="BH50:BI50"/>
    <mergeCell ref="BP50:BR50"/>
    <mergeCell ref="AV50:AW50"/>
    <mergeCell ref="AX50:AY50"/>
    <mergeCell ref="BD50:BE50"/>
    <mergeCell ref="AL49:AM49"/>
    <mergeCell ref="AN49:AO49"/>
    <mergeCell ref="AP49:AQ49"/>
    <mergeCell ref="AR49:AS49"/>
    <mergeCell ref="AT49:AU49"/>
    <mergeCell ref="J50:K50"/>
    <mergeCell ref="L50:R50"/>
    <mergeCell ref="T50:X50"/>
    <mergeCell ref="AD48:AE48"/>
    <mergeCell ref="AF48:AJ48"/>
    <mergeCell ref="BB53:BC53"/>
    <mergeCell ref="BD53:BE53"/>
    <mergeCell ref="BW48:CH48"/>
    <mergeCell ref="BF53:BG53"/>
    <mergeCell ref="BH53:BI53"/>
    <mergeCell ref="BK53:BL54"/>
    <mergeCell ref="AT54:AU54"/>
    <mergeCell ref="AT50:AU50"/>
    <mergeCell ref="AZ50:BA50"/>
    <mergeCell ref="BB50:BC50"/>
    <mergeCell ref="BM53:BO54"/>
    <mergeCell ref="BP53:BR53"/>
    <mergeCell ref="BH54:BI54"/>
    <mergeCell ref="AT53:AU53"/>
    <mergeCell ref="AV53:AW53"/>
    <mergeCell ref="AX53:AY53"/>
    <mergeCell ref="BP54:BR54"/>
    <mergeCell ref="B50:C50"/>
    <mergeCell ref="D50:I50"/>
    <mergeCell ref="AF51:AJ51"/>
    <mergeCell ref="B52:C52"/>
    <mergeCell ref="D52:I52"/>
    <mergeCell ref="J52:K52"/>
    <mergeCell ref="L52:R52"/>
    <mergeCell ref="T52:X52"/>
    <mergeCell ref="Y52:AC52"/>
    <mergeCell ref="AD52:AE52"/>
    <mergeCell ref="AF52:AJ52"/>
    <mergeCell ref="Y50:AC50"/>
    <mergeCell ref="AN50:AO50"/>
    <mergeCell ref="AP50:AQ50"/>
    <mergeCell ref="AR50:AS50"/>
    <mergeCell ref="AN54:AO54"/>
    <mergeCell ref="AP54:AQ54"/>
    <mergeCell ref="AR54:AS54"/>
    <mergeCell ref="B51:C51"/>
    <mergeCell ref="D51:I51"/>
    <mergeCell ref="J51:K51"/>
    <mergeCell ref="L51:R51"/>
    <mergeCell ref="T51:X51"/>
    <mergeCell ref="Y51:AC51"/>
    <mergeCell ref="AD51:AE51"/>
    <mergeCell ref="AN53:AO53"/>
    <mergeCell ref="AP53:AQ53"/>
    <mergeCell ref="AR53:AS53"/>
    <mergeCell ref="AD50:AE50"/>
    <mergeCell ref="AF50:AJ50"/>
    <mergeCell ref="AL50:AM50"/>
    <mergeCell ref="L55:R55"/>
    <mergeCell ref="T55:X55"/>
    <mergeCell ref="Y55:AC55"/>
    <mergeCell ref="AD55:AE55"/>
    <mergeCell ref="AF55:AJ55"/>
    <mergeCell ref="AV54:AW54"/>
    <mergeCell ref="AX54:AY54"/>
    <mergeCell ref="AZ54:BA54"/>
    <mergeCell ref="BB54:BC54"/>
    <mergeCell ref="BD54:BE54"/>
    <mergeCell ref="BF54:BG54"/>
    <mergeCell ref="AF54:AJ54"/>
    <mergeCell ref="AL54:AM54"/>
    <mergeCell ref="BW52:CH57"/>
    <mergeCell ref="B53:C53"/>
    <mergeCell ref="D53:I53"/>
    <mergeCell ref="J53:K53"/>
    <mergeCell ref="L53:R53"/>
    <mergeCell ref="T53:X53"/>
    <mergeCell ref="Y53:AC53"/>
    <mergeCell ref="AD53:AE53"/>
    <mergeCell ref="AF53:AJ53"/>
    <mergeCell ref="AL53:AM53"/>
    <mergeCell ref="BS53:BU54"/>
    <mergeCell ref="B54:C54"/>
    <mergeCell ref="D54:I54"/>
    <mergeCell ref="J54:K54"/>
    <mergeCell ref="L54:R54"/>
    <mergeCell ref="T54:X54"/>
    <mergeCell ref="Y54:AC54"/>
    <mergeCell ref="AD54:AE54"/>
    <mergeCell ref="AZ53:BA53"/>
    <mergeCell ref="AD56:AE56"/>
    <mergeCell ref="AF56:AJ56"/>
    <mergeCell ref="B57:C57"/>
    <mergeCell ref="D57:I57"/>
    <mergeCell ref="J57:K57"/>
    <mergeCell ref="L57:R57"/>
    <mergeCell ref="T57:X57"/>
    <mergeCell ref="Y57:AC57"/>
    <mergeCell ref="AD57:AE57"/>
    <mergeCell ref="AF57:AJ57"/>
    <mergeCell ref="B56:C56"/>
    <mergeCell ref="D56:I56"/>
    <mergeCell ref="J56:K56"/>
    <mergeCell ref="L56:R56"/>
    <mergeCell ref="T56:X56"/>
    <mergeCell ref="Y56:AC56"/>
    <mergeCell ref="BP57:BR57"/>
    <mergeCell ref="BM57:BO58"/>
    <mergeCell ref="BK57:BL58"/>
    <mergeCell ref="AN58:AO58"/>
    <mergeCell ref="AP58:AQ58"/>
    <mergeCell ref="AR58:AS58"/>
    <mergeCell ref="B55:C55"/>
    <mergeCell ref="D55:I55"/>
    <mergeCell ref="J55:K55"/>
    <mergeCell ref="BS57:BU58"/>
    <mergeCell ref="B58:C58"/>
    <mergeCell ref="D58:I58"/>
    <mergeCell ref="J58:K58"/>
    <mergeCell ref="L58:R58"/>
    <mergeCell ref="T58:X58"/>
    <mergeCell ref="Y58:AC58"/>
    <mergeCell ref="AX57:AY57"/>
    <mergeCell ref="AZ57:BA57"/>
    <mergeCell ref="BB57:BC57"/>
    <mergeCell ref="BD57:BE57"/>
    <mergeCell ref="BF57:BG57"/>
    <mergeCell ref="BH57:BI57"/>
    <mergeCell ref="AL57:AM57"/>
    <mergeCell ref="AN57:AO57"/>
    <mergeCell ref="AP57:AQ57"/>
    <mergeCell ref="AR57:AS57"/>
    <mergeCell ref="AT57:AU57"/>
    <mergeCell ref="AV57:AW57"/>
    <mergeCell ref="BF58:BG58"/>
    <mergeCell ref="BH58:BI58"/>
    <mergeCell ref="BP58:BR58"/>
    <mergeCell ref="AX58:AY58"/>
    <mergeCell ref="AZ58:BA58"/>
    <mergeCell ref="BB58:BC58"/>
    <mergeCell ref="BD58:BE58"/>
    <mergeCell ref="AD58:AE58"/>
    <mergeCell ref="AF58:AJ58"/>
    <mergeCell ref="AL58:AM58"/>
    <mergeCell ref="B59:C59"/>
    <mergeCell ref="D59:I59"/>
    <mergeCell ref="J59:K59"/>
    <mergeCell ref="L59:R59"/>
    <mergeCell ref="T59:X59"/>
    <mergeCell ref="Y59:AC59"/>
    <mergeCell ref="AD59:AE59"/>
    <mergeCell ref="AT58:AU58"/>
    <mergeCell ref="AV58:AW58"/>
    <mergeCell ref="AF59:AJ59"/>
    <mergeCell ref="AN61:AO61"/>
    <mergeCell ref="AP61:AQ61"/>
    <mergeCell ref="AR61:AS61"/>
    <mergeCell ref="AT61:AU61"/>
    <mergeCell ref="AV61:AW61"/>
    <mergeCell ref="AX61:AY61"/>
    <mergeCell ref="B60:C60"/>
    <mergeCell ref="D60:I60"/>
    <mergeCell ref="J60:K60"/>
    <mergeCell ref="L60:R60"/>
    <mergeCell ref="T60:X60"/>
    <mergeCell ref="Y60:AC60"/>
    <mergeCell ref="AD60:AE60"/>
    <mergeCell ref="AF60:AJ60"/>
    <mergeCell ref="BW60:CH66"/>
    <mergeCell ref="B61:C61"/>
    <mergeCell ref="D61:I61"/>
    <mergeCell ref="J61:K61"/>
    <mergeCell ref="L61:R61"/>
    <mergeCell ref="T61:X61"/>
    <mergeCell ref="Y61:AC61"/>
    <mergeCell ref="AD61:AE61"/>
    <mergeCell ref="AF61:AJ61"/>
    <mergeCell ref="AL61:AM61"/>
    <mergeCell ref="BS61:BU62"/>
    <mergeCell ref="B62:C62"/>
    <mergeCell ref="D62:I62"/>
    <mergeCell ref="J62:K62"/>
    <mergeCell ref="L62:R62"/>
    <mergeCell ref="T62:X62"/>
    <mergeCell ref="BP62:BR62"/>
    <mergeCell ref="B63:C63"/>
    <mergeCell ref="D63:I63"/>
    <mergeCell ref="J63:K63"/>
    <mergeCell ref="L63:R63"/>
    <mergeCell ref="T63:X63"/>
    <mergeCell ref="Y63:AC63"/>
    <mergeCell ref="AD63:AE63"/>
    <mergeCell ref="AF63:AJ63"/>
    <mergeCell ref="AV62:AW62"/>
    <mergeCell ref="AX62:AY62"/>
    <mergeCell ref="AZ62:BA62"/>
    <mergeCell ref="BB62:BC62"/>
    <mergeCell ref="BD62:BE62"/>
    <mergeCell ref="BF62:BG62"/>
    <mergeCell ref="AF62:AJ62"/>
    <mergeCell ref="AL62:AM62"/>
    <mergeCell ref="AN62:AO62"/>
    <mergeCell ref="AP62:AQ62"/>
    <mergeCell ref="AR62:AS62"/>
    <mergeCell ref="AT62:AU62"/>
    <mergeCell ref="BM61:BO62"/>
    <mergeCell ref="BP61:BR61"/>
    <mergeCell ref="Y62:AC62"/>
    <mergeCell ref="AD62:AE62"/>
    <mergeCell ref="AZ61:BA61"/>
    <mergeCell ref="BB61:BC61"/>
    <mergeCell ref="BD61:BE61"/>
    <mergeCell ref="BF61:BG61"/>
    <mergeCell ref="BH61:BI61"/>
    <mergeCell ref="BK61:BL62"/>
    <mergeCell ref="BH62:BI62"/>
    <mergeCell ref="AD66:AE66"/>
    <mergeCell ref="AF66:AJ66"/>
    <mergeCell ref="AL66:AM66"/>
    <mergeCell ref="AN66:AO66"/>
    <mergeCell ref="AP66:AQ66"/>
    <mergeCell ref="AD64:AE64"/>
    <mergeCell ref="AF64:AJ64"/>
    <mergeCell ref="BP65:BR65"/>
    <mergeCell ref="BP66:BR66"/>
    <mergeCell ref="B64:C64"/>
    <mergeCell ref="D64:I64"/>
    <mergeCell ref="J64:K64"/>
    <mergeCell ref="L64:R64"/>
    <mergeCell ref="T64:X64"/>
    <mergeCell ref="Y64:AC64"/>
    <mergeCell ref="AR66:AS66"/>
    <mergeCell ref="BK65:BL66"/>
    <mergeCell ref="BM65:BO66"/>
    <mergeCell ref="BF66:BG66"/>
    <mergeCell ref="BH66:BI66"/>
    <mergeCell ref="AT66:AU66"/>
    <mergeCell ref="AV66:AW66"/>
    <mergeCell ref="AX66:AY66"/>
    <mergeCell ref="AZ66:BA66"/>
    <mergeCell ref="BB66:BC66"/>
    <mergeCell ref="BD66:BE66"/>
    <mergeCell ref="BS65:BU66"/>
    <mergeCell ref="B66:C66"/>
    <mergeCell ref="D66:I66"/>
    <mergeCell ref="J66:K66"/>
    <mergeCell ref="L66:R66"/>
    <mergeCell ref="T66:X66"/>
    <mergeCell ref="Y66:AC66"/>
    <mergeCell ref="AX65:AY65"/>
    <mergeCell ref="AZ65:BA65"/>
    <mergeCell ref="BB65:BC65"/>
    <mergeCell ref="BD65:BE65"/>
    <mergeCell ref="BF65:BG65"/>
    <mergeCell ref="BH65:BI65"/>
    <mergeCell ref="AL65:AM65"/>
    <mergeCell ref="AN65:AO65"/>
    <mergeCell ref="AP65:AQ65"/>
    <mergeCell ref="AR65:AS65"/>
    <mergeCell ref="AT65:AU65"/>
    <mergeCell ref="AV65:AW65"/>
    <mergeCell ref="B65:C65"/>
    <mergeCell ref="D65:I65"/>
    <mergeCell ref="J65:K65"/>
    <mergeCell ref="L65:R65"/>
    <mergeCell ref="T65:X65"/>
    <mergeCell ref="Y65:AC65"/>
    <mergeCell ref="AD65:AE65"/>
    <mergeCell ref="AF65:AJ65"/>
    <mergeCell ref="V13:X13"/>
    <mergeCell ref="Y13:AA13"/>
    <mergeCell ref="V14:X14"/>
    <mergeCell ref="Y14:AA14"/>
    <mergeCell ref="V3:X3"/>
    <mergeCell ref="Y3:AA3"/>
    <mergeCell ref="V4:X4"/>
    <mergeCell ref="Y4:AA4"/>
    <mergeCell ref="V5:X5"/>
    <mergeCell ref="Y5:AA5"/>
    <mergeCell ref="V6:X6"/>
    <mergeCell ref="Y6:AA6"/>
    <mergeCell ref="V7:X7"/>
    <mergeCell ref="Y7:AA7"/>
    <mergeCell ref="V8:X8"/>
    <mergeCell ref="Y8:AA8"/>
    <mergeCell ref="V9:X9"/>
    <mergeCell ref="Y9:AA9"/>
    <mergeCell ref="V10:X10"/>
    <mergeCell ref="Y10:AA10"/>
    <mergeCell ref="V11:X11"/>
    <mergeCell ref="Y11:AA11"/>
    <mergeCell ref="V12:X12"/>
    <mergeCell ref="Y12:AA12"/>
  </mergeCells>
  <phoneticPr fontId="2"/>
  <conditionalFormatting sqref="G15:U15">
    <cfRule type="cellIs" dxfId="71" priority="43" operator="lessThan">
      <formula>700000</formula>
    </cfRule>
  </conditionalFormatting>
  <conditionalFormatting sqref="G23:U23">
    <cfRule type="cellIs" dxfId="70" priority="11" operator="between">
      <formula>0.95</formula>
      <formula>0.9</formula>
    </cfRule>
    <cfRule type="cellIs" dxfId="69" priority="12" operator="lessThan">
      <formula>0.9</formula>
    </cfRule>
  </conditionalFormatting>
  <conditionalFormatting sqref="G20:X22">
    <cfRule type="cellIs" dxfId="68" priority="9" operator="between">
      <formula>0.95</formula>
      <formula>0.9</formula>
    </cfRule>
    <cfRule type="cellIs" dxfId="67" priority="10" operator="lessThan">
      <formula>0.9</formula>
    </cfRule>
  </conditionalFormatting>
  <conditionalFormatting sqref="G24:X24">
    <cfRule type="cellIs" dxfId="66" priority="21" operator="lessThan">
      <formula>0.4</formula>
    </cfRule>
    <cfRule type="cellIs" dxfId="65" priority="22" operator="lessThan">
      <formula>0.5</formula>
    </cfRule>
  </conditionalFormatting>
  <conditionalFormatting sqref="G6:AA6">
    <cfRule type="cellIs" dxfId="64" priority="1" operator="between">
      <formula>0.95</formula>
      <formula>0.9</formula>
    </cfRule>
    <cfRule type="cellIs" dxfId="63" priority="6" operator="lessThan">
      <formula>0.9</formula>
    </cfRule>
  </conditionalFormatting>
  <conditionalFormatting sqref="G8:AA8">
    <cfRule type="cellIs" dxfId="62" priority="4" operator="lessThan">
      <formula>0.4</formula>
    </cfRule>
    <cfRule type="cellIs" dxfId="61" priority="5" operator="lessThan">
      <formula>0.5</formula>
    </cfRule>
  </conditionalFormatting>
  <conditionalFormatting sqref="G10:AA10">
    <cfRule type="cellIs" dxfId="60" priority="3" operator="lessThan">
      <formula>0.9</formula>
    </cfRule>
  </conditionalFormatting>
  <conditionalFormatting sqref="G12:AA12">
    <cfRule type="expression" dxfId="59" priority="2">
      <formula>AND(G12&lt;&gt;"",G12&gt;0.3)</formula>
    </cfRule>
  </conditionalFormatting>
  <conditionalFormatting sqref="G14:AA14">
    <cfRule type="containsBlanks" dxfId="58" priority="7">
      <formula>LEN(TRIM(G14))=0</formula>
    </cfRule>
  </conditionalFormatting>
  <conditionalFormatting sqref="J27:AA31">
    <cfRule type="containsBlanks" dxfId="57" priority="8">
      <formula>LEN(TRIM(J27))=0</formula>
    </cfRule>
  </conditionalFormatting>
  <conditionalFormatting sqref="P75:AA75">
    <cfRule type="cellIs" dxfId="56" priority="52" operator="equal">
      <formula>"完"</formula>
    </cfRule>
  </conditionalFormatting>
  <conditionalFormatting sqref="AH35:AJ35">
    <cfRule type="cellIs" dxfId="55" priority="50" operator="equal">
      <formula>"Ⅱ算定済"</formula>
    </cfRule>
    <cfRule type="cellIs" dxfId="54" priority="51" operator="equal">
      <formula>"Ⅰ算定済"</formula>
    </cfRule>
  </conditionalFormatting>
  <conditionalFormatting sqref="BF3:BU32 P75:AA75 AH35:AJ35 AC5:AN5 AQ5:BB5 AC8:AN8 AQ8:BB8 AC11:BB14 AK17:BB21 AE27:BB29 AE32:BB32 BK37:BP42 D37:AJ66 AL38:BI38 AL42:BI42 BW45:CH49 AL46:BI46 AL50:BI50 AL54:BI54 AL58:BI58 AL62:BI62 AL66:BI66 P70:S71 P72 S72 X72 AA72 P73:S73 X73:AA73 X76:AA76 P76:S78 X78:AA78 L79:AA79 B83:G84 L83:AA84">
    <cfRule type="containsBlanks" dxfId="53" priority="54">
      <formula>LEN(TRIM(B3))=0</formula>
    </cfRule>
  </conditionalFormatting>
  <conditionalFormatting sqref="BL3:BQ32">
    <cfRule type="cellIs" dxfId="52" priority="53" operator="equal">
      <formula>"完"</formula>
    </cfRule>
  </conditionalFormatting>
  <dataValidations count="23">
    <dataValidation type="list" allowBlank="1" showInputMessage="1" showErrorMessage="1" sqref="Y37:AC66" xr:uid="{B2B5349A-58CA-448C-AAEE-0B8FE14AB6BF}">
      <formula1>"重度支援Ⅰ,重度支援Ⅱ"</formula1>
    </dataValidation>
    <dataValidation type="list" allowBlank="1" showInputMessage="1" showErrorMessage="1" sqref="BK37:BP42" xr:uid="{2C8C59F6-2D99-4772-A5B2-A842E5D1FD0A}">
      <formula1>"転倒・転落,誤嚥・窒息,誤薬,行方不明,他害,利用者同士トラブル,自傷,入浴事故,医療急変,その他"</formula1>
    </dataValidation>
    <dataValidation type="list" allowBlank="1" showInputMessage="1" showErrorMessage="1" sqref="AH35:AJ35" xr:uid="{F9C3BFB2-25A6-4D98-A233-7AF1E93C946F}">
      <formula1>"Ⅰ算定済,Ⅱ算定済"</formula1>
    </dataValidation>
    <dataValidation type="list" allowBlank="1" showInputMessage="1" showErrorMessage="1" sqref="S37:S66" xr:uid="{C6F9FE11-15D2-4798-B815-25008A01D6FE}">
      <formula1>"◎,○,△,➡"</formula1>
    </dataValidation>
    <dataValidation type="list" allowBlank="1" showInputMessage="1" showErrorMessage="1" sqref="J37:K66" xr:uid="{E7B149C0-39EB-420B-978A-2A2F5B284210}">
      <formula1>"6,5,4,3,2,1,なし"</formula1>
    </dataValidation>
    <dataValidation type="list" allowBlank="1" showInputMessage="1" showErrorMessage="1" sqref="AA75" xr:uid="{1934D55C-B6CF-43C5-9DB1-273A38AF4AC5}">
      <formula1>"12,完"</formula1>
    </dataValidation>
    <dataValidation type="list" allowBlank="1" showInputMessage="1" showErrorMessage="1" sqref="Z75" xr:uid="{90CF34CE-40EC-4D3F-AE5C-88B40E6E4C21}">
      <formula1>"11,完"</formula1>
    </dataValidation>
    <dataValidation type="list" allowBlank="1" showInputMessage="1" showErrorMessage="1" sqref="Y75" xr:uid="{508D4680-EF3F-4D07-B3D0-081666123A08}">
      <formula1>"10,完"</formula1>
    </dataValidation>
    <dataValidation type="list" allowBlank="1" showInputMessage="1" showErrorMessage="1" sqref="X75" xr:uid="{EEB80D94-76AD-4C16-BDC7-8669FEB5CA46}">
      <formula1>"9,完"</formula1>
    </dataValidation>
    <dataValidation type="list" allowBlank="1" showInputMessage="1" showErrorMessage="1" sqref="W75" xr:uid="{1948D9B4-F59E-4498-A2DB-18D2A4820D45}">
      <formula1>"8,完"</formula1>
    </dataValidation>
    <dataValidation type="list" allowBlank="1" showInputMessage="1" showErrorMessage="1" sqref="V75" xr:uid="{345C009F-8BC7-4B51-84B3-59E2A975D7F3}">
      <formula1>"7,完"</formula1>
    </dataValidation>
    <dataValidation type="list" allowBlank="1" showInputMessage="1" showErrorMessage="1" sqref="U75" xr:uid="{87486675-5B6B-4B38-9597-E4BC882CEEAC}">
      <formula1>"6,完"</formula1>
    </dataValidation>
    <dataValidation type="list" allowBlank="1" showInputMessage="1" showErrorMessage="1" sqref="T75" xr:uid="{82A423D6-5EFB-47C3-AAC3-7BFC14A2A58C}">
      <formula1>"5,完"</formula1>
    </dataValidation>
    <dataValidation type="list" allowBlank="1" showInputMessage="1" showErrorMessage="1" sqref="S75" xr:uid="{40085EA0-8F83-44EF-B5F4-F105D173377F}">
      <formula1>"4,完"</formula1>
    </dataValidation>
    <dataValidation type="list" allowBlank="1" showInputMessage="1" showErrorMessage="1" sqref="R75" xr:uid="{533F6034-BCA5-4064-87D4-8284276BCDA6}">
      <formula1>"3,完"</formula1>
    </dataValidation>
    <dataValidation type="list" allowBlank="1" showInputMessage="1" showErrorMessage="1" sqref="Q75" xr:uid="{A8E988F1-05B8-41C2-92AE-81DEAF56711D}">
      <formula1>"2,完"</formula1>
    </dataValidation>
    <dataValidation type="list" allowBlank="1" showInputMessage="1" showErrorMessage="1" sqref="P75" xr:uid="{63E82624-FF5E-40A7-A453-9CF76E2C6A4F}">
      <formula1>"1,完"</formula1>
    </dataValidation>
    <dataValidation type="list" allowBlank="1" showInputMessage="1" showErrorMessage="1" sqref="X78:AA78 BT3:BT32 P70:S71 P72 S72 P73:S74 X73:AA74 AA72 X72 X70:AA71 X76:AA76 P76:S78 BR3:BR32" xr:uid="{59E92B35-494E-48E1-A5A5-B0D47750F540}">
      <formula1>"●"</formula1>
    </dataValidation>
    <dataValidation type="list" allowBlank="1" showInputMessage="1" showErrorMessage="1" sqref="BF3:BG32" xr:uid="{0BA107BA-D0F7-4C8B-A804-FC02950F04DE}">
      <formula1>"時給,常時給,月給"</formula1>
    </dataValidation>
    <dataValidation type="list" allowBlank="1" showInputMessage="1" showErrorMessage="1" sqref="AM11:AM14" xr:uid="{05434085-F42D-406E-A286-AD7582FEA5FE}">
      <formula1>"週,月"</formula1>
    </dataValidation>
    <dataValidation type="list" allowBlank="1" showInputMessage="1" showErrorMessage="1" sqref="AD37:AE66" xr:uid="{F16A1F26-B1BA-4572-811B-5CA143B0E1A7}">
      <formula1>"済"</formula1>
    </dataValidation>
    <dataValidation type="list" allowBlank="1" showInputMessage="1" showErrorMessage="1" sqref="B83:D84" xr:uid="{0075EAAE-4BA0-45C9-8550-3D32382A15BB}">
      <formula1>"Ⅰ,Ⅱ,Ⅲ"</formula1>
    </dataValidation>
    <dataValidation type="list" allowBlank="1" showInputMessage="1" showErrorMessage="1" sqref="BL3:BQ32" xr:uid="{4B47A756-F4DA-4FF2-BEF0-2CC356993C2D}">
      <formula1>"完"</formula1>
    </dataValidation>
  </dataValidations>
  <hyperlinks>
    <hyperlink ref="BX6" r:id="rId1" xr:uid="{F687AAD2-591D-471A-B192-CDE52266E290}"/>
    <hyperlink ref="B19:F19" r:id="rId2" display="利用日数" xr:uid="{D97001C9-B980-48A7-A902-4F8A94EA4EAF}"/>
    <hyperlink ref="B21:F21" r:id="rId3" display="利用日数" xr:uid="{A7FC745B-85CC-4221-8316-20C16F76264B}"/>
    <hyperlink ref="B9:F9" r:id="rId4" display="..\04.サビ管_ラシエル\03. ご入居者利用状況一覧\萩丘ⅰ⑤.xlsx" xr:uid="{FA50702E-DCE3-4A2B-83EE-E467C7C6ACED}"/>
    <hyperlink ref="B7:F7" r:id="rId5" display="短期稼働日数" xr:uid="{7A926A18-EC0E-427B-B886-08E0ABD6F218}"/>
    <hyperlink ref="B30:E31" r:id="rId6" display="派遣時間数" xr:uid="{969401F3-53D1-47EF-BAC6-4D42D52B3D29}"/>
    <hyperlink ref="B23:F23" r:id="rId7" display="短期稼働日数" xr:uid="{8905B2EA-76DE-4833-8BB6-CD537206C6BE}"/>
    <hyperlink ref="AC16:AJ16" r:id="rId8" display="常勤換算法・夜勤含む（/所定労働）" xr:uid="{F9488ABF-8380-4FB0-BCE6-A4CAFA6556D0}"/>
  </hyperlinks>
  <printOptions horizontalCentered="1" verticalCentered="1"/>
  <pageMargins left="0.11811023622047245" right="0.11811023622047245" top="0.15748031496062992" bottom="0.15748031496062992" header="0" footer="0"/>
  <pageSetup paperSize="9" scale="25" orientation="landscape" r:id="rId9"/>
  <drawing r:id="rId10"/>
  <legacyDrawing r:id="rId11"/>
  <mc:AlternateContent xmlns:mc="http://schemas.openxmlformats.org/markup-compatibility/2006">
    <mc:Choice Requires="x14">
      <controls>
        <mc:AlternateContent xmlns:mc="http://schemas.openxmlformats.org/markup-compatibility/2006">
          <mc:Choice Requires="x14">
            <control shapeId="71682" r:id="rId12" name="TaskCheck_BW3">
              <controlPr defaultSize="0" autoFill="0" autoLine="0" autoPict="0">
                <anchor moveWithCells="1">
                  <from>
                    <xdr:col>74</xdr:col>
                    <xdr:colOff>19050</xdr:colOff>
                    <xdr:row>2</xdr:row>
                    <xdr:rowOff>12700</xdr:rowOff>
                  </from>
                  <to>
                    <xdr:col>75</xdr:col>
                    <xdr:colOff>76200</xdr:colOff>
                    <xdr:row>2</xdr:row>
                    <xdr:rowOff>273050</xdr:rowOff>
                  </to>
                </anchor>
              </controlPr>
            </control>
          </mc:Choice>
        </mc:AlternateContent>
        <mc:AlternateContent xmlns:mc="http://schemas.openxmlformats.org/markup-compatibility/2006">
          <mc:Choice Requires="x14">
            <control shapeId="71683" r:id="rId13" name="TaskCheck_BW4">
              <controlPr defaultSize="0" autoFill="0" autoLine="0" autoPict="0">
                <anchor moveWithCells="1">
                  <from>
                    <xdr:col>74</xdr:col>
                    <xdr:colOff>19050</xdr:colOff>
                    <xdr:row>3</xdr:row>
                    <xdr:rowOff>12700</xdr:rowOff>
                  </from>
                  <to>
                    <xdr:col>75</xdr:col>
                    <xdr:colOff>76200</xdr:colOff>
                    <xdr:row>3</xdr:row>
                    <xdr:rowOff>273050</xdr:rowOff>
                  </to>
                </anchor>
              </controlPr>
            </control>
          </mc:Choice>
        </mc:AlternateContent>
        <mc:AlternateContent xmlns:mc="http://schemas.openxmlformats.org/markup-compatibility/2006">
          <mc:Choice Requires="x14">
            <control shapeId="71684" r:id="rId14" name="TaskCheck_BW5">
              <controlPr defaultSize="0" autoFill="0" autoLine="0" autoPict="0">
                <anchor moveWithCells="1">
                  <from>
                    <xdr:col>74</xdr:col>
                    <xdr:colOff>19050</xdr:colOff>
                    <xdr:row>4</xdr:row>
                    <xdr:rowOff>12700</xdr:rowOff>
                  </from>
                  <to>
                    <xdr:col>75</xdr:col>
                    <xdr:colOff>76200</xdr:colOff>
                    <xdr:row>4</xdr:row>
                    <xdr:rowOff>273050</xdr:rowOff>
                  </to>
                </anchor>
              </controlPr>
            </control>
          </mc:Choice>
        </mc:AlternateContent>
        <mc:AlternateContent xmlns:mc="http://schemas.openxmlformats.org/markup-compatibility/2006">
          <mc:Choice Requires="x14">
            <control shapeId="71685" r:id="rId15" name="TaskCheck_BW6">
              <controlPr defaultSize="0" autoFill="0" autoLine="0" autoPict="0">
                <anchor moveWithCells="1">
                  <from>
                    <xdr:col>74</xdr:col>
                    <xdr:colOff>19050</xdr:colOff>
                    <xdr:row>5</xdr:row>
                    <xdr:rowOff>12700</xdr:rowOff>
                  </from>
                  <to>
                    <xdr:col>75</xdr:col>
                    <xdr:colOff>76200</xdr:colOff>
                    <xdr:row>5</xdr:row>
                    <xdr:rowOff>273050</xdr:rowOff>
                  </to>
                </anchor>
              </controlPr>
            </control>
          </mc:Choice>
        </mc:AlternateContent>
        <mc:AlternateContent xmlns:mc="http://schemas.openxmlformats.org/markup-compatibility/2006">
          <mc:Choice Requires="x14">
            <control shapeId="71686" r:id="rId16" name="TaskCheck_BW7">
              <controlPr defaultSize="0" autoFill="0" autoLine="0" autoPict="0">
                <anchor moveWithCells="1">
                  <from>
                    <xdr:col>74</xdr:col>
                    <xdr:colOff>19050</xdr:colOff>
                    <xdr:row>6</xdr:row>
                    <xdr:rowOff>12700</xdr:rowOff>
                  </from>
                  <to>
                    <xdr:col>75</xdr:col>
                    <xdr:colOff>76200</xdr:colOff>
                    <xdr:row>6</xdr:row>
                    <xdr:rowOff>273050</xdr:rowOff>
                  </to>
                </anchor>
              </controlPr>
            </control>
          </mc:Choice>
        </mc:AlternateContent>
        <mc:AlternateContent xmlns:mc="http://schemas.openxmlformats.org/markup-compatibility/2006">
          <mc:Choice Requires="x14">
            <control shapeId="71687" r:id="rId17" name="TaskCheck_BW8">
              <controlPr defaultSize="0" autoFill="0" autoLine="0" autoPict="0">
                <anchor moveWithCells="1">
                  <from>
                    <xdr:col>74</xdr:col>
                    <xdr:colOff>19050</xdr:colOff>
                    <xdr:row>7</xdr:row>
                    <xdr:rowOff>12700</xdr:rowOff>
                  </from>
                  <to>
                    <xdr:col>75</xdr:col>
                    <xdr:colOff>76200</xdr:colOff>
                    <xdr:row>7</xdr:row>
                    <xdr:rowOff>273050</xdr:rowOff>
                  </to>
                </anchor>
              </controlPr>
            </control>
          </mc:Choice>
        </mc:AlternateContent>
        <mc:AlternateContent xmlns:mc="http://schemas.openxmlformats.org/markup-compatibility/2006">
          <mc:Choice Requires="x14">
            <control shapeId="71688" r:id="rId18" name="TaskCheck_BW9">
              <controlPr defaultSize="0" autoFill="0" autoLine="0" autoPict="0">
                <anchor moveWithCells="1">
                  <from>
                    <xdr:col>74</xdr:col>
                    <xdr:colOff>19050</xdr:colOff>
                    <xdr:row>8</xdr:row>
                    <xdr:rowOff>12700</xdr:rowOff>
                  </from>
                  <to>
                    <xdr:col>75</xdr:col>
                    <xdr:colOff>76200</xdr:colOff>
                    <xdr:row>8</xdr:row>
                    <xdr:rowOff>273050</xdr:rowOff>
                  </to>
                </anchor>
              </controlPr>
            </control>
          </mc:Choice>
        </mc:AlternateContent>
        <mc:AlternateContent xmlns:mc="http://schemas.openxmlformats.org/markup-compatibility/2006">
          <mc:Choice Requires="x14">
            <control shapeId="71689" r:id="rId19" name="TaskCheck_BW10">
              <controlPr defaultSize="0" autoFill="0" autoLine="0" autoPict="0">
                <anchor moveWithCells="1">
                  <from>
                    <xdr:col>74</xdr:col>
                    <xdr:colOff>19050</xdr:colOff>
                    <xdr:row>9</xdr:row>
                    <xdr:rowOff>12700</xdr:rowOff>
                  </from>
                  <to>
                    <xdr:col>75</xdr:col>
                    <xdr:colOff>76200</xdr:colOff>
                    <xdr:row>9</xdr:row>
                    <xdr:rowOff>273050</xdr:rowOff>
                  </to>
                </anchor>
              </controlPr>
            </control>
          </mc:Choice>
        </mc:AlternateContent>
        <mc:AlternateContent xmlns:mc="http://schemas.openxmlformats.org/markup-compatibility/2006">
          <mc:Choice Requires="x14">
            <control shapeId="71690" r:id="rId20" name="TaskCheck_BW11">
              <controlPr defaultSize="0" autoFill="0" autoLine="0" autoPict="0">
                <anchor moveWithCells="1">
                  <from>
                    <xdr:col>74</xdr:col>
                    <xdr:colOff>19050</xdr:colOff>
                    <xdr:row>10</xdr:row>
                    <xdr:rowOff>12700</xdr:rowOff>
                  </from>
                  <to>
                    <xdr:col>75</xdr:col>
                    <xdr:colOff>76200</xdr:colOff>
                    <xdr:row>10</xdr:row>
                    <xdr:rowOff>273050</xdr:rowOff>
                  </to>
                </anchor>
              </controlPr>
            </control>
          </mc:Choice>
        </mc:AlternateContent>
        <mc:AlternateContent xmlns:mc="http://schemas.openxmlformats.org/markup-compatibility/2006">
          <mc:Choice Requires="x14">
            <control shapeId="71691" r:id="rId21" name="TaskCheck_BW12">
              <controlPr defaultSize="0" autoFill="0" autoLine="0" autoPict="0">
                <anchor moveWithCells="1">
                  <from>
                    <xdr:col>74</xdr:col>
                    <xdr:colOff>19050</xdr:colOff>
                    <xdr:row>11</xdr:row>
                    <xdr:rowOff>12700</xdr:rowOff>
                  </from>
                  <to>
                    <xdr:col>75</xdr:col>
                    <xdr:colOff>76200</xdr:colOff>
                    <xdr:row>11</xdr:row>
                    <xdr:rowOff>273050</xdr:rowOff>
                  </to>
                </anchor>
              </controlPr>
            </control>
          </mc:Choice>
        </mc:AlternateContent>
        <mc:AlternateContent xmlns:mc="http://schemas.openxmlformats.org/markup-compatibility/2006">
          <mc:Choice Requires="x14">
            <control shapeId="71692" r:id="rId22" name="TaskCheck_BW13">
              <controlPr defaultSize="0" autoFill="0" autoLine="0" autoPict="0">
                <anchor moveWithCells="1">
                  <from>
                    <xdr:col>74</xdr:col>
                    <xdr:colOff>19050</xdr:colOff>
                    <xdr:row>12</xdr:row>
                    <xdr:rowOff>12700</xdr:rowOff>
                  </from>
                  <to>
                    <xdr:col>75</xdr:col>
                    <xdr:colOff>76200</xdr:colOff>
                    <xdr:row>12</xdr:row>
                    <xdr:rowOff>273050</xdr:rowOff>
                  </to>
                </anchor>
              </controlPr>
            </control>
          </mc:Choice>
        </mc:AlternateContent>
        <mc:AlternateContent xmlns:mc="http://schemas.openxmlformats.org/markup-compatibility/2006">
          <mc:Choice Requires="x14">
            <control shapeId="71693" r:id="rId23" name="TaskCheck_BW14">
              <controlPr defaultSize="0" autoFill="0" autoLine="0" autoPict="0">
                <anchor moveWithCells="1">
                  <from>
                    <xdr:col>74</xdr:col>
                    <xdr:colOff>19050</xdr:colOff>
                    <xdr:row>13</xdr:row>
                    <xdr:rowOff>12700</xdr:rowOff>
                  </from>
                  <to>
                    <xdr:col>75</xdr:col>
                    <xdr:colOff>76200</xdr:colOff>
                    <xdr:row>13</xdr:row>
                    <xdr:rowOff>273050</xdr:rowOff>
                  </to>
                </anchor>
              </controlPr>
            </control>
          </mc:Choice>
        </mc:AlternateContent>
        <mc:AlternateContent xmlns:mc="http://schemas.openxmlformats.org/markup-compatibility/2006">
          <mc:Choice Requires="x14">
            <control shapeId="71694" r:id="rId24" name="TaskCheck_BW15">
              <controlPr defaultSize="0" autoFill="0" autoLine="0" autoPict="0">
                <anchor moveWithCells="1">
                  <from>
                    <xdr:col>74</xdr:col>
                    <xdr:colOff>19050</xdr:colOff>
                    <xdr:row>14</xdr:row>
                    <xdr:rowOff>12700</xdr:rowOff>
                  </from>
                  <to>
                    <xdr:col>75</xdr:col>
                    <xdr:colOff>76200</xdr:colOff>
                    <xdr:row>14</xdr:row>
                    <xdr:rowOff>273050</xdr:rowOff>
                  </to>
                </anchor>
              </controlPr>
            </control>
          </mc:Choice>
        </mc:AlternateContent>
        <mc:AlternateContent xmlns:mc="http://schemas.openxmlformats.org/markup-compatibility/2006">
          <mc:Choice Requires="x14">
            <control shapeId="71695" r:id="rId25" name="TaskCheck_BW16">
              <controlPr defaultSize="0" autoFill="0" autoLine="0" autoPict="0">
                <anchor moveWithCells="1">
                  <from>
                    <xdr:col>74</xdr:col>
                    <xdr:colOff>19050</xdr:colOff>
                    <xdr:row>15</xdr:row>
                    <xdr:rowOff>12700</xdr:rowOff>
                  </from>
                  <to>
                    <xdr:col>75</xdr:col>
                    <xdr:colOff>76200</xdr:colOff>
                    <xdr:row>15</xdr:row>
                    <xdr:rowOff>273050</xdr:rowOff>
                  </to>
                </anchor>
              </controlPr>
            </control>
          </mc:Choice>
        </mc:AlternateContent>
        <mc:AlternateContent xmlns:mc="http://schemas.openxmlformats.org/markup-compatibility/2006">
          <mc:Choice Requires="x14">
            <control shapeId="71696" r:id="rId26" name="TaskCheck_BW19">
              <controlPr defaultSize="0" autoFill="0" autoLine="0" autoPict="0">
                <anchor moveWithCells="1">
                  <from>
                    <xdr:col>74</xdr:col>
                    <xdr:colOff>19050</xdr:colOff>
                    <xdr:row>18</xdr:row>
                    <xdr:rowOff>12700</xdr:rowOff>
                  </from>
                  <to>
                    <xdr:col>75</xdr:col>
                    <xdr:colOff>76200</xdr:colOff>
                    <xdr:row>18</xdr:row>
                    <xdr:rowOff>273050</xdr:rowOff>
                  </to>
                </anchor>
              </controlPr>
            </control>
          </mc:Choice>
        </mc:AlternateContent>
        <mc:AlternateContent xmlns:mc="http://schemas.openxmlformats.org/markup-compatibility/2006">
          <mc:Choice Requires="x14">
            <control shapeId="71697" r:id="rId27" name="TaskCheck_BW20">
              <controlPr defaultSize="0" autoFill="0" autoLine="0" autoPict="0">
                <anchor moveWithCells="1">
                  <from>
                    <xdr:col>74</xdr:col>
                    <xdr:colOff>19050</xdr:colOff>
                    <xdr:row>19</xdr:row>
                    <xdr:rowOff>12700</xdr:rowOff>
                  </from>
                  <to>
                    <xdr:col>75</xdr:col>
                    <xdr:colOff>76200</xdr:colOff>
                    <xdr:row>19</xdr:row>
                    <xdr:rowOff>273050</xdr:rowOff>
                  </to>
                </anchor>
              </controlPr>
            </control>
          </mc:Choice>
        </mc:AlternateContent>
        <mc:AlternateContent xmlns:mc="http://schemas.openxmlformats.org/markup-compatibility/2006">
          <mc:Choice Requires="x14">
            <control shapeId="71698" r:id="rId28" name="TaskCheck_BW21">
              <controlPr defaultSize="0" autoFill="0" autoLine="0" autoPict="0">
                <anchor moveWithCells="1">
                  <from>
                    <xdr:col>74</xdr:col>
                    <xdr:colOff>19050</xdr:colOff>
                    <xdr:row>20</xdr:row>
                    <xdr:rowOff>12700</xdr:rowOff>
                  </from>
                  <to>
                    <xdr:col>75</xdr:col>
                    <xdr:colOff>76200</xdr:colOff>
                    <xdr:row>20</xdr:row>
                    <xdr:rowOff>273050</xdr:rowOff>
                  </to>
                </anchor>
              </controlPr>
            </control>
          </mc:Choice>
        </mc:AlternateContent>
        <mc:AlternateContent xmlns:mc="http://schemas.openxmlformats.org/markup-compatibility/2006">
          <mc:Choice Requires="x14">
            <control shapeId="71699" r:id="rId29" name="TaskCheck_BW22">
              <controlPr defaultSize="0" autoFill="0" autoLine="0" autoPict="0">
                <anchor moveWithCells="1">
                  <from>
                    <xdr:col>74</xdr:col>
                    <xdr:colOff>19050</xdr:colOff>
                    <xdr:row>21</xdr:row>
                    <xdr:rowOff>12700</xdr:rowOff>
                  </from>
                  <to>
                    <xdr:col>75</xdr:col>
                    <xdr:colOff>76200</xdr:colOff>
                    <xdr:row>21</xdr:row>
                    <xdr:rowOff>273050</xdr:rowOff>
                  </to>
                </anchor>
              </controlPr>
            </control>
          </mc:Choice>
        </mc:AlternateContent>
        <mc:AlternateContent xmlns:mc="http://schemas.openxmlformats.org/markup-compatibility/2006">
          <mc:Choice Requires="x14">
            <control shapeId="71700" r:id="rId30" name="TaskCheck_BW23">
              <controlPr defaultSize="0" autoFill="0" autoLine="0" autoPict="0">
                <anchor moveWithCells="1">
                  <from>
                    <xdr:col>74</xdr:col>
                    <xdr:colOff>19050</xdr:colOff>
                    <xdr:row>22</xdr:row>
                    <xdr:rowOff>12700</xdr:rowOff>
                  </from>
                  <to>
                    <xdr:col>75</xdr:col>
                    <xdr:colOff>76200</xdr:colOff>
                    <xdr:row>22</xdr:row>
                    <xdr:rowOff>273050</xdr:rowOff>
                  </to>
                </anchor>
              </controlPr>
            </control>
          </mc:Choice>
        </mc:AlternateContent>
        <mc:AlternateContent xmlns:mc="http://schemas.openxmlformats.org/markup-compatibility/2006">
          <mc:Choice Requires="x14">
            <control shapeId="71701" r:id="rId31" name="TaskCheck_BW24">
              <controlPr defaultSize="0" autoFill="0" autoLine="0" autoPict="0">
                <anchor moveWithCells="1">
                  <from>
                    <xdr:col>74</xdr:col>
                    <xdr:colOff>19050</xdr:colOff>
                    <xdr:row>23</xdr:row>
                    <xdr:rowOff>12700</xdr:rowOff>
                  </from>
                  <to>
                    <xdr:col>75</xdr:col>
                    <xdr:colOff>76200</xdr:colOff>
                    <xdr:row>23</xdr:row>
                    <xdr:rowOff>273050</xdr:rowOff>
                  </to>
                </anchor>
              </controlPr>
            </control>
          </mc:Choice>
        </mc:AlternateContent>
        <mc:AlternateContent xmlns:mc="http://schemas.openxmlformats.org/markup-compatibility/2006">
          <mc:Choice Requires="x14">
            <control shapeId="71702" r:id="rId32" name="TaskCheck_BW25">
              <controlPr defaultSize="0" autoFill="0" autoLine="0" autoPict="0">
                <anchor moveWithCells="1">
                  <from>
                    <xdr:col>74</xdr:col>
                    <xdr:colOff>19050</xdr:colOff>
                    <xdr:row>24</xdr:row>
                    <xdr:rowOff>12700</xdr:rowOff>
                  </from>
                  <to>
                    <xdr:col>75</xdr:col>
                    <xdr:colOff>76200</xdr:colOff>
                    <xdr:row>24</xdr:row>
                    <xdr:rowOff>273050</xdr:rowOff>
                  </to>
                </anchor>
              </controlPr>
            </control>
          </mc:Choice>
        </mc:AlternateContent>
        <mc:AlternateContent xmlns:mc="http://schemas.openxmlformats.org/markup-compatibility/2006">
          <mc:Choice Requires="x14">
            <control shapeId="71703" r:id="rId33" name="TaskCheck_BW26">
              <controlPr defaultSize="0" autoFill="0" autoLine="0" autoPict="0">
                <anchor moveWithCells="1">
                  <from>
                    <xdr:col>74</xdr:col>
                    <xdr:colOff>19050</xdr:colOff>
                    <xdr:row>25</xdr:row>
                    <xdr:rowOff>12700</xdr:rowOff>
                  </from>
                  <to>
                    <xdr:col>75</xdr:col>
                    <xdr:colOff>76200</xdr:colOff>
                    <xdr:row>25</xdr:row>
                    <xdr:rowOff>273050</xdr:rowOff>
                  </to>
                </anchor>
              </controlPr>
            </control>
          </mc:Choice>
        </mc:AlternateContent>
        <mc:AlternateContent xmlns:mc="http://schemas.openxmlformats.org/markup-compatibility/2006">
          <mc:Choice Requires="x14">
            <control shapeId="71704" r:id="rId34" name="TaskCheck_BW27">
              <controlPr defaultSize="0" autoFill="0" autoLine="0" autoPict="0">
                <anchor moveWithCells="1">
                  <from>
                    <xdr:col>74</xdr:col>
                    <xdr:colOff>19050</xdr:colOff>
                    <xdr:row>26</xdr:row>
                    <xdr:rowOff>12700</xdr:rowOff>
                  </from>
                  <to>
                    <xdr:col>75</xdr:col>
                    <xdr:colOff>76200</xdr:colOff>
                    <xdr:row>26</xdr:row>
                    <xdr:rowOff>273050</xdr:rowOff>
                  </to>
                </anchor>
              </controlPr>
            </control>
          </mc:Choice>
        </mc:AlternateContent>
        <mc:AlternateContent xmlns:mc="http://schemas.openxmlformats.org/markup-compatibility/2006">
          <mc:Choice Requires="x14">
            <control shapeId="71705" r:id="rId35" name="TaskCheck_BW28">
              <controlPr defaultSize="0" autoFill="0" autoLine="0" autoPict="0">
                <anchor moveWithCells="1">
                  <from>
                    <xdr:col>74</xdr:col>
                    <xdr:colOff>19050</xdr:colOff>
                    <xdr:row>27</xdr:row>
                    <xdr:rowOff>12700</xdr:rowOff>
                  </from>
                  <to>
                    <xdr:col>75</xdr:col>
                    <xdr:colOff>76200</xdr:colOff>
                    <xdr:row>27</xdr:row>
                    <xdr:rowOff>273050</xdr:rowOff>
                  </to>
                </anchor>
              </controlPr>
            </control>
          </mc:Choice>
        </mc:AlternateContent>
        <mc:AlternateContent xmlns:mc="http://schemas.openxmlformats.org/markup-compatibility/2006">
          <mc:Choice Requires="x14">
            <control shapeId="71706" r:id="rId36" name="TaskCheck_BW29">
              <controlPr defaultSize="0" autoFill="0" autoLine="0" autoPict="0">
                <anchor moveWithCells="1">
                  <from>
                    <xdr:col>74</xdr:col>
                    <xdr:colOff>19050</xdr:colOff>
                    <xdr:row>28</xdr:row>
                    <xdr:rowOff>12700</xdr:rowOff>
                  </from>
                  <to>
                    <xdr:col>75</xdr:col>
                    <xdr:colOff>76200</xdr:colOff>
                    <xdr:row>28</xdr:row>
                    <xdr:rowOff>273050</xdr:rowOff>
                  </to>
                </anchor>
              </controlPr>
            </control>
          </mc:Choice>
        </mc:AlternateContent>
        <mc:AlternateContent xmlns:mc="http://schemas.openxmlformats.org/markup-compatibility/2006">
          <mc:Choice Requires="x14">
            <control shapeId="71707" r:id="rId37" name="TaskCheck_BW30">
              <controlPr defaultSize="0" autoFill="0" autoLine="0" autoPict="0">
                <anchor moveWithCells="1">
                  <from>
                    <xdr:col>74</xdr:col>
                    <xdr:colOff>19050</xdr:colOff>
                    <xdr:row>29</xdr:row>
                    <xdr:rowOff>12700</xdr:rowOff>
                  </from>
                  <to>
                    <xdr:col>75</xdr:col>
                    <xdr:colOff>76200</xdr:colOff>
                    <xdr:row>29</xdr:row>
                    <xdr:rowOff>273050</xdr:rowOff>
                  </to>
                </anchor>
              </controlPr>
            </control>
          </mc:Choice>
        </mc:AlternateContent>
        <mc:AlternateContent xmlns:mc="http://schemas.openxmlformats.org/markup-compatibility/2006">
          <mc:Choice Requires="x14">
            <control shapeId="71708" r:id="rId38" name="TaskCheck_BW31">
              <controlPr defaultSize="0" autoFill="0" autoLine="0" autoPict="0">
                <anchor moveWithCells="1">
                  <from>
                    <xdr:col>74</xdr:col>
                    <xdr:colOff>19050</xdr:colOff>
                    <xdr:row>30</xdr:row>
                    <xdr:rowOff>12700</xdr:rowOff>
                  </from>
                  <to>
                    <xdr:col>75</xdr:col>
                    <xdr:colOff>76200</xdr:colOff>
                    <xdr:row>30</xdr:row>
                    <xdr:rowOff>273050</xdr:rowOff>
                  </to>
                </anchor>
              </controlPr>
            </control>
          </mc:Choice>
        </mc:AlternateContent>
        <mc:AlternateContent xmlns:mc="http://schemas.openxmlformats.org/markup-compatibility/2006">
          <mc:Choice Requires="x14">
            <control shapeId="71709" r:id="rId39" name="TaskCheck_BW32">
              <controlPr defaultSize="0" autoFill="0" autoLine="0" autoPict="0">
                <anchor moveWithCells="1">
                  <from>
                    <xdr:col>74</xdr:col>
                    <xdr:colOff>19050</xdr:colOff>
                    <xdr:row>31</xdr:row>
                    <xdr:rowOff>12700</xdr:rowOff>
                  </from>
                  <to>
                    <xdr:col>75</xdr:col>
                    <xdr:colOff>76200</xdr:colOff>
                    <xdr:row>31</xdr:row>
                    <xdr:rowOff>273050</xdr:rowOff>
                  </to>
                </anchor>
              </controlPr>
            </control>
          </mc:Choice>
        </mc:AlternateContent>
        <mc:AlternateContent xmlns:mc="http://schemas.openxmlformats.org/markup-compatibility/2006">
          <mc:Choice Requires="x14">
            <control shapeId="71710" r:id="rId40" name="TaskCheck_BW33">
              <controlPr defaultSize="0" autoFill="0" autoLine="0" autoPict="0">
                <anchor moveWithCells="1">
                  <from>
                    <xdr:col>74</xdr:col>
                    <xdr:colOff>19050</xdr:colOff>
                    <xdr:row>32</xdr:row>
                    <xdr:rowOff>12700</xdr:rowOff>
                  </from>
                  <to>
                    <xdr:col>75</xdr:col>
                    <xdr:colOff>76200</xdr:colOff>
                    <xdr:row>32</xdr:row>
                    <xdr:rowOff>273050</xdr:rowOff>
                  </to>
                </anchor>
              </controlPr>
            </control>
          </mc:Choice>
        </mc:AlternateContent>
        <mc:AlternateContent xmlns:mc="http://schemas.openxmlformats.org/markup-compatibility/2006">
          <mc:Choice Requires="x14">
            <control shapeId="71711" r:id="rId41" name="TaskCheck_BW36">
              <controlPr defaultSize="0" autoFill="0" autoLine="0" autoPict="0">
                <anchor moveWithCells="1">
                  <from>
                    <xdr:col>74</xdr:col>
                    <xdr:colOff>19050</xdr:colOff>
                    <xdr:row>35</xdr:row>
                    <xdr:rowOff>12700</xdr:rowOff>
                  </from>
                  <to>
                    <xdr:col>75</xdr:col>
                    <xdr:colOff>76200</xdr:colOff>
                    <xdr:row>35</xdr:row>
                    <xdr:rowOff>273050</xdr:rowOff>
                  </to>
                </anchor>
              </controlPr>
            </control>
          </mc:Choice>
        </mc:AlternateContent>
        <mc:AlternateContent xmlns:mc="http://schemas.openxmlformats.org/markup-compatibility/2006">
          <mc:Choice Requires="x14">
            <control shapeId="71712" r:id="rId42" name="TaskCheck_BQ37">
              <controlPr defaultSize="0" autoFill="0" autoLine="0" autoPict="0">
                <anchor moveWithCells="1">
                  <from>
                    <xdr:col>68</xdr:col>
                    <xdr:colOff>19050</xdr:colOff>
                    <xdr:row>36</xdr:row>
                    <xdr:rowOff>12700</xdr:rowOff>
                  </from>
                  <to>
                    <xdr:col>69</xdr:col>
                    <xdr:colOff>76200</xdr:colOff>
                    <xdr:row>36</xdr:row>
                    <xdr:rowOff>273050</xdr:rowOff>
                  </to>
                </anchor>
              </controlPr>
            </control>
          </mc:Choice>
        </mc:AlternateContent>
        <mc:AlternateContent xmlns:mc="http://schemas.openxmlformats.org/markup-compatibility/2006">
          <mc:Choice Requires="x14">
            <control shapeId="71713" r:id="rId43" name="TaskCheck_BW37">
              <controlPr defaultSize="0" autoFill="0" autoLine="0" autoPict="0">
                <anchor moveWithCells="1">
                  <from>
                    <xdr:col>74</xdr:col>
                    <xdr:colOff>19050</xdr:colOff>
                    <xdr:row>36</xdr:row>
                    <xdr:rowOff>12700</xdr:rowOff>
                  </from>
                  <to>
                    <xdr:col>75</xdr:col>
                    <xdr:colOff>76200</xdr:colOff>
                    <xdr:row>36</xdr:row>
                    <xdr:rowOff>273050</xdr:rowOff>
                  </to>
                </anchor>
              </controlPr>
            </control>
          </mc:Choice>
        </mc:AlternateContent>
        <mc:AlternateContent xmlns:mc="http://schemas.openxmlformats.org/markup-compatibility/2006">
          <mc:Choice Requires="x14">
            <control shapeId="71714" r:id="rId44" name="TaskCheck_BQ38">
              <controlPr defaultSize="0" autoFill="0" autoLine="0" autoPict="0">
                <anchor moveWithCells="1">
                  <from>
                    <xdr:col>68</xdr:col>
                    <xdr:colOff>19050</xdr:colOff>
                    <xdr:row>37</xdr:row>
                    <xdr:rowOff>12700</xdr:rowOff>
                  </from>
                  <to>
                    <xdr:col>69</xdr:col>
                    <xdr:colOff>76200</xdr:colOff>
                    <xdr:row>37</xdr:row>
                    <xdr:rowOff>273050</xdr:rowOff>
                  </to>
                </anchor>
              </controlPr>
            </control>
          </mc:Choice>
        </mc:AlternateContent>
        <mc:AlternateContent xmlns:mc="http://schemas.openxmlformats.org/markup-compatibility/2006">
          <mc:Choice Requires="x14">
            <control shapeId="71715" r:id="rId45" name="TaskCheck_BW38">
              <controlPr defaultSize="0" autoFill="0" autoLine="0" autoPict="0">
                <anchor moveWithCells="1">
                  <from>
                    <xdr:col>74</xdr:col>
                    <xdr:colOff>19050</xdr:colOff>
                    <xdr:row>37</xdr:row>
                    <xdr:rowOff>12700</xdr:rowOff>
                  </from>
                  <to>
                    <xdr:col>75</xdr:col>
                    <xdr:colOff>76200</xdr:colOff>
                    <xdr:row>37</xdr:row>
                    <xdr:rowOff>273050</xdr:rowOff>
                  </to>
                </anchor>
              </controlPr>
            </control>
          </mc:Choice>
        </mc:AlternateContent>
        <mc:AlternateContent xmlns:mc="http://schemas.openxmlformats.org/markup-compatibility/2006">
          <mc:Choice Requires="x14">
            <control shapeId="71716" r:id="rId46" name="TaskCheck_BQ39">
              <controlPr defaultSize="0" autoFill="0" autoLine="0" autoPict="0">
                <anchor moveWithCells="1">
                  <from>
                    <xdr:col>68</xdr:col>
                    <xdr:colOff>19050</xdr:colOff>
                    <xdr:row>38</xdr:row>
                    <xdr:rowOff>12700</xdr:rowOff>
                  </from>
                  <to>
                    <xdr:col>69</xdr:col>
                    <xdr:colOff>76200</xdr:colOff>
                    <xdr:row>38</xdr:row>
                    <xdr:rowOff>273050</xdr:rowOff>
                  </to>
                </anchor>
              </controlPr>
            </control>
          </mc:Choice>
        </mc:AlternateContent>
        <mc:AlternateContent xmlns:mc="http://schemas.openxmlformats.org/markup-compatibility/2006">
          <mc:Choice Requires="x14">
            <control shapeId="71717" r:id="rId47" name="TaskCheck_BW39">
              <controlPr defaultSize="0" autoFill="0" autoLine="0" autoPict="0">
                <anchor moveWithCells="1">
                  <from>
                    <xdr:col>74</xdr:col>
                    <xdr:colOff>19050</xdr:colOff>
                    <xdr:row>38</xdr:row>
                    <xdr:rowOff>12700</xdr:rowOff>
                  </from>
                  <to>
                    <xdr:col>75</xdr:col>
                    <xdr:colOff>76200</xdr:colOff>
                    <xdr:row>38</xdr:row>
                    <xdr:rowOff>273050</xdr:rowOff>
                  </to>
                </anchor>
              </controlPr>
            </control>
          </mc:Choice>
        </mc:AlternateContent>
        <mc:AlternateContent xmlns:mc="http://schemas.openxmlformats.org/markup-compatibility/2006">
          <mc:Choice Requires="x14">
            <control shapeId="71718" r:id="rId48" name="TaskCheck_BQ40">
              <controlPr defaultSize="0" autoFill="0" autoLine="0" autoPict="0">
                <anchor moveWithCells="1">
                  <from>
                    <xdr:col>68</xdr:col>
                    <xdr:colOff>19050</xdr:colOff>
                    <xdr:row>39</xdr:row>
                    <xdr:rowOff>12700</xdr:rowOff>
                  </from>
                  <to>
                    <xdr:col>69</xdr:col>
                    <xdr:colOff>76200</xdr:colOff>
                    <xdr:row>39</xdr:row>
                    <xdr:rowOff>273050</xdr:rowOff>
                  </to>
                </anchor>
              </controlPr>
            </control>
          </mc:Choice>
        </mc:AlternateContent>
        <mc:AlternateContent xmlns:mc="http://schemas.openxmlformats.org/markup-compatibility/2006">
          <mc:Choice Requires="x14">
            <control shapeId="71719" r:id="rId49" name="TaskCheck_BW40">
              <controlPr defaultSize="0" autoFill="0" autoLine="0" autoPict="0">
                <anchor moveWithCells="1">
                  <from>
                    <xdr:col>74</xdr:col>
                    <xdr:colOff>19050</xdr:colOff>
                    <xdr:row>39</xdr:row>
                    <xdr:rowOff>12700</xdr:rowOff>
                  </from>
                  <to>
                    <xdr:col>75</xdr:col>
                    <xdr:colOff>76200</xdr:colOff>
                    <xdr:row>39</xdr:row>
                    <xdr:rowOff>273050</xdr:rowOff>
                  </to>
                </anchor>
              </controlPr>
            </control>
          </mc:Choice>
        </mc:AlternateContent>
        <mc:AlternateContent xmlns:mc="http://schemas.openxmlformats.org/markup-compatibility/2006">
          <mc:Choice Requires="x14">
            <control shapeId="71720" r:id="rId50" name="TaskCheck_BQ41">
              <controlPr defaultSize="0" autoFill="0" autoLine="0" autoPict="0">
                <anchor moveWithCells="1">
                  <from>
                    <xdr:col>68</xdr:col>
                    <xdr:colOff>19050</xdr:colOff>
                    <xdr:row>40</xdr:row>
                    <xdr:rowOff>12700</xdr:rowOff>
                  </from>
                  <to>
                    <xdr:col>69</xdr:col>
                    <xdr:colOff>76200</xdr:colOff>
                    <xdr:row>40</xdr:row>
                    <xdr:rowOff>273050</xdr:rowOff>
                  </to>
                </anchor>
              </controlPr>
            </control>
          </mc:Choice>
        </mc:AlternateContent>
        <mc:AlternateContent xmlns:mc="http://schemas.openxmlformats.org/markup-compatibility/2006">
          <mc:Choice Requires="x14">
            <control shapeId="71721" r:id="rId51" name="TaskCheck_BW41">
              <controlPr defaultSize="0" autoFill="0" autoLine="0" autoPict="0">
                <anchor moveWithCells="1">
                  <from>
                    <xdr:col>74</xdr:col>
                    <xdr:colOff>19050</xdr:colOff>
                    <xdr:row>40</xdr:row>
                    <xdr:rowOff>12700</xdr:rowOff>
                  </from>
                  <to>
                    <xdr:col>75</xdr:col>
                    <xdr:colOff>76200</xdr:colOff>
                    <xdr:row>40</xdr:row>
                    <xdr:rowOff>273050</xdr:rowOff>
                  </to>
                </anchor>
              </controlPr>
            </control>
          </mc:Choice>
        </mc:AlternateContent>
        <mc:AlternateContent xmlns:mc="http://schemas.openxmlformats.org/markup-compatibility/2006">
          <mc:Choice Requires="x14">
            <control shapeId="71722" r:id="rId52" name="TaskCheck_BQ42">
              <controlPr defaultSize="0" autoFill="0" autoLine="0" autoPict="0">
                <anchor moveWithCells="1">
                  <from>
                    <xdr:col>68</xdr:col>
                    <xdr:colOff>19050</xdr:colOff>
                    <xdr:row>41</xdr:row>
                    <xdr:rowOff>12700</xdr:rowOff>
                  </from>
                  <to>
                    <xdr:col>69</xdr:col>
                    <xdr:colOff>76200</xdr:colOff>
                    <xdr:row>41</xdr:row>
                    <xdr:rowOff>273050</xdr:rowOff>
                  </to>
                </anchor>
              </controlPr>
            </control>
          </mc:Choice>
        </mc:AlternateContent>
        <mc:AlternateContent xmlns:mc="http://schemas.openxmlformats.org/markup-compatibility/2006">
          <mc:Choice Requires="x14">
            <control shapeId="71723" r:id="rId53" name="TaskCheck_BW42">
              <controlPr defaultSize="0" autoFill="0" autoLine="0" autoPict="0">
                <anchor moveWithCells="1">
                  <from>
                    <xdr:col>74</xdr:col>
                    <xdr:colOff>19050</xdr:colOff>
                    <xdr:row>41</xdr:row>
                    <xdr:rowOff>12700</xdr:rowOff>
                  </from>
                  <to>
                    <xdr:col>75</xdr:col>
                    <xdr:colOff>76200</xdr:colOff>
                    <xdr:row>41</xdr:row>
                    <xdr:rowOff>273050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9A02C7-409A-4225-A3B8-E38906D01361}">
  <sheetPr codeName="Sheet18">
    <tabColor theme="6" tint="0.79998168889431442"/>
    <pageSetUpPr fitToPage="1"/>
  </sheetPr>
  <dimension ref="A1:CQ84"/>
  <sheetViews>
    <sheetView showGridLines="0" topLeftCell="A35" zoomScale="60" zoomScaleNormal="60" workbookViewId="0">
      <selection activeCell="D48" sqref="D48:R48"/>
    </sheetView>
  </sheetViews>
  <sheetFormatPr defaultColWidth="3.83203125" defaultRowHeight="22.5" customHeight="1"/>
  <cols>
    <col min="1" max="19" width="3.83203125" style="161"/>
    <col min="20" max="20" width="3.83203125" style="161" customWidth="1"/>
    <col min="21" max="33" width="3.83203125" style="161"/>
    <col min="34" max="34" width="3.83203125" style="161" customWidth="1"/>
    <col min="35" max="89" width="3.83203125" style="161"/>
    <col min="90" max="90" width="5.75" style="161" bestFit="1" customWidth="1"/>
    <col min="91" max="91" width="9.83203125" style="161" bestFit="1" customWidth="1"/>
    <col min="92" max="92" width="4.25" style="161" bestFit="1" customWidth="1"/>
    <col min="93" max="93" width="4.5" style="161" bestFit="1" customWidth="1"/>
    <col min="94" max="94" width="2.58203125" style="161" bestFit="1" customWidth="1"/>
    <col min="95" max="95" width="4.5" style="161" bestFit="1" customWidth="1"/>
    <col min="96" max="97" width="4" style="161" customWidth="1"/>
    <col min="98" max="16384" width="3.83203125" style="161"/>
  </cols>
  <sheetData>
    <row r="1" spans="1:95" s="160" customFormat="1" ht="22.5" customHeight="1" thickTop="1" thickBot="1">
      <c r="A1" s="306" t="s">
        <v>66</v>
      </c>
      <c r="B1" s="306"/>
      <c r="C1" s="306"/>
      <c r="D1" s="158" t="s">
        <v>379</v>
      </c>
      <c r="E1" s="158"/>
      <c r="F1" s="158"/>
      <c r="G1" s="307">
        <v>10</v>
      </c>
      <c r="H1" s="307"/>
      <c r="I1" s="158" t="s">
        <v>692</v>
      </c>
      <c r="J1" s="158"/>
      <c r="K1" s="158"/>
      <c r="L1" s="158"/>
      <c r="M1" s="158"/>
      <c r="N1" s="158"/>
      <c r="O1" s="158"/>
      <c r="P1" s="158"/>
      <c r="Q1" s="158"/>
      <c r="R1" s="159"/>
      <c r="S1" s="159"/>
      <c r="T1" s="159"/>
      <c r="U1" s="159"/>
      <c r="V1" s="221" t="s">
        <v>104</v>
      </c>
      <c r="W1" s="158"/>
      <c r="X1" s="158"/>
      <c r="Y1" s="158"/>
      <c r="Z1" s="158"/>
      <c r="AA1" s="308"/>
      <c r="AB1" s="308"/>
      <c r="AC1" s="199" t="s">
        <v>105</v>
      </c>
      <c r="AD1" s="158"/>
      <c r="AE1" s="200" t="s">
        <v>586</v>
      </c>
      <c r="AF1" s="158"/>
      <c r="AG1" s="158"/>
      <c r="AH1" s="159"/>
      <c r="AI1" s="199" t="s">
        <v>106</v>
      </c>
      <c r="AJ1" s="159"/>
      <c r="AK1" s="200" t="s">
        <v>592</v>
      </c>
      <c r="AL1" s="159"/>
      <c r="AM1" s="159"/>
      <c r="AN1" s="159"/>
      <c r="AO1" s="199" t="s">
        <v>106</v>
      </c>
      <c r="AP1" s="159"/>
      <c r="AQ1" s="200"/>
      <c r="AR1" s="159"/>
      <c r="AS1" s="159"/>
      <c r="AT1" s="159"/>
      <c r="AU1" s="199" t="s">
        <v>237</v>
      </c>
      <c r="AV1" s="159"/>
      <c r="AW1" s="200"/>
      <c r="AX1" s="159"/>
      <c r="AY1" s="159"/>
      <c r="AZ1" s="159"/>
      <c r="BA1" s="309" t="s">
        <v>261</v>
      </c>
      <c r="BB1" s="310"/>
      <c r="BC1" s="311">
        <v>46199</v>
      </c>
      <c r="BD1" s="312"/>
      <c r="BE1" s="313"/>
      <c r="BF1" s="314" t="str">
        <f ca="1">IF(BC1="","",(TODAY()-BC1)&amp;"日未更新")</f>
        <v>3日未更新</v>
      </c>
      <c r="BG1" s="315"/>
      <c r="BH1" s="315"/>
      <c r="BI1" s="315"/>
      <c r="BJ1" s="316"/>
      <c r="BK1" s="159"/>
      <c r="BL1" s="159"/>
      <c r="BM1" s="159"/>
      <c r="BN1" s="159"/>
      <c r="BO1" s="158"/>
      <c r="BP1" s="159"/>
      <c r="BQ1" s="159"/>
      <c r="BR1" s="159"/>
      <c r="BS1" s="159"/>
      <c r="BT1" s="159"/>
      <c r="BU1" s="159"/>
      <c r="BV1" s="159"/>
      <c r="BW1" s="159"/>
      <c r="BX1" s="159"/>
      <c r="BY1" s="159"/>
      <c r="BZ1" s="158"/>
      <c r="CA1" s="323" t="s">
        <v>238</v>
      </c>
      <c r="CB1" s="323"/>
      <c r="CC1" s="323"/>
      <c r="CD1" s="323"/>
      <c r="CE1" s="323"/>
      <c r="CF1" s="323"/>
      <c r="CG1" s="323"/>
      <c r="CH1" s="323"/>
    </row>
    <row r="2" spans="1:95" ht="22.5" customHeight="1" thickTop="1">
      <c r="B2" s="175" t="s">
        <v>229</v>
      </c>
      <c r="C2" s="176"/>
      <c r="D2" s="176"/>
      <c r="E2" s="176"/>
      <c r="F2" s="176"/>
      <c r="G2" s="176"/>
      <c r="H2" s="176"/>
      <c r="I2" s="176"/>
      <c r="J2" s="176"/>
      <c r="K2" s="176"/>
      <c r="L2" s="176"/>
      <c r="M2" s="176"/>
      <c r="N2" s="176"/>
      <c r="O2" s="176"/>
      <c r="P2" s="176"/>
      <c r="Q2" s="176"/>
      <c r="R2" s="176"/>
      <c r="S2" s="176"/>
      <c r="T2" s="176"/>
      <c r="U2" s="176"/>
      <c r="V2" s="176"/>
      <c r="W2" s="176"/>
      <c r="X2" s="176"/>
      <c r="Y2" s="176"/>
      <c r="Z2" s="176"/>
      <c r="AA2" s="176"/>
      <c r="AC2" s="177" t="s">
        <v>110</v>
      </c>
      <c r="AD2" s="178"/>
      <c r="AE2" s="178"/>
      <c r="AF2" s="178"/>
      <c r="AG2" s="178"/>
      <c r="AH2" s="178"/>
      <c r="AI2" s="178"/>
      <c r="AJ2" s="178"/>
      <c r="AK2" s="178"/>
      <c r="AL2" s="178"/>
      <c r="AM2" s="178"/>
      <c r="AN2" s="178"/>
      <c r="AO2" s="178"/>
      <c r="AP2" s="178"/>
      <c r="AQ2" s="178"/>
      <c r="AR2" s="178"/>
      <c r="AS2" s="178"/>
      <c r="AT2" s="178"/>
      <c r="AU2" s="178"/>
      <c r="AV2" s="178"/>
      <c r="AW2" s="178"/>
      <c r="AX2" s="178"/>
      <c r="AY2" s="178"/>
      <c r="AZ2" s="178"/>
      <c r="BA2" s="178"/>
      <c r="BB2" s="178"/>
      <c r="BE2" s="324" t="s">
        <v>127</v>
      </c>
      <c r="BF2" s="325"/>
      <c r="BG2" s="325"/>
      <c r="BH2" s="325"/>
      <c r="BI2" s="325"/>
      <c r="BJ2" s="325"/>
      <c r="BK2" s="326"/>
      <c r="BL2" s="189" t="s">
        <v>52</v>
      </c>
      <c r="BM2" s="190" t="s">
        <v>53</v>
      </c>
      <c r="BN2" s="197" t="s">
        <v>54</v>
      </c>
      <c r="BO2" s="198" t="s">
        <v>55</v>
      </c>
      <c r="BP2" s="190" t="s">
        <v>56</v>
      </c>
      <c r="BQ2" s="191" t="s">
        <v>57</v>
      </c>
      <c r="BR2" s="327" t="s">
        <v>112</v>
      </c>
      <c r="BS2" s="328"/>
      <c r="BT2" s="328" t="s">
        <v>115</v>
      </c>
      <c r="BU2" s="329"/>
      <c r="BW2" s="181" t="s">
        <v>948</v>
      </c>
      <c r="BX2" s="179"/>
      <c r="BY2" s="179"/>
      <c r="BZ2" s="179"/>
      <c r="CA2" s="179"/>
      <c r="CB2" s="179"/>
      <c r="CC2" s="179"/>
      <c r="CD2" s="179"/>
      <c r="CE2" s="179"/>
      <c r="CF2" s="179"/>
      <c r="CG2" s="179"/>
      <c r="CH2" s="179"/>
      <c r="CL2" s="264" t="s">
        <v>922</v>
      </c>
      <c r="CM2" s="265">
        <v>46113</v>
      </c>
      <c r="CN2" s="264">
        <v>6</v>
      </c>
      <c r="CO2" s="264">
        <v>0</v>
      </c>
      <c r="CP2" s="264">
        <v>0</v>
      </c>
      <c r="CQ2" s="264">
        <v>0</v>
      </c>
    </row>
    <row r="3" spans="1:95" ht="22.5" customHeight="1">
      <c r="B3" s="300" t="s">
        <v>263</v>
      </c>
      <c r="C3" s="301"/>
      <c r="D3" s="301"/>
      <c r="E3" s="301"/>
      <c r="F3" s="302"/>
      <c r="G3" s="303" t="s">
        <v>254</v>
      </c>
      <c r="H3" s="304"/>
      <c r="I3" s="305"/>
      <c r="J3" s="303" t="s">
        <v>27</v>
      </c>
      <c r="K3" s="304"/>
      <c r="L3" s="305"/>
      <c r="M3" s="303" t="s">
        <v>226</v>
      </c>
      <c r="N3" s="304"/>
      <c r="O3" s="305"/>
      <c r="P3" s="303" t="s">
        <v>15</v>
      </c>
      <c r="Q3" s="304"/>
      <c r="R3" s="305"/>
      <c r="S3" s="303" t="s">
        <v>22</v>
      </c>
      <c r="T3" s="304"/>
      <c r="U3" s="305"/>
      <c r="V3" s="303" t="s">
        <v>1</v>
      </c>
      <c r="W3" s="304"/>
      <c r="X3" s="305"/>
      <c r="Y3" s="303" t="s">
        <v>18</v>
      </c>
      <c r="Z3" s="304"/>
      <c r="AA3" s="305"/>
      <c r="AC3" s="179" t="s">
        <v>61</v>
      </c>
      <c r="AD3" s="179"/>
      <c r="AE3" s="179"/>
      <c r="AF3" s="179"/>
      <c r="AG3" s="179"/>
      <c r="AH3" s="179"/>
      <c r="AI3" s="179"/>
      <c r="AJ3" s="179"/>
      <c r="AK3" s="179"/>
      <c r="AL3" s="179"/>
      <c r="AM3" s="179"/>
      <c r="AN3" s="179"/>
      <c r="AO3" s="178"/>
      <c r="AP3" s="178"/>
      <c r="AQ3" s="179" t="s">
        <v>62</v>
      </c>
      <c r="AR3" s="179"/>
      <c r="AS3" s="179"/>
      <c r="AT3" s="179"/>
      <c r="AU3" s="179"/>
      <c r="AV3" s="179"/>
      <c r="AW3" s="179"/>
      <c r="AX3" s="179"/>
      <c r="AY3" s="179"/>
      <c r="AZ3" s="179"/>
      <c r="BA3" s="179"/>
      <c r="BB3" s="179"/>
      <c r="BE3" s="187">
        <v>1</v>
      </c>
      <c r="BF3" s="317" t="s">
        <v>594</v>
      </c>
      <c r="BG3" s="317"/>
      <c r="BH3" s="317" t="s">
        <v>637</v>
      </c>
      <c r="BI3" s="317"/>
      <c r="BJ3" s="317"/>
      <c r="BK3" s="318"/>
      <c r="BL3" s="215"/>
      <c r="BM3" s="209"/>
      <c r="BN3" s="209"/>
      <c r="BO3" s="209"/>
      <c r="BP3" s="209"/>
      <c r="BQ3" s="210"/>
      <c r="BR3" s="319"/>
      <c r="BS3" s="317"/>
      <c r="BT3" s="317"/>
      <c r="BU3" s="320"/>
      <c r="BW3" s="285" t="b">
        <v>0</v>
      </c>
      <c r="BX3" s="178" t="s">
        <v>97</v>
      </c>
      <c r="BY3" s="178"/>
      <c r="BZ3" s="178"/>
      <c r="CA3" s="178"/>
      <c r="CB3" s="178"/>
      <c r="CC3" s="178"/>
      <c r="CD3" s="178"/>
      <c r="CE3" s="178"/>
      <c r="CF3" s="178"/>
      <c r="CG3" s="178"/>
      <c r="CH3" s="178"/>
      <c r="CL3" s="264" t="s">
        <v>922</v>
      </c>
      <c r="CM3" s="265">
        <v>46113</v>
      </c>
      <c r="CN3" s="264">
        <v>5</v>
      </c>
      <c r="CO3" s="264">
        <v>0</v>
      </c>
      <c r="CP3" s="264">
        <v>0</v>
      </c>
      <c r="CQ3" s="264">
        <v>0</v>
      </c>
    </row>
    <row r="4" spans="1:95" ht="22.5" customHeight="1">
      <c r="B4" s="335" t="s">
        <v>32</v>
      </c>
      <c r="C4" s="336"/>
      <c r="D4" s="336"/>
      <c r="E4" s="336"/>
      <c r="F4" s="337"/>
      <c r="G4" s="321">
        <f ca="1">IFERROR(INDEX(INDIRECT("'"&amp;G$3&amp;"'!J:J"),MATCH($D$1,INDIRECT("'"&amp;G$3&amp;"'!A:A"),0)),"")</f>
        <v>10</v>
      </c>
      <c r="H4" s="321"/>
      <c r="I4" s="321"/>
      <c r="J4" s="321">
        <v>10</v>
      </c>
      <c r="K4" s="321"/>
      <c r="L4" s="321"/>
      <c r="M4" s="321">
        <v>10</v>
      </c>
      <c r="N4" s="321"/>
      <c r="O4" s="321"/>
      <c r="P4" s="321" t="str">
        <f ca="1">IFERROR(INDEX(INDIRECT("'"&amp;P$3&amp;"'!J:J"),MATCH($D$1,INDIRECT("'"&amp;P$3&amp;"'!A:A"),0)),"")</f>
        <v/>
      </c>
      <c r="Q4" s="321"/>
      <c r="R4" s="321"/>
      <c r="S4" s="321" t="str">
        <f ca="1">IFERROR(INDEX(INDIRECT("'"&amp;S$3&amp;"'!J:J"),MATCH($D$1,INDIRECT("'"&amp;S$3&amp;"'!A:A"),0)),"")</f>
        <v/>
      </c>
      <c r="T4" s="321"/>
      <c r="U4" s="321"/>
      <c r="V4" s="321" t="str">
        <f t="shared" ref="V4" ca="1" si="0">IFERROR(INDEX(INDIRECT("'"&amp;V$3&amp;"'!J:J"),MATCH($D$1,INDIRECT("'"&amp;V$3&amp;"'!A:A"),0)),"")</f>
        <v/>
      </c>
      <c r="W4" s="321"/>
      <c r="X4" s="321"/>
      <c r="Y4" s="321" t="str">
        <f t="shared" ref="Y4" ca="1" si="1">IFERROR(INDEX(INDIRECT("'"&amp;Y$3&amp;"'!J:J"),MATCH($D$1,INDIRECT("'"&amp;Y$3&amp;"'!A:A"),0)),"")</f>
        <v/>
      </c>
      <c r="Z4" s="321"/>
      <c r="AA4" s="321"/>
      <c r="AC4" s="322" t="s">
        <v>254</v>
      </c>
      <c r="AD4" s="322"/>
      <c r="AE4" s="322" t="s">
        <v>27</v>
      </c>
      <c r="AF4" s="322"/>
      <c r="AG4" s="322" t="s">
        <v>226</v>
      </c>
      <c r="AH4" s="322"/>
      <c r="AI4" s="322" t="s">
        <v>15</v>
      </c>
      <c r="AJ4" s="322"/>
      <c r="AK4" s="322" t="s">
        <v>23</v>
      </c>
      <c r="AL4" s="322"/>
      <c r="AM4" s="322" t="s">
        <v>256</v>
      </c>
      <c r="AN4" s="322"/>
      <c r="AQ4" s="322" t="s">
        <v>254</v>
      </c>
      <c r="AR4" s="322"/>
      <c r="AS4" s="322" t="s">
        <v>27</v>
      </c>
      <c r="AT4" s="322"/>
      <c r="AU4" s="322" t="s">
        <v>226</v>
      </c>
      <c r="AV4" s="322"/>
      <c r="AW4" s="322" t="s">
        <v>15</v>
      </c>
      <c r="AX4" s="322"/>
      <c r="AY4" s="322" t="s">
        <v>23</v>
      </c>
      <c r="AZ4" s="322"/>
      <c r="BA4" s="322" t="s">
        <v>256</v>
      </c>
      <c r="BB4" s="322"/>
      <c r="BE4" s="187">
        <v>2</v>
      </c>
      <c r="BF4" s="317" t="s">
        <v>594</v>
      </c>
      <c r="BG4" s="317"/>
      <c r="BH4" s="317" t="s">
        <v>638</v>
      </c>
      <c r="BI4" s="317"/>
      <c r="BJ4" s="317"/>
      <c r="BK4" s="318"/>
      <c r="BL4" s="215"/>
      <c r="BM4" s="209"/>
      <c r="BN4" s="209"/>
      <c r="BO4" s="209"/>
      <c r="BP4" s="209"/>
      <c r="BQ4" s="210"/>
      <c r="BR4" s="319"/>
      <c r="BS4" s="317"/>
      <c r="BT4" s="317"/>
      <c r="BU4" s="320"/>
      <c r="BW4" s="285" t="b">
        <v>0</v>
      </c>
      <c r="BX4" s="192" t="s">
        <v>69</v>
      </c>
      <c r="BY4" s="178"/>
      <c r="BZ4" s="178"/>
      <c r="CA4" s="178"/>
      <c r="CB4" s="178"/>
      <c r="CC4" s="178"/>
      <c r="CD4" s="178"/>
      <c r="CE4" s="178"/>
      <c r="CF4" s="178"/>
      <c r="CG4" s="178"/>
      <c r="CH4" s="178"/>
      <c r="CL4" s="264" t="s">
        <v>922</v>
      </c>
      <c r="CM4" s="265">
        <v>46113</v>
      </c>
      <c r="CN4" s="264">
        <v>4</v>
      </c>
      <c r="CO4" s="264">
        <v>60</v>
      </c>
      <c r="CP4" s="264">
        <v>0</v>
      </c>
      <c r="CQ4" s="264">
        <v>60</v>
      </c>
    </row>
    <row r="5" spans="1:95" ht="22.5" customHeight="1">
      <c r="B5" s="331" t="s">
        <v>225</v>
      </c>
      <c r="C5" s="332"/>
      <c r="D5" s="332"/>
      <c r="E5" s="332"/>
      <c r="F5" s="333"/>
      <c r="G5" s="334">
        <f ca="1">IFERROR(INDEX(INDIRECT("'"&amp;G$3&amp;"'!Ｉ:Ｉ"),MATCH($D$1,INDIRECT("'"&amp;G$3&amp;"'!A:A"),0)),"")</f>
        <v>310</v>
      </c>
      <c r="H5" s="334"/>
      <c r="I5" s="334"/>
      <c r="J5" s="334">
        <v>300</v>
      </c>
      <c r="K5" s="334"/>
      <c r="L5" s="334"/>
      <c r="M5" s="334">
        <v>310</v>
      </c>
      <c r="N5" s="334"/>
      <c r="O5" s="334"/>
      <c r="P5" s="334" t="str">
        <f ca="1">IFERROR(INDEX(INDIRECT("'"&amp;P$3&amp;"'!Ｉ:Ｉ"),MATCH($D$1,INDIRECT("'"&amp;P$3&amp;"'!A:A"),0)),"")</f>
        <v/>
      </c>
      <c r="Q5" s="334"/>
      <c r="R5" s="334"/>
      <c r="S5" s="334" t="str">
        <f ca="1">IFERROR(INDEX(INDIRECT("'"&amp;S$3&amp;"'!Ｉ:Ｉ"),MATCH($D$1,INDIRECT("'"&amp;S$3&amp;"'!A:A"),0)),"")</f>
        <v/>
      </c>
      <c r="T5" s="334"/>
      <c r="U5" s="334"/>
      <c r="V5" s="334" t="str">
        <f t="shared" ref="V5" ca="1" si="2">IFERROR(INDEX(INDIRECT("'"&amp;V$3&amp;"'!Ｉ:Ｉ"),MATCH($D$1,INDIRECT("'"&amp;V$3&amp;"'!A:A"),0)),"")</f>
        <v/>
      </c>
      <c r="W5" s="334"/>
      <c r="X5" s="334"/>
      <c r="Y5" s="334" t="str">
        <f t="shared" ref="Y5" ca="1" si="3">IFERROR(INDEX(INDIRECT("'"&amp;Y$3&amp;"'!Ｉ:Ｉ"),MATCH($D$1,INDIRECT("'"&amp;Y$3&amp;"'!A:A"),0)),"")</f>
        <v/>
      </c>
      <c r="Z5" s="334"/>
      <c r="AA5" s="334"/>
      <c r="AC5" s="330">
        <v>0</v>
      </c>
      <c r="AD5" s="330"/>
      <c r="AE5" s="330"/>
      <c r="AF5" s="330"/>
      <c r="AG5" s="330"/>
      <c r="AH5" s="330"/>
      <c r="AI5" s="330"/>
      <c r="AJ5" s="330"/>
      <c r="AK5" s="330"/>
      <c r="AL5" s="330"/>
      <c r="AM5" s="330"/>
      <c r="AN5" s="330"/>
      <c r="AQ5" s="330">
        <v>0</v>
      </c>
      <c r="AR5" s="330"/>
      <c r="AS5" s="330"/>
      <c r="AT5" s="330"/>
      <c r="AU5" s="330"/>
      <c r="AV5" s="330"/>
      <c r="AW5" s="330"/>
      <c r="AX5" s="330"/>
      <c r="AY5" s="330"/>
      <c r="AZ5" s="330"/>
      <c r="BA5" s="330"/>
      <c r="BB5" s="330"/>
      <c r="BE5" s="187">
        <v>3</v>
      </c>
      <c r="BF5" s="317" t="s">
        <v>597</v>
      </c>
      <c r="BG5" s="317"/>
      <c r="BH5" s="317" t="s">
        <v>639</v>
      </c>
      <c r="BI5" s="317"/>
      <c r="BJ5" s="317"/>
      <c r="BK5" s="318"/>
      <c r="BL5" s="215"/>
      <c r="BM5" s="209"/>
      <c r="BN5" s="209"/>
      <c r="BO5" s="209"/>
      <c r="BP5" s="209"/>
      <c r="BQ5" s="210"/>
      <c r="BR5" s="319"/>
      <c r="BS5" s="317"/>
      <c r="BT5" s="317"/>
      <c r="BU5" s="320"/>
      <c r="BW5" s="285" t="b">
        <v>0</v>
      </c>
      <c r="BX5" s="192" t="s">
        <v>70</v>
      </c>
      <c r="BY5" s="178"/>
      <c r="BZ5" s="178"/>
      <c r="CA5" s="178"/>
      <c r="CB5" s="178"/>
      <c r="CC5" s="193"/>
      <c r="CD5" s="193"/>
      <c r="CE5" s="193"/>
      <c r="CF5" s="178"/>
      <c r="CG5" s="178"/>
      <c r="CH5" s="178"/>
      <c r="CL5" s="264" t="s">
        <v>922</v>
      </c>
      <c r="CM5" s="265">
        <v>46113</v>
      </c>
      <c r="CN5" s="264">
        <v>3</v>
      </c>
      <c r="CO5" s="264">
        <v>210</v>
      </c>
      <c r="CP5" s="264">
        <v>0</v>
      </c>
      <c r="CQ5" s="264">
        <v>210</v>
      </c>
    </row>
    <row r="6" spans="1:95" ht="22.5" customHeight="1">
      <c r="B6" s="338" t="s">
        <v>33</v>
      </c>
      <c r="C6" s="339"/>
      <c r="D6" s="339"/>
      <c r="E6" s="339"/>
      <c r="F6" s="340"/>
      <c r="G6" s="341">
        <f ca="1">IFERROR(G5/(G1*DAY(EOMONTH(DATE(2024,LEFT(G3,LEN(G3)-1),1),0))),"")</f>
        <v>1</v>
      </c>
      <c r="H6" s="341"/>
      <c r="I6" s="341"/>
      <c r="J6" s="341">
        <v>1</v>
      </c>
      <c r="K6" s="341"/>
      <c r="L6" s="341"/>
      <c r="M6" s="341">
        <v>1</v>
      </c>
      <c r="N6" s="341"/>
      <c r="O6" s="341"/>
      <c r="P6" s="341" t="str">
        <f ca="1">IFERROR(P5/(P1*DAY(EOMONTH(DATE(2024,LEFT(P3,LEN(P3)-1),1),0))),"")</f>
        <v/>
      </c>
      <c r="Q6" s="341"/>
      <c r="R6" s="341"/>
      <c r="S6" s="341" t="str">
        <f ca="1">IFERROR(S5/(S1*DAY(EOMONTH(DATE(2024,LEFT(S3,LEN(S3)-1),1),0))),"")</f>
        <v/>
      </c>
      <c r="T6" s="341"/>
      <c r="U6" s="341"/>
      <c r="V6" s="341" t="str">
        <f t="shared" ref="V6" ca="1" si="4">IFERROR(V5/(V1*DAY(EOMONTH(DATE(2024,LEFT(V3,LEN(V3)-1),1),0))),"")</f>
        <v/>
      </c>
      <c r="W6" s="341"/>
      <c r="X6" s="341"/>
      <c r="Y6" s="341" t="str">
        <f t="shared" ref="Y6" ca="1" si="5">IFERROR(Y5/(Y1*DAY(EOMONTH(DATE(2024,LEFT(Y3,LEN(Y3)-1),1),0))),"")</f>
        <v/>
      </c>
      <c r="Z6" s="341"/>
      <c r="AA6" s="341"/>
      <c r="AC6" s="179" t="s">
        <v>60</v>
      </c>
      <c r="AD6" s="179"/>
      <c r="AE6" s="179"/>
      <c r="AF6" s="179"/>
      <c r="AG6" s="179"/>
      <c r="AH6" s="179"/>
      <c r="AI6" s="179"/>
      <c r="AJ6" s="179"/>
      <c r="AK6" s="179"/>
      <c r="AL6" s="179"/>
      <c r="AM6" s="179"/>
      <c r="AN6" s="179"/>
      <c r="AO6" s="178"/>
      <c r="AP6" s="178"/>
      <c r="AQ6" s="179" t="s">
        <v>109</v>
      </c>
      <c r="AR6" s="179"/>
      <c r="AS6" s="179"/>
      <c r="AT6" s="179"/>
      <c r="AU6" s="179"/>
      <c r="AV6" s="179"/>
      <c r="AW6" s="179"/>
      <c r="AX6" s="179"/>
      <c r="AY6" s="179"/>
      <c r="AZ6" s="179"/>
      <c r="BA6" s="179"/>
      <c r="BB6" s="179"/>
      <c r="BE6" s="187">
        <v>4</v>
      </c>
      <c r="BF6" s="317" t="s">
        <v>596</v>
      </c>
      <c r="BG6" s="317"/>
      <c r="BH6" s="317" t="s">
        <v>640</v>
      </c>
      <c r="BI6" s="317"/>
      <c r="BJ6" s="317"/>
      <c r="BK6" s="318"/>
      <c r="BL6" s="215"/>
      <c r="BM6" s="209"/>
      <c r="BN6" s="209"/>
      <c r="BO6" s="209"/>
      <c r="BP6" s="209"/>
      <c r="BQ6" s="210"/>
      <c r="BR6" s="319"/>
      <c r="BS6" s="317"/>
      <c r="BT6" s="317"/>
      <c r="BU6" s="320"/>
      <c r="BW6" s="285" t="b">
        <v>0</v>
      </c>
      <c r="BX6" s="192" t="s">
        <v>71</v>
      </c>
      <c r="BY6" s="178"/>
      <c r="BZ6" s="178"/>
      <c r="CA6" s="178"/>
      <c r="CB6" s="178"/>
      <c r="CC6" s="193"/>
      <c r="CD6" s="193"/>
      <c r="CE6" s="193"/>
      <c r="CF6" s="178"/>
      <c r="CG6" s="178"/>
      <c r="CH6" s="178"/>
      <c r="CL6" s="264" t="s">
        <v>922</v>
      </c>
      <c r="CM6" s="265">
        <v>46113</v>
      </c>
      <c r="CN6" s="264">
        <v>2</v>
      </c>
      <c r="CO6" s="264">
        <v>30</v>
      </c>
      <c r="CP6" s="264">
        <v>0</v>
      </c>
      <c r="CQ6" s="264">
        <v>30</v>
      </c>
    </row>
    <row r="7" spans="1:95" ht="22.5" customHeight="1">
      <c r="B7" s="896" t="s">
        <v>224</v>
      </c>
      <c r="C7" s="897"/>
      <c r="D7" s="897"/>
      <c r="E7" s="897"/>
      <c r="F7" s="898"/>
      <c r="G7" s="899"/>
      <c r="H7" s="899"/>
      <c r="I7" s="899"/>
      <c r="J7" s="899" t="str">
        <f ca="1">IFERROR(INDEX(INDIRECT("'"&amp;J$3&amp;"'!L:L"),MATCH($D$1,INDIRECT("'"&amp;J$3&amp;"'!A:A"),0)),"")</f>
        <v/>
      </c>
      <c r="K7" s="899"/>
      <c r="L7" s="899"/>
      <c r="M7" s="899" t="str">
        <f ca="1">IFERROR(INDEX(INDIRECT("'"&amp;M$3&amp;"'!L:L"),MATCH($D$1,INDIRECT("'"&amp;M$3&amp;"'!A:A"),0)),"")</f>
        <v/>
      </c>
      <c r="N7" s="899"/>
      <c r="O7" s="899"/>
      <c r="P7" s="321" t="str">
        <f ca="1">IFERROR(INDEX(INDIRECT("'"&amp;P$3&amp;"'!L:L"),MATCH($D$1,INDIRECT("'"&amp;P$3&amp;"'!A:A"),0)),"")</f>
        <v/>
      </c>
      <c r="Q7" s="321"/>
      <c r="R7" s="321"/>
      <c r="S7" s="321" t="str">
        <f ca="1">IFERROR(INDEX(INDIRECT("'"&amp;S$3&amp;"'!L:L"),MATCH($D$1,INDIRECT("'"&amp;S$3&amp;"'!A:A"),0)),"")</f>
        <v/>
      </c>
      <c r="T7" s="321"/>
      <c r="U7" s="321"/>
      <c r="V7" s="321" t="str">
        <f t="shared" ref="V7" ca="1" si="6">IFERROR(INDEX(INDIRECT("'"&amp;V$3&amp;"'!L:L"),MATCH($D$1,INDIRECT("'"&amp;V$3&amp;"'!A:A"),0)),"")</f>
        <v/>
      </c>
      <c r="W7" s="321"/>
      <c r="X7" s="321"/>
      <c r="Y7" s="321" t="str">
        <f t="shared" ref="Y7" ca="1" si="7">IFERROR(INDEX(INDIRECT("'"&amp;Y$3&amp;"'!L:L"),MATCH($D$1,INDIRECT("'"&amp;Y$3&amp;"'!A:A"),0)),"")</f>
        <v/>
      </c>
      <c r="Z7" s="321"/>
      <c r="AA7" s="321"/>
      <c r="AC7" s="322" t="s">
        <v>254</v>
      </c>
      <c r="AD7" s="322"/>
      <c r="AE7" s="322" t="s">
        <v>27</v>
      </c>
      <c r="AF7" s="322"/>
      <c r="AG7" s="322" t="s">
        <v>226</v>
      </c>
      <c r="AH7" s="322"/>
      <c r="AI7" s="322" t="s">
        <v>15</v>
      </c>
      <c r="AJ7" s="322"/>
      <c r="AK7" s="322" t="s">
        <v>23</v>
      </c>
      <c r="AL7" s="322"/>
      <c r="AM7" s="322" t="s">
        <v>256</v>
      </c>
      <c r="AN7" s="322"/>
      <c r="AQ7" s="322" t="s">
        <v>254</v>
      </c>
      <c r="AR7" s="322"/>
      <c r="AS7" s="322" t="s">
        <v>27</v>
      </c>
      <c r="AT7" s="322"/>
      <c r="AU7" s="322" t="s">
        <v>226</v>
      </c>
      <c r="AV7" s="322"/>
      <c r="AW7" s="322" t="s">
        <v>15</v>
      </c>
      <c r="AX7" s="322"/>
      <c r="AY7" s="322" t="s">
        <v>23</v>
      </c>
      <c r="AZ7" s="322"/>
      <c r="BA7" s="322" t="s">
        <v>256</v>
      </c>
      <c r="BB7" s="322"/>
      <c r="BE7" s="187">
        <v>5</v>
      </c>
      <c r="BF7" s="317" t="s">
        <v>596</v>
      </c>
      <c r="BG7" s="317"/>
      <c r="BH7" s="317" t="s">
        <v>641</v>
      </c>
      <c r="BI7" s="317"/>
      <c r="BJ7" s="317"/>
      <c r="BK7" s="318"/>
      <c r="BL7" s="215"/>
      <c r="BM7" s="209"/>
      <c r="BN7" s="209"/>
      <c r="BO7" s="209"/>
      <c r="BP7" s="209"/>
      <c r="BQ7" s="210"/>
      <c r="BR7" s="319" t="s">
        <v>595</v>
      </c>
      <c r="BS7" s="317"/>
      <c r="BT7" s="317"/>
      <c r="BU7" s="320"/>
      <c r="BW7" s="285" t="b">
        <v>0</v>
      </c>
      <c r="BX7" s="192" t="s">
        <v>74</v>
      </c>
      <c r="BY7" s="178"/>
      <c r="BZ7" s="178"/>
      <c r="CA7" s="178"/>
      <c r="CB7" s="178"/>
      <c r="CC7" s="193"/>
      <c r="CD7" s="193"/>
      <c r="CE7" s="193"/>
      <c r="CF7" s="178"/>
      <c r="CG7" s="178"/>
      <c r="CH7" s="178"/>
      <c r="CL7" s="264" t="s">
        <v>922</v>
      </c>
      <c r="CM7" s="265">
        <v>46113</v>
      </c>
      <c r="CN7" s="264">
        <v>1</v>
      </c>
      <c r="CO7" s="264">
        <v>0</v>
      </c>
      <c r="CP7" s="264">
        <v>0</v>
      </c>
      <c r="CQ7" s="264">
        <v>0</v>
      </c>
    </row>
    <row r="8" spans="1:95" ht="22.5" customHeight="1">
      <c r="B8" s="900" t="s">
        <v>34</v>
      </c>
      <c r="C8" s="901"/>
      <c r="D8" s="901"/>
      <c r="E8" s="901"/>
      <c r="F8" s="902"/>
      <c r="G8" s="903"/>
      <c r="H8" s="903"/>
      <c r="I8" s="903"/>
      <c r="J8" s="903" t="str">
        <f ca="1">IFERROR(J7/(J1*DAY(EOMONTH(DATE(2024,LEFT(J3,LEN(J3)-1),1),0))),"")</f>
        <v/>
      </c>
      <c r="K8" s="903"/>
      <c r="L8" s="903"/>
      <c r="M8" s="903" t="str">
        <f ca="1">IFERROR(M7/(M1*DAY(EOMONTH(DATE(2024,LEFT(M3,LEN(M3)-1),1),0))),"")</f>
        <v/>
      </c>
      <c r="N8" s="903"/>
      <c r="O8" s="903"/>
      <c r="P8" s="341" t="str">
        <f ca="1">IFERROR(P7/(P1*DAY(EOMONTH(DATE(2024,LEFT(P3,LEN(P3)-1),1),0))),"")</f>
        <v/>
      </c>
      <c r="Q8" s="341"/>
      <c r="R8" s="341"/>
      <c r="S8" s="341" t="str">
        <f ca="1">IFERROR(S7/(S1*DAY(EOMONTH(DATE(2024,LEFT(S3,LEN(S3)-1),1),0))),"")</f>
        <v/>
      </c>
      <c r="T8" s="341"/>
      <c r="U8" s="341"/>
      <c r="V8" s="341" t="str">
        <f t="shared" ref="V8" ca="1" si="8">IFERROR(V7/(V1*DAY(EOMONTH(DATE(2024,LEFT(V3,LEN(V3)-1),1),0))),"")</f>
        <v/>
      </c>
      <c r="W8" s="341"/>
      <c r="X8" s="341"/>
      <c r="Y8" s="341" t="str">
        <f t="shared" ref="Y8" ca="1" si="9">IFERROR(Y7/(Y1*DAY(EOMONTH(DATE(2024,LEFT(Y3,LEN(Y3)-1),1),0))),"")</f>
        <v/>
      </c>
      <c r="Z8" s="341"/>
      <c r="AA8" s="341"/>
      <c r="AC8" s="330">
        <v>0</v>
      </c>
      <c r="AD8" s="330"/>
      <c r="AE8" s="330"/>
      <c r="AF8" s="330"/>
      <c r="AG8" s="330"/>
      <c r="AH8" s="330"/>
      <c r="AI8" s="330"/>
      <c r="AJ8" s="330"/>
      <c r="AK8" s="330"/>
      <c r="AL8" s="330"/>
      <c r="AM8" s="330"/>
      <c r="AN8" s="330"/>
      <c r="AQ8" s="330">
        <v>0</v>
      </c>
      <c r="AR8" s="330"/>
      <c r="AS8" s="330"/>
      <c r="AT8" s="330"/>
      <c r="AU8" s="330"/>
      <c r="AV8" s="330"/>
      <c r="AW8" s="330"/>
      <c r="AX8" s="330"/>
      <c r="AY8" s="330"/>
      <c r="AZ8" s="330"/>
      <c r="BA8" s="330"/>
      <c r="BB8" s="330"/>
      <c r="BE8" s="187">
        <v>6</v>
      </c>
      <c r="BF8" s="317" t="s">
        <v>597</v>
      </c>
      <c r="BG8" s="317"/>
      <c r="BH8" s="317" t="s">
        <v>642</v>
      </c>
      <c r="BI8" s="317"/>
      <c r="BJ8" s="317"/>
      <c r="BK8" s="318"/>
      <c r="BL8" s="215"/>
      <c r="BM8" s="209"/>
      <c r="BN8" s="209"/>
      <c r="BO8" s="209"/>
      <c r="BP8" s="209"/>
      <c r="BQ8" s="210"/>
      <c r="BR8" s="319"/>
      <c r="BS8" s="317"/>
      <c r="BT8" s="317"/>
      <c r="BU8" s="320"/>
      <c r="BW8" s="285" t="b">
        <v>0</v>
      </c>
      <c r="BX8" s="192" t="s">
        <v>72</v>
      </c>
      <c r="BY8" s="178"/>
      <c r="BZ8" s="178"/>
      <c r="CA8" s="178"/>
      <c r="CB8" s="178"/>
      <c r="CC8" s="193"/>
      <c r="CD8" s="193"/>
      <c r="CE8" s="193"/>
      <c r="CF8" s="178"/>
      <c r="CG8" s="178"/>
      <c r="CH8" s="178"/>
      <c r="CL8" s="264" t="s">
        <v>922</v>
      </c>
      <c r="CM8" s="265">
        <v>46113</v>
      </c>
      <c r="CN8" s="264" t="s">
        <v>904</v>
      </c>
      <c r="CO8" s="264">
        <v>0</v>
      </c>
      <c r="CP8" s="264">
        <v>0</v>
      </c>
      <c r="CQ8" s="264">
        <v>0</v>
      </c>
    </row>
    <row r="9" spans="1:95" ht="22.5" customHeight="1">
      <c r="B9" s="735" t="s">
        <v>175</v>
      </c>
      <c r="C9" s="736"/>
      <c r="D9" s="736"/>
      <c r="E9" s="736"/>
      <c r="F9" s="737"/>
      <c r="G9" s="321">
        <v>310</v>
      </c>
      <c r="H9" s="321"/>
      <c r="I9" s="321"/>
      <c r="J9" s="321">
        <v>300</v>
      </c>
      <c r="K9" s="321"/>
      <c r="L9" s="321"/>
      <c r="M9" s="321">
        <v>310</v>
      </c>
      <c r="N9" s="321"/>
      <c r="O9" s="321"/>
      <c r="P9" s="321" t="str">
        <f ca="1">IFERROR(INDEX(INDIRECT("'"&amp;P$3&amp;"'!O:O"),MATCH($D$1,INDIRECT("'"&amp;P$3&amp;"'!A:A"),0)),"")</f>
        <v/>
      </c>
      <c r="Q9" s="321"/>
      <c r="R9" s="321"/>
      <c r="S9" s="321" t="str">
        <f ca="1">IFERROR(INDEX(INDIRECT("'"&amp;S$3&amp;"'!O:O"),MATCH($D$1,INDIRECT("'"&amp;S$3&amp;"'!A:A"),0)),"")</f>
        <v/>
      </c>
      <c r="T9" s="321"/>
      <c r="U9" s="321"/>
      <c r="V9" s="321" t="str">
        <f t="shared" ref="V9" ca="1" si="10">IFERROR(INDEX(INDIRECT("'"&amp;V$3&amp;"'!O:O"),MATCH($D$1,INDIRECT("'"&amp;V$3&amp;"'!A:A"),0)),"")</f>
        <v/>
      </c>
      <c r="W9" s="321"/>
      <c r="X9" s="321"/>
      <c r="Y9" s="321" t="str">
        <f t="shared" ref="Y9" ca="1" si="11">IFERROR(INDEX(INDIRECT("'"&amp;Y$3&amp;"'!O:O"),MATCH($D$1,INDIRECT("'"&amp;Y$3&amp;"'!A:A"),0)),"")</f>
        <v/>
      </c>
      <c r="Z9" s="321"/>
      <c r="AA9" s="321"/>
      <c r="AC9" s="179" t="s">
        <v>250</v>
      </c>
      <c r="AD9" s="179"/>
      <c r="AE9" s="179"/>
      <c r="AF9" s="179"/>
      <c r="AG9" s="179"/>
      <c r="AH9" s="179"/>
      <c r="AI9" s="179"/>
      <c r="AJ9" s="179"/>
      <c r="AK9" s="179"/>
      <c r="AL9" s="179"/>
      <c r="AM9" s="179"/>
      <c r="AN9" s="179"/>
      <c r="AO9" s="179"/>
      <c r="AP9" s="179"/>
      <c r="AQ9" s="180"/>
      <c r="AR9" s="179"/>
      <c r="AS9" s="179"/>
      <c r="AT9" s="179"/>
      <c r="AU9" s="179"/>
      <c r="AV9" s="179"/>
      <c r="AW9" s="179"/>
      <c r="AX9" s="179"/>
      <c r="AY9" s="179"/>
      <c r="AZ9" s="179"/>
      <c r="BA9" s="179"/>
      <c r="BB9" s="179"/>
      <c r="BE9" s="187">
        <v>7</v>
      </c>
      <c r="BF9" s="317" t="s">
        <v>596</v>
      </c>
      <c r="BG9" s="317"/>
      <c r="BH9" s="317" t="s">
        <v>643</v>
      </c>
      <c r="BI9" s="317"/>
      <c r="BJ9" s="317"/>
      <c r="BK9" s="318"/>
      <c r="BL9" s="215"/>
      <c r="BM9" s="209"/>
      <c r="BN9" s="209"/>
      <c r="BO9" s="209"/>
      <c r="BP9" s="209"/>
      <c r="BQ9" s="210"/>
      <c r="BR9" s="319"/>
      <c r="BS9" s="317"/>
      <c r="BT9" s="317"/>
      <c r="BU9" s="320"/>
      <c r="BW9" s="285" t="b">
        <v>0</v>
      </c>
      <c r="BX9" s="192" t="s">
        <v>73</v>
      </c>
      <c r="BY9" s="178"/>
      <c r="BZ9" s="178"/>
      <c r="CA9" s="178"/>
      <c r="CB9" s="178"/>
      <c r="CC9" s="193"/>
      <c r="CD9" s="193"/>
      <c r="CE9" s="193"/>
      <c r="CF9" s="178"/>
      <c r="CG9" s="178"/>
      <c r="CH9" s="178"/>
      <c r="CJ9" s="164"/>
    </row>
    <row r="10" spans="1:95" ht="22.5" customHeight="1">
      <c r="B10" s="338" t="s">
        <v>35</v>
      </c>
      <c r="C10" s="339"/>
      <c r="D10" s="339"/>
      <c r="E10" s="339"/>
      <c r="F10" s="340"/>
      <c r="G10" s="341">
        <f ca="1">IFERROR(G9/G5,"")</f>
        <v>1</v>
      </c>
      <c r="H10" s="341"/>
      <c r="I10" s="341"/>
      <c r="J10" s="341">
        <f>IFERROR(J9/J5,"")</f>
        <v>1</v>
      </c>
      <c r="K10" s="341"/>
      <c r="L10" s="341"/>
      <c r="M10" s="341">
        <f>IFERROR(M9/M5,"")</f>
        <v>1</v>
      </c>
      <c r="N10" s="341"/>
      <c r="O10" s="341"/>
      <c r="P10" s="341" t="str">
        <f ca="1">IFERROR(P9/P5,"")</f>
        <v/>
      </c>
      <c r="Q10" s="341"/>
      <c r="R10" s="341"/>
      <c r="S10" s="341" t="str">
        <f ca="1">IFERROR(S9/S5,"")</f>
        <v/>
      </c>
      <c r="T10" s="341"/>
      <c r="U10" s="341"/>
      <c r="V10" s="341" t="str">
        <f t="shared" ref="V10" ca="1" si="12">IFERROR(V9/V5,"")</f>
        <v/>
      </c>
      <c r="W10" s="341"/>
      <c r="X10" s="341"/>
      <c r="Y10" s="341" t="str">
        <f t="shared" ref="Y10" ca="1" si="13">IFERROR(Y9/Y5,"")</f>
        <v/>
      </c>
      <c r="Z10" s="341"/>
      <c r="AA10" s="341"/>
      <c r="AC10" s="342" t="s">
        <v>249</v>
      </c>
      <c r="AD10" s="343"/>
      <c r="AE10" s="343"/>
      <c r="AF10" s="343"/>
      <c r="AG10" s="343"/>
      <c r="AH10" s="343"/>
      <c r="AI10" s="343"/>
      <c r="AJ10" s="344"/>
      <c r="AK10" s="342" t="s">
        <v>63</v>
      </c>
      <c r="AL10" s="343"/>
      <c r="AM10" s="345"/>
      <c r="AN10" s="346" t="s">
        <v>111</v>
      </c>
      <c r="AO10" s="343"/>
      <c r="AP10" s="343"/>
      <c r="AQ10" s="343"/>
      <c r="AR10" s="343"/>
      <c r="AS10" s="343"/>
      <c r="AT10" s="343"/>
      <c r="AU10" s="343"/>
      <c r="AV10" s="343"/>
      <c r="AW10" s="343"/>
      <c r="AX10" s="343"/>
      <c r="AY10" s="343"/>
      <c r="AZ10" s="343"/>
      <c r="BA10" s="343"/>
      <c r="BB10" s="345"/>
      <c r="BE10" s="187">
        <v>8</v>
      </c>
      <c r="BF10" s="317" t="s">
        <v>597</v>
      </c>
      <c r="BG10" s="317"/>
      <c r="BH10" s="317" t="s">
        <v>644</v>
      </c>
      <c r="BI10" s="317"/>
      <c r="BJ10" s="317"/>
      <c r="BK10" s="318"/>
      <c r="BL10" s="215"/>
      <c r="BM10" s="209"/>
      <c r="BN10" s="209"/>
      <c r="BO10" s="209"/>
      <c r="BP10" s="209"/>
      <c r="BQ10" s="210"/>
      <c r="BR10" s="319"/>
      <c r="BS10" s="317"/>
      <c r="BT10" s="317"/>
      <c r="BU10" s="320"/>
      <c r="BW10" s="285" t="b">
        <v>0</v>
      </c>
      <c r="BX10" s="192" t="s">
        <v>76</v>
      </c>
      <c r="BY10" s="178"/>
      <c r="BZ10" s="178"/>
      <c r="CA10" s="178"/>
      <c r="CB10" s="178"/>
      <c r="CC10" s="193"/>
      <c r="CD10" s="193"/>
      <c r="CE10" s="193"/>
      <c r="CF10" s="178"/>
      <c r="CG10" s="178"/>
      <c r="CH10" s="178"/>
    </row>
    <row r="11" spans="1:95" ht="22.5" customHeight="1">
      <c r="B11" s="896" t="s">
        <v>179</v>
      </c>
      <c r="C11" s="897"/>
      <c r="D11" s="897"/>
      <c r="E11" s="897"/>
      <c r="F11" s="898"/>
      <c r="G11" s="899">
        <f ca="1">IFERROR(INDEX(INDIRECT("'"&amp;G$3&amp;"'!R:R"),MATCH($D$1,INDIRECT("'"&amp;G$3&amp;"'!A:A"),0)),"")</f>
        <v>0</v>
      </c>
      <c r="H11" s="899"/>
      <c r="I11" s="899"/>
      <c r="J11" s="899" t="str">
        <f ca="1">IFERROR(INDEX(INDIRECT("'"&amp;J$3&amp;"'!R:R"),MATCH($D$1,INDIRECT("'"&amp;J$3&amp;"'!A:A"),0)),"")</f>
        <v/>
      </c>
      <c r="K11" s="899"/>
      <c r="L11" s="899"/>
      <c r="M11" s="899" t="str">
        <f ca="1">IFERROR(INDEX(INDIRECT("'"&amp;M$3&amp;"'!R:R"),MATCH($D$1,INDIRECT("'"&amp;M$3&amp;"'!A:A"),0)),"")</f>
        <v/>
      </c>
      <c r="N11" s="899"/>
      <c r="O11" s="899"/>
      <c r="P11" s="321" t="str">
        <f ca="1">IFERROR(INDEX(INDIRECT("'"&amp;P$3&amp;"'!R:R"),MATCH($D$1,INDIRECT("'"&amp;P$3&amp;"'!A:A"),0)),"")</f>
        <v/>
      </c>
      <c r="Q11" s="321"/>
      <c r="R11" s="321"/>
      <c r="S11" s="321" t="str">
        <f ca="1">IFERROR(INDEX(INDIRECT("'"&amp;S$3&amp;"'!R:R"),MATCH($D$1,INDIRECT("'"&amp;S$3&amp;"'!A:A"),0)),"")</f>
        <v/>
      </c>
      <c r="T11" s="321"/>
      <c r="U11" s="321"/>
      <c r="V11" s="321" t="str">
        <f t="shared" ref="V11" ca="1" si="14">IFERROR(INDEX(INDIRECT("'"&amp;V$3&amp;"'!R:R"),MATCH($D$1,INDIRECT("'"&amp;V$3&amp;"'!A:A"),0)),"")</f>
        <v/>
      </c>
      <c r="W11" s="321"/>
      <c r="X11" s="321"/>
      <c r="Y11" s="321" t="str">
        <f t="shared" ref="Y11" ca="1" si="15">IFERROR(INDEX(INDIRECT("'"&amp;Y$3&amp;"'!R:R"),MATCH($D$1,INDIRECT("'"&amp;Y$3&amp;"'!A:A"),0)),"")</f>
        <v/>
      </c>
      <c r="Z11" s="321"/>
      <c r="AA11" s="321"/>
      <c r="AC11" s="354"/>
      <c r="AD11" s="355"/>
      <c r="AE11" s="355"/>
      <c r="AF11" s="355"/>
      <c r="AG11" s="355"/>
      <c r="AH11" s="355"/>
      <c r="AI11" s="355"/>
      <c r="AJ11" s="356"/>
      <c r="AK11" s="357"/>
      <c r="AL11" s="358"/>
      <c r="AM11" s="203"/>
      <c r="AN11" s="359"/>
      <c r="AO11" s="355"/>
      <c r="AP11" s="355"/>
      <c r="AQ11" s="355"/>
      <c r="AR11" s="355"/>
      <c r="AS11" s="355"/>
      <c r="AT11" s="355"/>
      <c r="AU11" s="355"/>
      <c r="AV11" s="355"/>
      <c r="AW11" s="355"/>
      <c r="AX11" s="355"/>
      <c r="AY11" s="355"/>
      <c r="AZ11" s="355"/>
      <c r="BA11" s="355"/>
      <c r="BB11" s="360"/>
      <c r="BE11" s="187">
        <v>9</v>
      </c>
      <c r="BF11" s="317" t="s">
        <v>594</v>
      </c>
      <c r="BG11" s="317"/>
      <c r="BH11" s="317" t="s">
        <v>645</v>
      </c>
      <c r="BI11" s="317"/>
      <c r="BJ11" s="317"/>
      <c r="BK11" s="318"/>
      <c r="BL11" s="215"/>
      <c r="BM11" s="209"/>
      <c r="BN11" s="209"/>
      <c r="BO11" s="209"/>
      <c r="BP11" s="209"/>
      <c r="BQ11" s="210"/>
      <c r="BR11" s="319" t="s">
        <v>595</v>
      </c>
      <c r="BS11" s="317"/>
      <c r="BT11" s="317"/>
      <c r="BU11" s="320"/>
      <c r="BW11" s="285" t="b">
        <v>0</v>
      </c>
      <c r="BX11" s="192" t="s">
        <v>239</v>
      </c>
      <c r="BY11" s="178"/>
      <c r="BZ11" s="178"/>
      <c r="CA11" s="178"/>
      <c r="CB11" s="178"/>
      <c r="CC11" s="193"/>
      <c r="CD11" s="193"/>
      <c r="CE11" s="193"/>
      <c r="CF11" s="178"/>
      <c r="CG11" s="178"/>
      <c r="CH11" s="178"/>
    </row>
    <row r="12" spans="1:95" ht="22.5" customHeight="1">
      <c r="B12" s="900" t="s">
        <v>218</v>
      </c>
      <c r="C12" s="901"/>
      <c r="D12" s="901"/>
      <c r="E12" s="901"/>
      <c r="F12" s="902"/>
      <c r="G12" s="903">
        <f ca="1">IFERROR(G11/G5,"")</f>
        <v>0</v>
      </c>
      <c r="H12" s="903"/>
      <c r="I12" s="903"/>
      <c r="J12" s="903" t="str">
        <f ca="1">IFERROR(J11/J5,"")</f>
        <v/>
      </c>
      <c r="K12" s="903"/>
      <c r="L12" s="903"/>
      <c r="M12" s="903" t="str">
        <f ca="1">IFERROR(M11/M5,"")</f>
        <v/>
      </c>
      <c r="N12" s="903"/>
      <c r="O12" s="903"/>
      <c r="P12" s="341" t="str">
        <f ca="1">IFERROR(P11/P5,"")</f>
        <v/>
      </c>
      <c r="Q12" s="341"/>
      <c r="R12" s="341"/>
      <c r="S12" s="341" t="str">
        <f ca="1">IFERROR(S11/S5,"")</f>
        <v/>
      </c>
      <c r="T12" s="341"/>
      <c r="U12" s="341"/>
      <c r="V12" s="341" t="str">
        <f t="shared" ref="V12" ca="1" si="16">IFERROR(V11/V5,"")</f>
        <v/>
      </c>
      <c r="W12" s="341"/>
      <c r="X12" s="341"/>
      <c r="Y12" s="341" t="str">
        <f t="shared" ref="Y12" ca="1" si="17">IFERROR(Y11/Y5,"")</f>
        <v/>
      </c>
      <c r="Z12" s="341"/>
      <c r="AA12" s="341"/>
      <c r="AC12" s="347"/>
      <c r="AD12" s="348"/>
      <c r="AE12" s="348"/>
      <c r="AF12" s="348"/>
      <c r="AG12" s="348"/>
      <c r="AH12" s="348"/>
      <c r="AI12" s="348"/>
      <c r="AJ12" s="349"/>
      <c r="AK12" s="350"/>
      <c r="AL12" s="351"/>
      <c r="AM12" s="202"/>
      <c r="AN12" s="352"/>
      <c r="AO12" s="348"/>
      <c r="AP12" s="348"/>
      <c r="AQ12" s="348"/>
      <c r="AR12" s="348"/>
      <c r="AS12" s="348"/>
      <c r="AT12" s="348"/>
      <c r="AU12" s="348"/>
      <c r="AV12" s="348"/>
      <c r="AW12" s="348"/>
      <c r="AX12" s="348"/>
      <c r="AY12" s="348"/>
      <c r="AZ12" s="348"/>
      <c r="BA12" s="348"/>
      <c r="BB12" s="353"/>
      <c r="BE12" s="187">
        <v>10</v>
      </c>
      <c r="BF12" s="317" t="s">
        <v>596</v>
      </c>
      <c r="BG12" s="317"/>
      <c r="BH12" s="317" t="s">
        <v>646</v>
      </c>
      <c r="BI12" s="317"/>
      <c r="BJ12" s="317"/>
      <c r="BK12" s="318"/>
      <c r="BL12" s="215"/>
      <c r="BM12" s="209"/>
      <c r="BN12" s="209"/>
      <c r="BO12" s="209"/>
      <c r="BP12" s="209"/>
      <c r="BQ12" s="210"/>
      <c r="BR12" s="319"/>
      <c r="BS12" s="317"/>
      <c r="BT12" s="317"/>
      <c r="BU12" s="320"/>
      <c r="BW12" s="285" t="b">
        <v>0</v>
      </c>
      <c r="BX12" s="192" t="s">
        <v>77</v>
      </c>
      <c r="BY12" s="178"/>
      <c r="BZ12" s="178"/>
      <c r="CA12" s="178"/>
      <c r="CB12" s="178"/>
      <c r="CC12" s="193"/>
      <c r="CD12" s="193"/>
      <c r="CE12" s="193"/>
      <c r="CF12" s="178"/>
      <c r="CG12" s="178"/>
      <c r="CH12" s="178"/>
    </row>
    <row r="13" spans="1:95" ht="22.5" customHeight="1">
      <c r="B13" s="335" t="s">
        <v>47</v>
      </c>
      <c r="C13" s="336"/>
      <c r="D13" s="336"/>
      <c r="E13" s="336"/>
      <c r="F13" s="337"/>
      <c r="G13" s="361">
        <f ca="1">IFERROR(INDEX(INDIRECT("'"&amp;G$3&amp;"'!M:M"),MATCH($D$1,INDIRECT("'"&amp;G$3&amp;"'!A:A"),0)),"")</f>
        <v>0</v>
      </c>
      <c r="H13" s="361"/>
      <c r="I13" s="361"/>
      <c r="J13" s="361">
        <v>0</v>
      </c>
      <c r="K13" s="361"/>
      <c r="L13" s="361"/>
      <c r="M13" s="361">
        <v>0</v>
      </c>
      <c r="N13" s="361"/>
      <c r="O13" s="361"/>
      <c r="P13" s="361" t="str">
        <f ca="1">IFERROR(INDEX(INDIRECT("'"&amp;P$3&amp;"'!M:M"),MATCH($D$1,INDIRECT("'"&amp;P$3&amp;"'!A:A"),0)),"")</f>
        <v/>
      </c>
      <c r="Q13" s="361"/>
      <c r="R13" s="361"/>
      <c r="S13" s="361" t="str">
        <f ca="1">IFERROR(INDEX(INDIRECT("'"&amp;S$3&amp;"'!M:M"),MATCH($D$1,INDIRECT("'"&amp;S$3&amp;"'!A:A"),0)),"")</f>
        <v/>
      </c>
      <c r="T13" s="361"/>
      <c r="U13" s="361"/>
      <c r="V13" s="361" t="str">
        <f t="shared" ref="V13" ca="1" si="18">IFERROR(INDEX(INDIRECT("'"&amp;V$3&amp;"'!M:M"),MATCH($D$1,INDIRECT("'"&amp;V$3&amp;"'!A:A"),0)),"")</f>
        <v/>
      </c>
      <c r="W13" s="361"/>
      <c r="X13" s="361"/>
      <c r="Y13" s="361" t="str">
        <f t="shared" ref="Y13" ca="1" si="19">IFERROR(INDEX(INDIRECT("'"&amp;Y$3&amp;"'!M:M"),MATCH($D$1,INDIRECT("'"&amp;Y$3&amp;"'!A:A"),0)),"")</f>
        <v/>
      </c>
      <c r="Z13" s="361"/>
      <c r="AA13" s="361"/>
      <c r="AC13" s="367"/>
      <c r="AD13" s="368"/>
      <c r="AE13" s="368"/>
      <c r="AF13" s="368"/>
      <c r="AG13" s="368"/>
      <c r="AH13" s="368"/>
      <c r="AI13" s="368"/>
      <c r="AJ13" s="369"/>
      <c r="AK13" s="370"/>
      <c r="AL13" s="371"/>
      <c r="AM13" s="204"/>
      <c r="AN13" s="372"/>
      <c r="AO13" s="368"/>
      <c r="AP13" s="368"/>
      <c r="AQ13" s="368"/>
      <c r="AR13" s="368"/>
      <c r="AS13" s="368"/>
      <c r="AT13" s="368"/>
      <c r="AU13" s="368"/>
      <c r="AV13" s="368"/>
      <c r="AW13" s="368"/>
      <c r="AX13" s="368"/>
      <c r="AY13" s="368"/>
      <c r="AZ13" s="368"/>
      <c r="BA13" s="368"/>
      <c r="BB13" s="373"/>
      <c r="BE13" s="187">
        <v>11</v>
      </c>
      <c r="BF13" s="317" t="s">
        <v>596</v>
      </c>
      <c r="BG13" s="317"/>
      <c r="BH13" s="317" t="s">
        <v>647</v>
      </c>
      <c r="BI13" s="317"/>
      <c r="BJ13" s="317"/>
      <c r="BK13" s="318"/>
      <c r="BL13" s="215"/>
      <c r="BM13" s="209"/>
      <c r="BN13" s="209"/>
      <c r="BO13" s="209"/>
      <c r="BP13" s="209"/>
      <c r="BQ13" s="210"/>
      <c r="BR13" s="362"/>
      <c r="BS13" s="319"/>
      <c r="BT13" s="317"/>
      <c r="BU13" s="320"/>
      <c r="BW13" s="285" t="b">
        <v>0</v>
      </c>
      <c r="BX13" s="192" t="s">
        <v>78</v>
      </c>
      <c r="BY13" s="178"/>
      <c r="BZ13" s="178"/>
      <c r="CA13" s="178"/>
      <c r="CB13" s="178"/>
      <c r="CC13" s="193"/>
      <c r="CD13" s="193"/>
      <c r="CE13" s="193"/>
      <c r="CF13" s="178"/>
      <c r="CG13" s="178"/>
      <c r="CH13" s="178"/>
    </row>
    <row r="14" spans="1:95" ht="22.5" customHeight="1" thickBot="1">
      <c r="A14" s="201" t="s">
        <v>251</v>
      </c>
      <c r="B14" s="363" t="s">
        <v>227</v>
      </c>
      <c r="C14" s="364"/>
      <c r="D14" s="364"/>
      <c r="E14" s="364"/>
      <c r="F14" s="365"/>
      <c r="G14" s="366"/>
      <c r="H14" s="366"/>
      <c r="I14" s="366"/>
      <c r="J14" s="366"/>
      <c r="K14" s="366"/>
      <c r="L14" s="366"/>
      <c r="M14" s="366"/>
      <c r="N14" s="366"/>
      <c r="O14" s="366"/>
      <c r="P14" s="366"/>
      <c r="Q14" s="366"/>
      <c r="R14" s="366"/>
      <c r="S14" s="366"/>
      <c r="T14" s="366"/>
      <c r="U14" s="366"/>
      <c r="V14" s="366"/>
      <c r="W14" s="366"/>
      <c r="X14" s="366"/>
      <c r="Y14" s="366"/>
      <c r="Z14" s="366"/>
      <c r="AA14" s="366"/>
      <c r="AC14" s="367"/>
      <c r="AD14" s="368"/>
      <c r="AE14" s="368"/>
      <c r="AF14" s="368"/>
      <c r="AG14" s="368"/>
      <c r="AH14" s="368"/>
      <c r="AI14" s="368"/>
      <c r="AJ14" s="369"/>
      <c r="AK14" s="370"/>
      <c r="AL14" s="371"/>
      <c r="AM14" s="204"/>
      <c r="AN14" s="372"/>
      <c r="AO14" s="368"/>
      <c r="AP14" s="368"/>
      <c r="AQ14" s="368"/>
      <c r="AR14" s="368"/>
      <c r="AS14" s="368"/>
      <c r="AT14" s="368"/>
      <c r="AU14" s="368"/>
      <c r="AV14" s="368"/>
      <c r="AW14" s="368"/>
      <c r="AX14" s="368"/>
      <c r="AY14" s="368"/>
      <c r="AZ14" s="368"/>
      <c r="BA14" s="368"/>
      <c r="BB14" s="373"/>
      <c r="BE14" s="187">
        <v>12</v>
      </c>
      <c r="BF14" s="317" t="s">
        <v>596</v>
      </c>
      <c r="BG14" s="317"/>
      <c r="BH14" s="317" t="s">
        <v>648</v>
      </c>
      <c r="BI14" s="317"/>
      <c r="BJ14" s="317"/>
      <c r="BK14" s="318"/>
      <c r="BL14" s="215"/>
      <c r="BM14" s="209"/>
      <c r="BN14" s="209"/>
      <c r="BO14" s="209"/>
      <c r="BP14" s="209"/>
      <c r="BQ14" s="210"/>
      <c r="BR14" s="362"/>
      <c r="BS14" s="319"/>
      <c r="BT14" s="317"/>
      <c r="BU14" s="320"/>
      <c r="BW14" s="285" t="b">
        <v>0</v>
      </c>
      <c r="BX14" s="192" t="s">
        <v>79</v>
      </c>
      <c r="BY14" s="178"/>
      <c r="BZ14" s="178"/>
      <c r="CA14" s="178"/>
      <c r="CB14" s="178"/>
      <c r="CC14" s="178"/>
      <c r="CD14" s="178"/>
      <c r="CE14" s="178"/>
      <c r="CF14" s="178"/>
      <c r="CG14" s="178"/>
      <c r="CH14" s="178"/>
    </row>
    <row r="15" spans="1:95" ht="22.5" customHeight="1" thickTop="1">
      <c r="B15" s="739" t="s">
        <v>264</v>
      </c>
      <c r="C15" s="740"/>
      <c r="D15" s="740"/>
      <c r="E15" s="740"/>
      <c r="F15" s="741"/>
      <c r="G15" s="385">
        <f ca="1">IFERROR(INDEX(INDIRECT("'"&amp;G$3&amp;"'!X:X"),MATCH($D$1,INDIRECT("'"&amp;G$3&amp;"'!A:A"),0)),"")</f>
        <v>370429.48800000001</v>
      </c>
      <c r="H15" s="385"/>
      <c r="I15" s="385"/>
      <c r="J15" s="385" t="str">
        <f ca="1">IFERROR(INDEX(INDIRECT("'"&amp;J$3&amp;"'!X:X"),MATCH($D$1,INDIRECT("'"&amp;J$3&amp;"'!A:A"),0)),"")</f>
        <v/>
      </c>
      <c r="K15" s="385"/>
      <c r="L15" s="385"/>
      <c r="M15" s="385" t="str">
        <f ca="1">IFERROR(INDEX(INDIRECT("'"&amp;M$3&amp;"'!X:X"),MATCH($D$1,INDIRECT("'"&amp;M$3&amp;"'!A:A"),0)),"")</f>
        <v/>
      </c>
      <c r="N15" s="385"/>
      <c r="O15" s="385"/>
      <c r="P15" s="385" t="str">
        <f ca="1">IFERROR(INDEX(INDIRECT("'"&amp;P$3&amp;"'!X:X"),MATCH($D$1,INDIRECT("'"&amp;P$3&amp;"'!A:A"),0)),"")</f>
        <v/>
      </c>
      <c r="Q15" s="385"/>
      <c r="R15" s="385"/>
      <c r="S15" s="385" t="str">
        <f ca="1">IFERROR(INDEX(INDIRECT("'"&amp;S$3&amp;"'!X:X"),MATCH($D$1,INDIRECT("'"&amp;S$3&amp;"'!A:A"),0)),"")</f>
        <v/>
      </c>
      <c r="T15" s="385"/>
      <c r="U15" s="385"/>
      <c r="V15" s="386" t="s">
        <v>266</v>
      </c>
      <c r="W15" s="387"/>
      <c r="X15" s="904">
        <f ca="1">AVERAGE(G15:U15)</f>
        <v>370429.48800000001</v>
      </c>
      <c r="Y15" s="904"/>
      <c r="Z15" s="904"/>
      <c r="AA15" s="905"/>
      <c r="AB15" s="162"/>
      <c r="BE15" s="187">
        <v>13</v>
      </c>
      <c r="BF15" s="317" t="s">
        <v>596</v>
      </c>
      <c r="BG15" s="317"/>
      <c r="BH15" s="317" t="s">
        <v>649</v>
      </c>
      <c r="BI15" s="317"/>
      <c r="BJ15" s="317"/>
      <c r="BK15" s="318"/>
      <c r="BL15" s="215"/>
      <c r="BM15" s="209"/>
      <c r="BN15" s="209"/>
      <c r="BO15" s="209"/>
      <c r="BP15" s="209"/>
      <c r="BQ15" s="210"/>
      <c r="BR15" s="362"/>
      <c r="BS15" s="319"/>
      <c r="BT15" s="317"/>
      <c r="BU15" s="320"/>
      <c r="BW15" s="285" t="b">
        <v>0</v>
      </c>
      <c r="BX15" s="192" t="s">
        <v>80</v>
      </c>
      <c r="BY15" s="178"/>
      <c r="BZ15" s="178"/>
      <c r="CA15" s="178"/>
      <c r="CB15" s="178"/>
      <c r="CC15" s="178"/>
      <c r="CD15" s="178"/>
      <c r="CE15" s="178"/>
      <c r="CF15" s="178"/>
      <c r="CG15" s="178"/>
      <c r="CH15" s="178"/>
    </row>
    <row r="16" spans="1:95" s="164" customFormat="1" ht="22.5" customHeight="1">
      <c r="B16" s="164">
        <v>30</v>
      </c>
      <c r="V16" s="220"/>
      <c r="W16" s="220"/>
      <c r="X16" s="220"/>
      <c r="Y16" s="220"/>
      <c r="Z16" s="220"/>
      <c r="AA16" s="220"/>
      <c r="AB16" s="162"/>
      <c r="AC16" s="374" t="s">
        <v>236</v>
      </c>
      <c r="AD16" s="375"/>
      <c r="AE16" s="375"/>
      <c r="AF16" s="375"/>
      <c r="AG16" s="375"/>
      <c r="AH16" s="375"/>
      <c r="AI16" s="375"/>
      <c r="AJ16" s="376"/>
      <c r="AK16" s="377" t="s">
        <v>254</v>
      </c>
      <c r="AL16" s="378"/>
      <c r="AM16" s="379"/>
      <c r="AN16" s="380" t="s">
        <v>27</v>
      </c>
      <c r="AO16" s="378"/>
      <c r="AP16" s="381"/>
      <c r="AQ16" s="377" t="s">
        <v>226</v>
      </c>
      <c r="AR16" s="378"/>
      <c r="AS16" s="379"/>
      <c r="AT16" s="380" t="s">
        <v>14</v>
      </c>
      <c r="AU16" s="378"/>
      <c r="AV16" s="381"/>
      <c r="AW16" s="377" t="s">
        <v>22</v>
      </c>
      <c r="AX16" s="378"/>
      <c r="AY16" s="379"/>
      <c r="AZ16" s="380" t="s">
        <v>1</v>
      </c>
      <c r="BA16" s="378"/>
      <c r="BB16" s="379"/>
      <c r="BE16" s="187">
        <v>14</v>
      </c>
      <c r="BF16" s="317" t="s">
        <v>594</v>
      </c>
      <c r="BG16" s="317"/>
      <c r="BH16" s="317" t="s">
        <v>650</v>
      </c>
      <c r="BI16" s="317"/>
      <c r="BJ16" s="317"/>
      <c r="BK16" s="318"/>
      <c r="BL16" s="215"/>
      <c r="BM16" s="209"/>
      <c r="BN16" s="209"/>
      <c r="BO16" s="209"/>
      <c r="BP16" s="209"/>
      <c r="BQ16" s="210"/>
      <c r="BR16" s="319" t="s">
        <v>595</v>
      </c>
      <c r="BS16" s="317"/>
      <c r="BT16" s="317"/>
      <c r="BU16" s="320"/>
      <c r="BW16" s="285" t="b">
        <v>0</v>
      </c>
      <c r="BX16" s="192" t="s">
        <v>81</v>
      </c>
      <c r="BY16" s="194"/>
      <c r="BZ16" s="194"/>
      <c r="CA16" s="194"/>
      <c r="CB16" s="194"/>
      <c r="CC16" s="194"/>
      <c r="CD16" s="194"/>
      <c r="CE16" s="194"/>
      <c r="CF16" s="194"/>
      <c r="CG16" s="194"/>
      <c r="CH16" s="194"/>
      <c r="CJ16" s="161"/>
    </row>
    <row r="17" spans="2:86" ht="22.5" customHeight="1">
      <c r="B17" s="850">
        <f ca="1">NOW()</f>
        <v>46202.751855324073</v>
      </c>
      <c r="C17" s="851"/>
      <c r="D17" s="851"/>
      <c r="E17" s="851"/>
      <c r="F17" s="852"/>
      <c r="G17" s="303" t="s">
        <v>777</v>
      </c>
      <c r="H17" s="304"/>
      <c r="I17" s="305"/>
      <c r="J17" s="303" t="s">
        <v>778</v>
      </c>
      <c r="K17" s="304"/>
      <c r="L17" s="305"/>
      <c r="M17" s="303" t="s">
        <v>779</v>
      </c>
      <c r="N17" s="304"/>
      <c r="O17" s="305"/>
      <c r="P17" s="303" t="s">
        <v>780</v>
      </c>
      <c r="Q17" s="304"/>
      <c r="R17" s="305"/>
      <c r="S17" s="303" t="s">
        <v>781</v>
      </c>
      <c r="T17" s="304"/>
      <c r="U17" s="305"/>
      <c r="V17" s="303" t="s">
        <v>782</v>
      </c>
      <c r="W17" s="304"/>
      <c r="X17" s="305"/>
      <c r="AB17" s="165"/>
      <c r="AC17" s="392" t="s">
        <v>234</v>
      </c>
      <c r="AD17" s="393"/>
      <c r="AE17" s="393"/>
      <c r="AF17" s="394"/>
      <c r="AG17" s="398" t="s">
        <v>262</v>
      </c>
      <c r="AH17" s="399"/>
      <c r="AI17" s="399"/>
      <c r="AJ17" s="400"/>
      <c r="AK17" s="401"/>
      <c r="AL17" s="402"/>
      <c r="AM17" s="403"/>
      <c r="AN17" s="404"/>
      <c r="AO17" s="402"/>
      <c r="AP17" s="405"/>
      <c r="AQ17" s="401"/>
      <c r="AR17" s="402"/>
      <c r="AS17" s="403"/>
      <c r="AT17" s="404"/>
      <c r="AU17" s="402"/>
      <c r="AV17" s="405"/>
      <c r="AW17" s="401"/>
      <c r="AX17" s="402"/>
      <c r="AY17" s="403"/>
      <c r="AZ17" s="404"/>
      <c r="BA17" s="402"/>
      <c r="BB17" s="403"/>
      <c r="BE17" s="187">
        <v>15</v>
      </c>
      <c r="BF17" s="317" t="s">
        <v>596</v>
      </c>
      <c r="BG17" s="317"/>
      <c r="BH17" s="317" t="s">
        <v>651</v>
      </c>
      <c r="BI17" s="317"/>
      <c r="BJ17" s="317"/>
      <c r="BK17" s="318"/>
      <c r="BL17" s="215"/>
      <c r="BM17" s="209"/>
      <c r="BN17" s="209"/>
      <c r="BO17" s="209"/>
      <c r="BP17" s="209"/>
      <c r="BQ17" s="210"/>
      <c r="BR17" s="319"/>
      <c r="BS17" s="317"/>
      <c r="BT17" s="317"/>
      <c r="BU17" s="320"/>
      <c r="BX17" s="178"/>
      <c r="BY17" s="178"/>
      <c r="BZ17" s="178"/>
      <c r="CA17" s="178"/>
      <c r="CB17" s="178"/>
      <c r="CC17" s="178"/>
      <c r="CD17" s="178"/>
      <c r="CE17" s="178"/>
      <c r="CF17" s="178"/>
      <c r="CG17" s="178"/>
      <c r="CH17" s="178"/>
    </row>
    <row r="18" spans="2:86" ht="22.5" customHeight="1">
      <c r="B18" s="335" t="s">
        <v>32</v>
      </c>
      <c r="C18" s="336"/>
      <c r="D18" s="336"/>
      <c r="E18" s="336"/>
      <c r="F18" s="337"/>
      <c r="G18" s="321">
        <v>10</v>
      </c>
      <c r="H18" s="321"/>
      <c r="I18" s="321"/>
      <c r="J18" s="321">
        <v>10</v>
      </c>
      <c r="K18" s="321"/>
      <c r="L18" s="321"/>
      <c r="M18" s="321"/>
      <c r="N18" s="321"/>
      <c r="O18" s="321"/>
      <c r="P18" s="321"/>
      <c r="Q18" s="321"/>
      <c r="R18" s="321"/>
      <c r="S18" s="321"/>
      <c r="T18" s="321"/>
      <c r="U18" s="321"/>
      <c r="V18" s="782"/>
      <c r="W18" s="782"/>
      <c r="X18" s="782"/>
      <c r="AB18" s="162"/>
      <c r="AC18" s="395"/>
      <c r="AD18" s="396"/>
      <c r="AE18" s="396"/>
      <c r="AF18" s="397"/>
      <c r="AG18" s="407" t="s">
        <v>50</v>
      </c>
      <c r="AH18" s="408"/>
      <c r="AI18" s="408"/>
      <c r="AJ18" s="409"/>
      <c r="AK18" s="410"/>
      <c r="AL18" s="411"/>
      <c r="AM18" s="412"/>
      <c r="AN18" s="413">
        <v>0.12</v>
      </c>
      <c r="AO18" s="411"/>
      <c r="AP18" s="414"/>
      <c r="AQ18" s="410"/>
      <c r="AR18" s="411"/>
      <c r="AS18" s="412"/>
      <c r="AT18" s="413"/>
      <c r="AU18" s="411"/>
      <c r="AV18" s="414"/>
      <c r="AW18" s="410"/>
      <c r="AX18" s="411"/>
      <c r="AY18" s="412"/>
      <c r="AZ18" s="413"/>
      <c r="BA18" s="411"/>
      <c r="BB18" s="412"/>
      <c r="BE18" s="187">
        <v>16</v>
      </c>
      <c r="BF18" s="317" t="s">
        <v>596</v>
      </c>
      <c r="BG18" s="317"/>
      <c r="BH18" s="317" t="s">
        <v>652</v>
      </c>
      <c r="BI18" s="317"/>
      <c r="BJ18" s="317"/>
      <c r="BK18" s="318"/>
      <c r="BL18" s="215"/>
      <c r="BM18" s="209"/>
      <c r="BN18" s="209"/>
      <c r="BO18" s="209"/>
      <c r="BP18" s="209"/>
      <c r="BQ18" s="210"/>
      <c r="BR18" s="319"/>
      <c r="BS18" s="317"/>
      <c r="BT18" s="317"/>
      <c r="BU18" s="320"/>
      <c r="BW18" s="181" t="s">
        <v>949</v>
      </c>
      <c r="BX18" s="179"/>
      <c r="BY18" s="179"/>
      <c r="BZ18" s="179"/>
      <c r="CA18" s="179"/>
      <c r="CB18" s="179"/>
      <c r="CC18" s="179"/>
      <c r="CD18" s="179"/>
      <c r="CE18" s="179"/>
      <c r="CF18" s="179"/>
      <c r="CG18" s="179"/>
      <c r="CH18" s="179"/>
    </row>
    <row r="19" spans="2:86" ht="22.5" customHeight="1">
      <c r="B19" s="858" t="s">
        <v>225</v>
      </c>
      <c r="C19" s="775"/>
      <c r="D19" s="775"/>
      <c r="E19" s="775"/>
      <c r="F19" s="859"/>
      <c r="G19" s="334">
        <v>300</v>
      </c>
      <c r="H19" s="334"/>
      <c r="I19" s="334"/>
      <c r="J19" s="334">
        <v>300</v>
      </c>
      <c r="K19" s="334"/>
      <c r="L19" s="334"/>
      <c r="M19" s="334"/>
      <c r="N19" s="334"/>
      <c r="O19" s="334"/>
      <c r="P19" s="334"/>
      <c r="Q19" s="334"/>
      <c r="R19" s="334"/>
      <c r="S19" s="334"/>
      <c r="T19" s="334"/>
      <c r="U19" s="334"/>
      <c r="V19" s="784"/>
      <c r="W19" s="784"/>
      <c r="X19" s="784"/>
      <c r="AB19" s="162"/>
      <c r="AC19" s="446">
        <v>3.5</v>
      </c>
      <c r="AD19" s="447"/>
      <c r="AE19" s="447"/>
      <c r="AF19" s="448"/>
      <c r="AG19" s="452" t="s">
        <v>51</v>
      </c>
      <c r="AH19" s="453"/>
      <c r="AI19" s="453"/>
      <c r="AJ19" s="454"/>
      <c r="AK19" s="421"/>
      <c r="AL19" s="416"/>
      <c r="AM19" s="417"/>
      <c r="AN19" s="415"/>
      <c r="AO19" s="416"/>
      <c r="AP19" s="442"/>
      <c r="AQ19" s="421"/>
      <c r="AR19" s="416"/>
      <c r="AS19" s="417"/>
      <c r="AT19" s="415"/>
      <c r="AU19" s="416"/>
      <c r="AV19" s="442"/>
      <c r="AW19" s="421"/>
      <c r="AX19" s="416"/>
      <c r="AY19" s="417"/>
      <c r="AZ19" s="415"/>
      <c r="BA19" s="416"/>
      <c r="BB19" s="417"/>
      <c r="BE19" s="187">
        <v>17</v>
      </c>
      <c r="BF19" s="317" t="s">
        <v>596</v>
      </c>
      <c r="BG19" s="317"/>
      <c r="BH19" s="317" t="s">
        <v>653</v>
      </c>
      <c r="BI19" s="317"/>
      <c r="BJ19" s="317"/>
      <c r="BK19" s="318"/>
      <c r="BL19" s="215"/>
      <c r="BM19" s="209"/>
      <c r="BN19" s="209"/>
      <c r="BO19" s="209"/>
      <c r="BP19" s="209"/>
      <c r="BQ19" s="210"/>
      <c r="BR19" s="319"/>
      <c r="BS19" s="317"/>
      <c r="BT19" s="317"/>
      <c r="BU19" s="320"/>
      <c r="BW19" s="285" t="b">
        <v>0</v>
      </c>
      <c r="BX19" s="178" t="s">
        <v>100</v>
      </c>
      <c r="BY19" s="178"/>
      <c r="BZ19" s="178"/>
      <c r="CA19" s="178"/>
      <c r="CB19" s="178"/>
      <c r="CC19" s="178"/>
      <c r="CD19" s="178"/>
      <c r="CE19" s="178"/>
      <c r="CF19" s="178"/>
      <c r="CG19" s="178"/>
      <c r="CH19" s="178"/>
    </row>
    <row r="20" spans="2:86" ht="22.5" customHeight="1">
      <c r="B20" s="338" t="s">
        <v>33</v>
      </c>
      <c r="C20" s="339"/>
      <c r="D20" s="339"/>
      <c r="E20" s="339"/>
      <c r="F20" s="340"/>
      <c r="G20" s="341">
        <v>1</v>
      </c>
      <c r="H20" s="341"/>
      <c r="I20" s="341"/>
      <c r="J20" s="341">
        <v>1</v>
      </c>
      <c r="K20" s="341"/>
      <c r="L20" s="341"/>
      <c r="M20" s="341"/>
      <c r="N20" s="341"/>
      <c r="O20" s="341"/>
      <c r="P20" s="341"/>
      <c r="Q20" s="341"/>
      <c r="R20" s="341"/>
      <c r="S20" s="341"/>
      <c r="T20" s="341"/>
      <c r="U20" s="341"/>
      <c r="V20" s="786"/>
      <c r="W20" s="786"/>
      <c r="X20" s="786"/>
      <c r="AB20" s="162"/>
      <c r="AC20" s="446"/>
      <c r="AD20" s="447"/>
      <c r="AE20" s="447"/>
      <c r="AF20" s="448"/>
      <c r="AG20" s="439" t="s">
        <v>232</v>
      </c>
      <c r="AH20" s="440"/>
      <c r="AI20" s="440"/>
      <c r="AJ20" s="441"/>
      <c r="AK20" s="410"/>
      <c r="AL20" s="411"/>
      <c r="AM20" s="412"/>
      <c r="AN20" s="413"/>
      <c r="AO20" s="411"/>
      <c r="AP20" s="414"/>
      <c r="AQ20" s="410"/>
      <c r="AR20" s="411"/>
      <c r="AS20" s="412"/>
      <c r="AT20" s="413"/>
      <c r="AU20" s="411"/>
      <c r="AV20" s="414"/>
      <c r="AW20" s="410"/>
      <c r="AX20" s="411"/>
      <c r="AY20" s="412"/>
      <c r="AZ20" s="413"/>
      <c r="BA20" s="411"/>
      <c r="BB20" s="412"/>
      <c r="BE20" s="187">
        <v>18</v>
      </c>
      <c r="BF20" s="317" t="s">
        <v>381</v>
      </c>
      <c r="BG20" s="317"/>
      <c r="BH20" s="317" t="s">
        <v>715</v>
      </c>
      <c r="BI20" s="317"/>
      <c r="BJ20" s="317"/>
      <c r="BK20" s="318"/>
      <c r="BL20" s="215"/>
      <c r="BM20" s="209"/>
      <c r="BN20" s="209"/>
      <c r="BO20" s="209"/>
      <c r="BP20" s="209"/>
      <c r="BQ20" s="210"/>
      <c r="BR20" s="319"/>
      <c r="BS20" s="317"/>
      <c r="BT20" s="317"/>
      <c r="BU20" s="320"/>
      <c r="BW20" s="285" t="b">
        <v>0</v>
      </c>
      <c r="BX20" s="178" t="s">
        <v>98</v>
      </c>
      <c r="BY20" s="178"/>
      <c r="BZ20" s="178"/>
      <c r="CA20" s="194"/>
      <c r="CB20" s="193"/>
      <c r="CC20" s="178"/>
      <c r="CD20" s="178"/>
      <c r="CE20" s="178"/>
      <c r="CF20" s="178"/>
      <c r="CG20" s="178"/>
      <c r="CH20" s="178"/>
    </row>
    <row r="21" spans="2:86" ht="22.5" customHeight="1" thickBot="1">
      <c r="B21" s="858" t="s">
        <v>783</v>
      </c>
      <c r="C21" s="775"/>
      <c r="D21" s="775"/>
      <c r="E21" s="775"/>
      <c r="F21" s="859"/>
      <c r="G21" s="334">
        <v>300</v>
      </c>
      <c r="H21" s="334"/>
      <c r="I21" s="334"/>
      <c r="J21" s="334">
        <v>300</v>
      </c>
      <c r="K21" s="334"/>
      <c r="L21" s="334"/>
      <c r="M21" s="860"/>
      <c r="N21" s="860"/>
      <c r="O21" s="860"/>
      <c r="P21" s="860"/>
      <c r="Q21" s="860"/>
      <c r="R21" s="860"/>
      <c r="S21" s="860"/>
      <c r="T21" s="860"/>
      <c r="U21" s="860"/>
      <c r="V21" s="786"/>
      <c r="W21" s="786"/>
      <c r="X21" s="786"/>
      <c r="AB21" s="162"/>
      <c r="AC21" s="446"/>
      <c r="AD21" s="447"/>
      <c r="AE21" s="447"/>
      <c r="AF21" s="448"/>
      <c r="AG21" s="443" t="s">
        <v>233</v>
      </c>
      <c r="AH21" s="444"/>
      <c r="AI21" s="444"/>
      <c r="AJ21" s="445"/>
      <c r="AK21" s="421"/>
      <c r="AL21" s="416"/>
      <c r="AM21" s="417"/>
      <c r="AN21" s="415"/>
      <c r="AO21" s="416"/>
      <c r="AP21" s="442"/>
      <c r="AQ21" s="421"/>
      <c r="AR21" s="416"/>
      <c r="AS21" s="417"/>
      <c r="AT21" s="415"/>
      <c r="AU21" s="416"/>
      <c r="AV21" s="442"/>
      <c r="AW21" s="421"/>
      <c r="AX21" s="416"/>
      <c r="AY21" s="417"/>
      <c r="AZ21" s="415"/>
      <c r="BA21" s="416"/>
      <c r="BB21" s="417"/>
      <c r="BE21" s="187">
        <v>19</v>
      </c>
      <c r="BF21" s="317" t="s">
        <v>381</v>
      </c>
      <c r="BG21" s="317"/>
      <c r="BH21" s="317" t="s">
        <v>716</v>
      </c>
      <c r="BI21" s="317"/>
      <c r="BJ21" s="317"/>
      <c r="BK21" s="318"/>
      <c r="BL21" s="215"/>
      <c r="BM21" s="209"/>
      <c r="BN21" s="209"/>
      <c r="BO21" s="209"/>
      <c r="BP21" s="209"/>
      <c r="BQ21" s="210"/>
      <c r="BR21" s="319"/>
      <c r="BS21" s="317"/>
      <c r="BT21" s="317"/>
      <c r="BU21" s="320"/>
      <c r="BW21" s="285" t="b">
        <v>0</v>
      </c>
      <c r="BX21" s="178" t="s">
        <v>99</v>
      </c>
      <c r="BY21" s="178"/>
      <c r="BZ21" s="178"/>
      <c r="CA21" s="194"/>
      <c r="CB21" s="193"/>
      <c r="CC21" s="178"/>
      <c r="CD21" s="178"/>
      <c r="CE21" s="178"/>
      <c r="CF21" s="178"/>
      <c r="CG21" s="178"/>
      <c r="CH21" s="178"/>
    </row>
    <row r="22" spans="2:86" ht="22.5" customHeight="1" thickTop="1">
      <c r="B22" s="338" t="s">
        <v>784</v>
      </c>
      <c r="C22" s="339"/>
      <c r="D22" s="339"/>
      <c r="E22" s="339"/>
      <c r="F22" s="340"/>
      <c r="G22" s="341">
        <v>1</v>
      </c>
      <c r="H22" s="341"/>
      <c r="I22" s="341"/>
      <c r="J22" s="341">
        <v>1</v>
      </c>
      <c r="K22" s="341"/>
      <c r="L22" s="341"/>
      <c r="M22" s="341"/>
      <c r="N22" s="341"/>
      <c r="O22" s="341"/>
      <c r="P22" s="341"/>
      <c r="Q22" s="341"/>
      <c r="R22" s="341"/>
      <c r="S22" s="341"/>
      <c r="T22" s="341"/>
      <c r="U22" s="341"/>
      <c r="V22" s="786"/>
      <c r="W22" s="786"/>
      <c r="X22" s="786"/>
      <c r="AB22" s="162"/>
      <c r="AC22" s="449"/>
      <c r="AD22" s="450"/>
      <c r="AE22" s="450"/>
      <c r="AF22" s="451"/>
      <c r="AG22" s="418" t="s">
        <v>235</v>
      </c>
      <c r="AH22" s="419"/>
      <c r="AI22" s="419"/>
      <c r="AJ22" s="420"/>
      <c r="AK22" s="462" t="str">
        <f>IFERROR((AK20+AK21)/AK17,"")</f>
        <v/>
      </c>
      <c r="AL22" s="463"/>
      <c r="AM22" s="464"/>
      <c r="AN22" s="462" t="str">
        <f>IFERROR((AN20+AN21)/AN17,"")</f>
        <v/>
      </c>
      <c r="AO22" s="463"/>
      <c r="AP22" s="464"/>
      <c r="AQ22" s="462" t="str">
        <f>IFERROR((AQ20+AQ21)/AQ17,"")</f>
        <v/>
      </c>
      <c r="AR22" s="463"/>
      <c r="AS22" s="464"/>
      <c r="AT22" s="462" t="str">
        <f>IFERROR((AT20+AT21)/AT17,"")</f>
        <v/>
      </c>
      <c r="AU22" s="463"/>
      <c r="AV22" s="464"/>
      <c r="AW22" s="462" t="str">
        <f>IFERROR((AW20+AW21)/AW17,"")</f>
        <v/>
      </c>
      <c r="AX22" s="463"/>
      <c r="AY22" s="464"/>
      <c r="AZ22" s="462" t="str">
        <f>IFERROR((AZ20+AZ21)/AZ17,"")</f>
        <v/>
      </c>
      <c r="BA22" s="463"/>
      <c r="BB22" s="464"/>
      <c r="BE22" s="187">
        <v>20</v>
      </c>
      <c r="BF22" s="317" t="s">
        <v>269</v>
      </c>
      <c r="BG22" s="317"/>
      <c r="BH22" s="317" t="s">
        <v>654</v>
      </c>
      <c r="BI22" s="317"/>
      <c r="BJ22" s="317"/>
      <c r="BK22" s="318"/>
      <c r="BL22" s="215"/>
      <c r="BM22" s="209"/>
      <c r="BN22" s="209"/>
      <c r="BO22" s="209"/>
      <c r="BP22" s="209"/>
      <c r="BQ22" s="210"/>
      <c r="BR22" s="319"/>
      <c r="BS22" s="317"/>
      <c r="BT22" s="317"/>
      <c r="BU22" s="320"/>
      <c r="BW22" s="285" t="b">
        <v>0</v>
      </c>
      <c r="BX22" s="192" t="s">
        <v>95</v>
      </c>
      <c r="BY22" s="178"/>
      <c r="BZ22" s="178"/>
      <c r="CA22" s="194"/>
      <c r="CB22" s="193"/>
      <c r="CC22" s="178"/>
      <c r="CD22" s="178"/>
      <c r="CE22" s="178"/>
      <c r="CF22" s="178"/>
      <c r="CG22" s="178"/>
      <c r="CH22" s="178"/>
    </row>
    <row r="23" spans="2:86" ht="22.5" customHeight="1">
      <c r="B23" s="896" t="s">
        <v>224</v>
      </c>
      <c r="C23" s="897"/>
      <c r="D23" s="897"/>
      <c r="E23" s="897"/>
      <c r="F23" s="898"/>
      <c r="G23" s="899"/>
      <c r="H23" s="899"/>
      <c r="I23" s="899"/>
      <c r="J23" s="899"/>
      <c r="K23" s="899"/>
      <c r="L23" s="899"/>
      <c r="M23" s="899"/>
      <c r="N23" s="899"/>
      <c r="O23" s="899"/>
      <c r="P23" s="899"/>
      <c r="Q23" s="899"/>
      <c r="R23" s="899"/>
      <c r="S23" s="899" t="str">
        <f ca="1">IFERROR(INDEX(INDIRECT("'"&amp;S$3&amp;"'!L:L"),MATCH($D$1,INDIRECT("'"&amp;S$3&amp;"'!A:A"),0)),"")</f>
        <v/>
      </c>
      <c r="T23" s="899"/>
      <c r="U23" s="899"/>
      <c r="V23" s="899" t="str">
        <f ca="1">IFERROR(INDEX(INDIRECT("'"&amp;#REF!&amp;"'!L:L"),MATCH($D$1,INDIRECT("'"&amp;#REF!&amp;"'!A:A"),0)),"")</f>
        <v/>
      </c>
      <c r="W23" s="899"/>
      <c r="X23" s="899"/>
      <c r="AB23" s="162"/>
      <c r="BE23" s="187">
        <v>21</v>
      </c>
      <c r="BF23" s="317" t="s">
        <v>269</v>
      </c>
      <c r="BG23" s="317"/>
      <c r="BH23" s="317" t="s">
        <v>655</v>
      </c>
      <c r="BI23" s="317"/>
      <c r="BJ23" s="317"/>
      <c r="BK23" s="318"/>
      <c r="BL23" s="215"/>
      <c r="BM23" s="209"/>
      <c r="BN23" s="209"/>
      <c r="BO23" s="209"/>
      <c r="BP23" s="209"/>
      <c r="BQ23" s="210"/>
      <c r="BR23" s="319"/>
      <c r="BS23" s="317"/>
      <c r="BT23" s="317"/>
      <c r="BU23" s="320"/>
      <c r="BW23" s="285" t="b">
        <v>0</v>
      </c>
      <c r="BX23" s="192" t="s">
        <v>94</v>
      </c>
      <c r="BY23" s="178"/>
      <c r="BZ23" s="178"/>
      <c r="CA23" s="194"/>
      <c r="CB23" s="193"/>
      <c r="CC23" s="178"/>
      <c r="CD23" s="178"/>
      <c r="CE23" s="178"/>
      <c r="CF23" s="178"/>
      <c r="CG23" s="178"/>
      <c r="CH23" s="178"/>
    </row>
    <row r="24" spans="2:86" ht="22.5" customHeight="1">
      <c r="B24" s="900" t="s">
        <v>34</v>
      </c>
      <c r="C24" s="901"/>
      <c r="D24" s="901"/>
      <c r="E24" s="901"/>
      <c r="F24" s="902"/>
      <c r="G24" s="903"/>
      <c r="H24" s="903"/>
      <c r="I24" s="903"/>
      <c r="J24" s="903"/>
      <c r="K24" s="903"/>
      <c r="L24" s="903"/>
      <c r="M24" s="903"/>
      <c r="N24" s="903"/>
      <c r="O24" s="903"/>
      <c r="P24" s="903"/>
      <c r="Q24" s="903"/>
      <c r="R24" s="903"/>
      <c r="S24" s="903"/>
      <c r="T24" s="903"/>
      <c r="U24" s="903"/>
      <c r="V24" s="903"/>
      <c r="W24" s="903"/>
      <c r="X24" s="903"/>
      <c r="AC24" s="182" t="s">
        <v>240</v>
      </c>
      <c r="AD24" s="182"/>
      <c r="AE24" s="182"/>
      <c r="AF24" s="182"/>
      <c r="AG24" s="182"/>
      <c r="AH24" s="182"/>
      <c r="AI24" s="183"/>
      <c r="AJ24" s="183"/>
      <c r="AK24" s="183"/>
      <c r="AL24" s="183"/>
      <c r="AM24" s="183"/>
      <c r="AN24" s="183"/>
      <c r="AO24" s="184"/>
      <c r="AP24" s="184"/>
      <c r="AQ24" s="184"/>
      <c r="AR24" s="184"/>
      <c r="AS24" s="185"/>
      <c r="AT24" s="185"/>
      <c r="AU24" s="185"/>
      <c r="AV24" s="185"/>
      <c r="AW24" s="186"/>
      <c r="AX24" s="186"/>
      <c r="AY24" s="186"/>
      <c r="AZ24" s="186"/>
      <c r="BA24" s="179"/>
      <c r="BB24" s="179"/>
      <c r="BE24" s="187">
        <v>22</v>
      </c>
      <c r="BF24" s="317"/>
      <c r="BG24" s="317"/>
      <c r="BH24" s="317"/>
      <c r="BI24" s="317"/>
      <c r="BJ24" s="317"/>
      <c r="BK24" s="318"/>
      <c r="BL24" s="215"/>
      <c r="BM24" s="209"/>
      <c r="BN24" s="209"/>
      <c r="BO24" s="209"/>
      <c r="BP24" s="209"/>
      <c r="BQ24" s="210"/>
      <c r="BR24" s="319"/>
      <c r="BS24" s="317"/>
      <c r="BT24" s="317"/>
      <c r="BU24" s="320"/>
      <c r="BW24" s="285" t="b">
        <v>0</v>
      </c>
      <c r="BX24" s="192" t="s">
        <v>93</v>
      </c>
      <c r="BY24" s="178"/>
      <c r="BZ24" s="178"/>
      <c r="CA24" s="194"/>
      <c r="CB24" s="193"/>
      <c r="CC24" s="178"/>
      <c r="CD24" s="178"/>
      <c r="CE24" s="178"/>
      <c r="CF24" s="178"/>
      <c r="CG24" s="178"/>
      <c r="CH24" s="178"/>
    </row>
    <row r="25" spans="2:86" ht="22.5" customHeight="1">
      <c r="B25" s="779"/>
      <c r="C25" s="779"/>
      <c r="D25" s="779"/>
      <c r="E25" s="779"/>
      <c r="F25" s="779"/>
      <c r="G25" s="780"/>
      <c r="H25" s="780"/>
      <c r="I25" s="780"/>
      <c r="J25" s="780"/>
      <c r="K25" s="780"/>
      <c r="L25" s="780"/>
      <c r="M25" s="780"/>
      <c r="N25" s="780"/>
      <c r="O25" s="780"/>
      <c r="P25" s="780"/>
      <c r="Q25" s="780"/>
      <c r="R25" s="780"/>
      <c r="S25" s="780"/>
      <c r="T25" s="780"/>
      <c r="U25" s="780"/>
      <c r="V25" s="713"/>
      <c r="W25" s="713"/>
      <c r="X25" s="713"/>
      <c r="AB25" s="167"/>
      <c r="AC25" s="473"/>
      <c r="AD25" s="474"/>
      <c r="AE25" s="377" t="s">
        <v>254</v>
      </c>
      <c r="AF25" s="378"/>
      <c r="AG25" s="378"/>
      <c r="AH25" s="379"/>
      <c r="AI25" s="380" t="s">
        <v>255</v>
      </c>
      <c r="AJ25" s="378"/>
      <c r="AK25" s="378"/>
      <c r="AL25" s="381"/>
      <c r="AM25" s="377" t="s">
        <v>58</v>
      </c>
      <c r="AN25" s="378"/>
      <c r="AO25" s="378"/>
      <c r="AP25" s="379"/>
      <c r="AQ25" s="380" t="s">
        <v>14</v>
      </c>
      <c r="AR25" s="378"/>
      <c r="AS25" s="378"/>
      <c r="AT25" s="381"/>
      <c r="AU25" s="377" t="s">
        <v>22</v>
      </c>
      <c r="AV25" s="378"/>
      <c r="AW25" s="378"/>
      <c r="AX25" s="379"/>
      <c r="AY25" s="380" t="s">
        <v>1</v>
      </c>
      <c r="AZ25" s="378"/>
      <c r="BA25" s="378"/>
      <c r="BB25" s="379"/>
      <c r="BE25" s="187">
        <v>23</v>
      </c>
      <c r="BF25" s="317"/>
      <c r="BG25" s="317"/>
      <c r="BH25" s="317"/>
      <c r="BI25" s="317"/>
      <c r="BJ25" s="317"/>
      <c r="BK25" s="318"/>
      <c r="BL25" s="215"/>
      <c r="BM25" s="209"/>
      <c r="BN25" s="209"/>
      <c r="BO25" s="209"/>
      <c r="BP25" s="209"/>
      <c r="BQ25" s="210"/>
      <c r="BR25" s="319"/>
      <c r="BS25" s="317"/>
      <c r="BT25" s="317"/>
      <c r="BU25" s="320"/>
      <c r="BW25" s="285" t="b">
        <v>0</v>
      </c>
      <c r="BX25" s="192" t="s">
        <v>92</v>
      </c>
      <c r="BY25" s="178"/>
      <c r="BZ25" s="178"/>
      <c r="CA25" s="194"/>
      <c r="CB25" s="193"/>
      <c r="CC25" s="178"/>
      <c r="CD25" s="178"/>
      <c r="CE25" s="178"/>
      <c r="CF25" s="178"/>
      <c r="CG25" s="178"/>
      <c r="CH25" s="178"/>
    </row>
    <row r="26" spans="2:86" ht="22.5" customHeight="1">
      <c r="B26" s="374" t="s">
        <v>787</v>
      </c>
      <c r="C26" s="375"/>
      <c r="D26" s="375"/>
      <c r="E26" s="375"/>
      <c r="F26" s="375"/>
      <c r="G26" s="375"/>
      <c r="H26" s="375"/>
      <c r="I26" s="376"/>
      <c r="J26" s="377" t="s">
        <v>254</v>
      </c>
      <c r="K26" s="378"/>
      <c r="L26" s="379"/>
      <c r="M26" s="380" t="s">
        <v>27</v>
      </c>
      <c r="N26" s="378"/>
      <c r="O26" s="381"/>
      <c r="P26" s="377" t="s">
        <v>226</v>
      </c>
      <c r="Q26" s="378"/>
      <c r="R26" s="379"/>
      <c r="S26" s="380" t="s">
        <v>14</v>
      </c>
      <c r="T26" s="378"/>
      <c r="U26" s="381"/>
      <c r="V26" s="377" t="s">
        <v>22</v>
      </c>
      <c r="W26" s="378"/>
      <c r="X26" s="379"/>
      <c r="Y26" s="380" t="s">
        <v>1</v>
      </c>
      <c r="Z26" s="378"/>
      <c r="AA26" s="379"/>
      <c r="AB26" s="167"/>
      <c r="AC26" s="475"/>
      <c r="AD26" s="476"/>
      <c r="AE26" s="458" t="s">
        <v>120</v>
      </c>
      <c r="AF26" s="459"/>
      <c r="AG26" s="459" t="s">
        <v>121</v>
      </c>
      <c r="AH26" s="460"/>
      <c r="AI26" s="470" t="s">
        <v>120</v>
      </c>
      <c r="AJ26" s="459"/>
      <c r="AK26" s="459" t="s">
        <v>121</v>
      </c>
      <c r="AL26" s="471"/>
      <c r="AM26" s="458" t="s">
        <v>120</v>
      </c>
      <c r="AN26" s="459"/>
      <c r="AO26" s="459" t="s">
        <v>121</v>
      </c>
      <c r="AP26" s="460"/>
      <c r="AQ26" s="470" t="s">
        <v>120</v>
      </c>
      <c r="AR26" s="459"/>
      <c r="AS26" s="459" t="s">
        <v>121</v>
      </c>
      <c r="AT26" s="471"/>
      <c r="AU26" s="458" t="s">
        <v>120</v>
      </c>
      <c r="AV26" s="459"/>
      <c r="AW26" s="459" t="s">
        <v>121</v>
      </c>
      <c r="AX26" s="460"/>
      <c r="AY26" s="470" t="s">
        <v>120</v>
      </c>
      <c r="AZ26" s="459"/>
      <c r="BA26" s="459" t="s">
        <v>121</v>
      </c>
      <c r="BB26" s="460"/>
      <c r="BE26" s="187">
        <v>24</v>
      </c>
      <c r="BF26" s="317"/>
      <c r="BG26" s="317"/>
      <c r="BH26" s="317"/>
      <c r="BI26" s="317"/>
      <c r="BJ26" s="317"/>
      <c r="BK26" s="318"/>
      <c r="BL26" s="215"/>
      <c r="BM26" s="209"/>
      <c r="BN26" s="209"/>
      <c r="BO26" s="209"/>
      <c r="BP26" s="209"/>
      <c r="BQ26" s="210"/>
      <c r="BR26" s="319"/>
      <c r="BS26" s="317"/>
      <c r="BT26" s="317"/>
      <c r="BU26" s="320"/>
      <c r="BW26" s="285" t="b">
        <v>0</v>
      </c>
      <c r="BX26" s="192" t="s">
        <v>91</v>
      </c>
      <c r="BY26" s="178"/>
      <c r="BZ26" s="178"/>
      <c r="CA26" s="194"/>
      <c r="CB26" s="193"/>
      <c r="CC26" s="178"/>
      <c r="CD26" s="178"/>
      <c r="CE26" s="178"/>
      <c r="CF26" s="178"/>
      <c r="CG26" s="178"/>
      <c r="CH26" s="178"/>
    </row>
    <row r="27" spans="2:86" ht="22.5" customHeight="1">
      <c r="B27" s="819" t="s">
        <v>790</v>
      </c>
      <c r="C27" s="820"/>
      <c r="D27" s="820"/>
      <c r="E27" s="821"/>
      <c r="F27" s="808" t="s">
        <v>50</v>
      </c>
      <c r="G27" s="809"/>
      <c r="H27" s="809"/>
      <c r="I27" s="810"/>
      <c r="J27" s="798"/>
      <c r="K27" s="799"/>
      <c r="L27" s="800"/>
      <c r="M27" s="801"/>
      <c r="N27" s="802"/>
      <c r="O27" s="803"/>
      <c r="P27" s="801"/>
      <c r="Q27" s="802"/>
      <c r="R27" s="803"/>
      <c r="S27" s="804"/>
      <c r="T27" s="790"/>
      <c r="U27" s="805"/>
      <c r="V27" s="789"/>
      <c r="W27" s="790"/>
      <c r="X27" s="791"/>
      <c r="Y27" s="804"/>
      <c r="Z27" s="790"/>
      <c r="AA27" s="791"/>
      <c r="AB27" s="167"/>
      <c r="AC27" s="324" t="s">
        <v>117</v>
      </c>
      <c r="AD27" s="467"/>
      <c r="AE27" s="468"/>
      <c r="AF27" s="469"/>
      <c r="AG27" s="469"/>
      <c r="AH27" s="489"/>
      <c r="AI27" s="482"/>
      <c r="AJ27" s="469"/>
      <c r="AK27" s="469"/>
      <c r="AL27" s="488"/>
      <c r="AM27" s="468"/>
      <c r="AN27" s="469"/>
      <c r="AO27" s="469"/>
      <c r="AP27" s="489"/>
      <c r="AQ27" s="482"/>
      <c r="AR27" s="469"/>
      <c r="AS27" s="469"/>
      <c r="AT27" s="488"/>
      <c r="AU27" s="468"/>
      <c r="AV27" s="469"/>
      <c r="AW27" s="469"/>
      <c r="AX27" s="489"/>
      <c r="AY27" s="482"/>
      <c r="AZ27" s="469"/>
      <c r="BA27" s="469"/>
      <c r="BB27" s="489"/>
      <c r="BE27" s="187">
        <v>25</v>
      </c>
      <c r="BF27" s="317"/>
      <c r="BG27" s="317"/>
      <c r="BH27" s="317"/>
      <c r="BI27" s="317"/>
      <c r="BJ27" s="317"/>
      <c r="BK27" s="318"/>
      <c r="BL27" s="215"/>
      <c r="BM27" s="209"/>
      <c r="BN27" s="209"/>
      <c r="BO27" s="209"/>
      <c r="BP27" s="209"/>
      <c r="BQ27" s="210"/>
      <c r="BR27" s="319"/>
      <c r="BS27" s="317"/>
      <c r="BT27" s="317"/>
      <c r="BU27" s="320"/>
      <c r="BW27" s="285" t="b">
        <v>0</v>
      </c>
      <c r="BX27" s="178" t="s">
        <v>90</v>
      </c>
      <c r="BY27" s="178"/>
      <c r="BZ27" s="178"/>
      <c r="CA27" s="194"/>
      <c r="CB27" s="193"/>
      <c r="CC27" s="178"/>
      <c r="CD27" s="178"/>
      <c r="CE27" s="178"/>
      <c r="CF27" s="178"/>
      <c r="CG27" s="178"/>
      <c r="CH27" s="178"/>
    </row>
    <row r="28" spans="2:86" ht="22.5" customHeight="1">
      <c r="B28" s="822"/>
      <c r="C28" s="823"/>
      <c r="D28" s="823"/>
      <c r="E28" s="824"/>
      <c r="F28" s="808" t="s">
        <v>50</v>
      </c>
      <c r="G28" s="809"/>
      <c r="H28" s="809"/>
      <c r="I28" s="810"/>
      <c r="J28" s="801"/>
      <c r="K28" s="802"/>
      <c r="L28" s="803"/>
      <c r="M28" s="801"/>
      <c r="N28" s="802"/>
      <c r="O28" s="803"/>
      <c r="P28" s="801"/>
      <c r="Q28" s="802"/>
      <c r="R28" s="803"/>
      <c r="S28" s="806"/>
      <c r="T28" s="793"/>
      <c r="U28" s="807"/>
      <c r="V28" s="792"/>
      <c r="W28" s="793"/>
      <c r="X28" s="794"/>
      <c r="Y28" s="806"/>
      <c r="Z28" s="793"/>
      <c r="AA28" s="794"/>
      <c r="AC28" s="486" t="s">
        <v>118</v>
      </c>
      <c r="AD28" s="487"/>
      <c r="AE28" s="427"/>
      <c r="AF28" s="426"/>
      <c r="AG28" s="426"/>
      <c r="AH28" s="428"/>
      <c r="AI28" s="423"/>
      <c r="AJ28" s="426"/>
      <c r="AK28" s="426"/>
      <c r="AL28" s="424"/>
      <c r="AM28" s="427"/>
      <c r="AN28" s="426"/>
      <c r="AO28" s="426"/>
      <c r="AP28" s="428"/>
      <c r="AQ28" s="423"/>
      <c r="AR28" s="426"/>
      <c r="AS28" s="426"/>
      <c r="AT28" s="424"/>
      <c r="AU28" s="427"/>
      <c r="AV28" s="426"/>
      <c r="AW28" s="426"/>
      <c r="AX28" s="428"/>
      <c r="AY28" s="423"/>
      <c r="AZ28" s="426"/>
      <c r="BA28" s="426"/>
      <c r="BB28" s="428"/>
      <c r="BE28" s="187">
        <v>26</v>
      </c>
      <c r="BF28" s="317"/>
      <c r="BG28" s="317"/>
      <c r="BH28" s="317"/>
      <c r="BI28" s="317"/>
      <c r="BJ28" s="317"/>
      <c r="BK28" s="318"/>
      <c r="BL28" s="215"/>
      <c r="BM28" s="209"/>
      <c r="BN28" s="209"/>
      <c r="BO28" s="209"/>
      <c r="BP28" s="209"/>
      <c r="BQ28" s="210"/>
      <c r="BR28" s="319"/>
      <c r="BS28" s="317"/>
      <c r="BT28" s="317"/>
      <c r="BU28" s="320"/>
      <c r="BW28" s="285" t="b">
        <v>0</v>
      </c>
      <c r="BX28" s="192" t="s">
        <v>101</v>
      </c>
      <c r="BY28" s="178"/>
      <c r="BZ28" s="178"/>
      <c r="CA28" s="194"/>
      <c r="CB28" s="193"/>
      <c r="CC28" s="178"/>
      <c r="CD28" s="178"/>
      <c r="CE28" s="178"/>
      <c r="CF28" s="178"/>
      <c r="CG28" s="178"/>
      <c r="CH28" s="178"/>
    </row>
    <row r="29" spans="2:86" ht="22.5" customHeight="1" thickBot="1">
      <c r="B29" s="825"/>
      <c r="C29" s="826"/>
      <c r="D29" s="826"/>
      <c r="E29" s="827"/>
      <c r="F29" s="811" t="s">
        <v>789</v>
      </c>
      <c r="G29" s="812"/>
      <c r="H29" s="812"/>
      <c r="I29" s="813"/>
      <c r="J29" s="795">
        <f>SUM(J27:L28)</f>
        <v>0</v>
      </c>
      <c r="K29" s="796"/>
      <c r="L29" s="797"/>
      <c r="M29" s="795">
        <f t="shared" ref="M29" si="20">SUM(M27:O28)</f>
        <v>0</v>
      </c>
      <c r="N29" s="796"/>
      <c r="O29" s="797"/>
      <c r="P29" s="795">
        <f t="shared" ref="P29" si="21">SUM(P27:R28)</f>
        <v>0</v>
      </c>
      <c r="Q29" s="796"/>
      <c r="R29" s="797"/>
      <c r="S29" s="814"/>
      <c r="T29" s="796"/>
      <c r="U29" s="830"/>
      <c r="V29" s="795"/>
      <c r="W29" s="796"/>
      <c r="X29" s="797"/>
      <c r="Y29" s="814"/>
      <c r="Z29" s="796"/>
      <c r="AA29" s="797"/>
      <c r="AC29" s="508" t="s">
        <v>119</v>
      </c>
      <c r="AD29" s="509"/>
      <c r="AE29" s="507"/>
      <c r="AF29" s="499"/>
      <c r="AG29" s="499"/>
      <c r="AH29" s="500"/>
      <c r="AI29" s="505"/>
      <c r="AJ29" s="499"/>
      <c r="AK29" s="499"/>
      <c r="AL29" s="506"/>
      <c r="AM29" s="507"/>
      <c r="AN29" s="499"/>
      <c r="AO29" s="499"/>
      <c r="AP29" s="500"/>
      <c r="AQ29" s="505"/>
      <c r="AR29" s="499"/>
      <c r="AS29" s="499"/>
      <c r="AT29" s="506"/>
      <c r="AU29" s="507"/>
      <c r="AV29" s="499"/>
      <c r="AW29" s="499"/>
      <c r="AX29" s="500"/>
      <c r="AY29" s="505"/>
      <c r="AZ29" s="499"/>
      <c r="BA29" s="499"/>
      <c r="BB29" s="500"/>
      <c r="BE29" s="187">
        <v>27</v>
      </c>
      <c r="BF29" s="317"/>
      <c r="BG29" s="317"/>
      <c r="BH29" s="317"/>
      <c r="BI29" s="317"/>
      <c r="BJ29" s="317"/>
      <c r="BK29" s="318"/>
      <c r="BL29" s="215"/>
      <c r="BM29" s="209"/>
      <c r="BN29" s="209"/>
      <c r="BO29" s="209"/>
      <c r="BP29" s="209"/>
      <c r="BQ29" s="210"/>
      <c r="BR29" s="319"/>
      <c r="BS29" s="317"/>
      <c r="BT29" s="317"/>
      <c r="BU29" s="320"/>
      <c r="BW29" s="285" t="b">
        <v>0</v>
      </c>
      <c r="BX29" s="192" t="s">
        <v>83</v>
      </c>
      <c r="BY29" s="178"/>
      <c r="BZ29" s="178"/>
      <c r="CA29" s="178"/>
      <c r="CB29" s="178"/>
      <c r="CC29" s="178"/>
      <c r="CD29" s="178"/>
      <c r="CE29" s="178"/>
      <c r="CF29" s="178"/>
      <c r="CG29" s="178"/>
      <c r="CH29" s="178"/>
    </row>
    <row r="30" spans="2:86" ht="22.5" customHeight="1" thickTop="1" thickBot="1">
      <c r="B30" s="818" t="s">
        <v>788</v>
      </c>
      <c r="C30" s="818"/>
      <c r="D30" s="818"/>
      <c r="E30" s="818"/>
      <c r="F30" s="439" t="s">
        <v>785</v>
      </c>
      <c r="G30" s="440"/>
      <c r="H30" s="440"/>
      <c r="I30" s="441"/>
      <c r="J30" s="792"/>
      <c r="K30" s="793"/>
      <c r="L30" s="794"/>
      <c r="M30" s="806"/>
      <c r="N30" s="793"/>
      <c r="O30" s="807"/>
      <c r="P30" s="792"/>
      <c r="Q30" s="793"/>
      <c r="R30" s="794"/>
      <c r="S30" s="806"/>
      <c r="T30" s="793"/>
      <c r="U30" s="807"/>
      <c r="V30" s="792"/>
      <c r="W30" s="793"/>
      <c r="X30" s="794"/>
      <c r="Y30" s="806"/>
      <c r="Z30" s="793"/>
      <c r="AA30" s="794"/>
      <c r="AC30" s="501" t="s">
        <v>108</v>
      </c>
      <c r="AD30" s="502"/>
      <c r="AE30" s="497" t="str">
        <f>IF(SUM(AE27:AE29)=0,"",SUM(AE27:AE29))</f>
        <v/>
      </c>
      <c r="AF30" s="495"/>
      <c r="AG30" s="495" t="str">
        <f>IF(SUM(AG27:AG29)=0,"",SUM(AG27:AG29))</f>
        <v/>
      </c>
      <c r="AH30" s="498"/>
      <c r="AI30" s="497" t="str">
        <f>IF(SUM(AI27:AI29)=0,"",SUM(AI27:AI29))</f>
        <v/>
      </c>
      <c r="AJ30" s="495"/>
      <c r="AK30" s="495" t="str">
        <f>IF(SUM(AK27:AK29)=0,"",SUM(AK27:AK29))</f>
        <v/>
      </c>
      <c r="AL30" s="498"/>
      <c r="AM30" s="497" t="str">
        <f>IF(SUM(AM27:AM29)=0,"",SUM(AM27:AM29))</f>
        <v/>
      </c>
      <c r="AN30" s="495"/>
      <c r="AO30" s="495" t="str">
        <f>IF(SUM(AO27:AO29)=0,"",SUM(AO27:AO29))</f>
        <v/>
      </c>
      <c r="AP30" s="498"/>
      <c r="AQ30" s="494" t="str">
        <f>IF(SUM(AQ27:AQ29)=0,"",SUM(AQ27:AQ29))</f>
        <v/>
      </c>
      <c r="AR30" s="495"/>
      <c r="AS30" s="495" t="str">
        <f>IF(SUM(AS27:AS29)=0,"",SUM(AS27:AS29))</f>
        <v/>
      </c>
      <c r="AT30" s="496"/>
      <c r="AU30" s="497" t="str">
        <f>IF(SUM(AU27:AU29)=0,"",SUM(AU27:AU29))</f>
        <v/>
      </c>
      <c r="AV30" s="495"/>
      <c r="AW30" s="495" t="str">
        <f>IF(SUM(AW27:AW29)=0,"",SUM(AW27:AW29))</f>
        <v/>
      </c>
      <c r="AX30" s="498"/>
      <c r="AY30" s="494" t="str">
        <f>IF(SUM(AY27:AY29)=0,"",SUM(AY27:AY29))</f>
        <v/>
      </c>
      <c r="AZ30" s="495"/>
      <c r="BA30" s="495" t="str">
        <f>IF(SUM(BA27:BA29)=0,"",SUM(BA27:BA29))</f>
        <v/>
      </c>
      <c r="BB30" s="498"/>
      <c r="BE30" s="187">
        <v>28</v>
      </c>
      <c r="BF30" s="317"/>
      <c r="BG30" s="317"/>
      <c r="BH30" s="317"/>
      <c r="BI30" s="317"/>
      <c r="BJ30" s="317"/>
      <c r="BK30" s="318"/>
      <c r="BL30" s="215"/>
      <c r="BM30" s="209"/>
      <c r="BN30" s="209"/>
      <c r="BO30" s="209"/>
      <c r="BP30" s="209"/>
      <c r="BQ30" s="210"/>
      <c r="BR30" s="319"/>
      <c r="BS30" s="317"/>
      <c r="BT30" s="317"/>
      <c r="BU30" s="320"/>
      <c r="BW30" s="285" t="b">
        <v>0</v>
      </c>
      <c r="BX30" s="192" t="s">
        <v>84</v>
      </c>
      <c r="BY30" s="195"/>
      <c r="BZ30" s="196"/>
      <c r="CA30" s="196"/>
      <c r="CB30" s="196"/>
      <c r="CC30" s="196"/>
      <c r="CD30" s="196"/>
      <c r="CE30" s="196"/>
      <c r="CF30" s="196"/>
      <c r="CG30" s="196"/>
      <c r="CH30" s="178"/>
    </row>
    <row r="31" spans="2:86" ht="22.5" customHeight="1" thickBot="1">
      <c r="B31" s="818"/>
      <c r="C31" s="818"/>
      <c r="D31" s="818"/>
      <c r="E31" s="818"/>
      <c r="F31" s="443" t="s">
        <v>786</v>
      </c>
      <c r="G31" s="444"/>
      <c r="H31" s="444"/>
      <c r="I31" s="445"/>
      <c r="J31" s="828"/>
      <c r="K31" s="816"/>
      <c r="L31" s="817"/>
      <c r="M31" s="815"/>
      <c r="N31" s="816"/>
      <c r="O31" s="829"/>
      <c r="P31" s="828"/>
      <c r="Q31" s="816"/>
      <c r="R31" s="817"/>
      <c r="S31" s="815"/>
      <c r="T31" s="816"/>
      <c r="U31" s="829"/>
      <c r="V31" s="828"/>
      <c r="W31" s="816"/>
      <c r="X31" s="817"/>
      <c r="Y31" s="815"/>
      <c r="Z31" s="816"/>
      <c r="AA31" s="817"/>
      <c r="AC31" s="550" t="s">
        <v>122</v>
      </c>
      <c r="AD31" s="551"/>
      <c r="AE31" s="536" t="str">
        <f>IFERROR(AG30/AE30,"")</f>
        <v/>
      </c>
      <c r="AF31" s="537"/>
      <c r="AG31" s="537"/>
      <c r="AH31" s="538"/>
      <c r="AI31" s="539" t="str">
        <f>IFERROR(AK30/AI30,"")</f>
        <v/>
      </c>
      <c r="AJ31" s="537"/>
      <c r="AK31" s="537"/>
      <c r="AL31" s="540"/>
      <c r="AM31" s="536" t="str">
        <f t="shared" ref="AM31" si="22">IFERROR(AO30/AM30,"")</f>
        <v/>
      </c>
      <c r="AN31" s="537"/>
      <c r="AO31" s="537"/>
      <c r="AP31" s="538"/>
      <c r="AQ31" s="539" t="str">
        <f>IFERROR(AS30/AQ30,"")</f>
        <v/>
      </c>
      <c r="AR31" s="537"/>
      <c r="AS31" s="537"/>
      <c r="AT31" s="540"/>
      <c r="AU31" s="536" t="str">
        <f t="shared" ref="AU31" si="23">IFERROR(AW30/AU30,"")</f>
        <v/>
      </c>
      <c r="AV31" s="537"/>
      <c r="AW31" s="537"/>
      <c r="AX31" s="538"/>
      <c r="AY31" s="539" t="str">
        <f t="shared" ref="AY31" si="24">IFERROR(BA30/AY30,"")</f>
        <v/>
      </c>
      <c r="AZ31" s="537"/>
      <c r="BA31" s="537"/>
      <c r="BB31" s="538"/>
      <c r="BE31" s="187">
        <v>29</v>
      </c>
      <c r="BF31" s="317"/>
      <c r="BG31" s="317"/>
      <c r="BH31" s="317"/>
      <c r="BI31" s="317"/>
      <c r="BJ31" s="317"/>
      <c r="BK31" s="318"/>
      <c r="BL31" s="215"/>
      <c r="BM31" s="209"/>
      <c r="BN31" s="209"/>
      <c r="BO31" s="209"/>
      <c r="BP31" s="209"/>
      <c r="BQ31" s="210"/>
      <c r="BR31" s="319"/>
      <c r="BS31" s="317"/>
      <c r="BT31" s="317"/>
      <c r="BU31" s="320"/>
      <c r="BW31" s="285" t="b">
        <v>0</v>
      </c>
      <c r="BX31" s="192" t="s">
        <v>85</v>
      </c>
      <c r="BY31" s="195"/>
      <c r="BZ31" s="196"/>
      <c r="CA31" s="196"/>
      <c r="CB31" s="196"/>
      <c r="CC31" s="196"/>
      <c r="CD31" s="196"/>
      <c r="CE31" s="196"/>
      <c r="CF31" s="196"/>
      <c r="CG31" s="196"/>
      <c r="CH31" s="178"/>
    </row>
    <row r="32" spans="2:86" ht="22.5" customHeight="1" thickTop="1">
      <c r="B32" s="257"/>
      <c r="C32" s="258"/>
      <c r="D32" s="258"/>
      <c r="E32" s="259"/>
      <c r="F32" s="418"/>
      <c r="G32" s="419"/>
      <c r="H32" s="419"/>
      <c r="I32" s="420"/>
      <c r="J32" s="462"/>
      <c r="K32" s="463"/>
      <c r="L32" s="464"/>
      <c r="M32" s="462"/>
      <c r="N32" s="463"/>
      <c r="O32" s="464"/>
      <c r="P32" s="462"/>
      <c r="Q32" s="463"/>
      <c r="R32" s="464"/>
      <c r="S32" s="462"/>
      <c r="T32" s="463"/>
      <c r="U32" s="464"/>
      <c r="V32" s="462"/>
      <c r="W32" s="463"/>
      <c r="X32" s="464"/>
      <c r="Y32" s="462"/>
      <c r="Z32" s="463"/>
      <c r="AA32" s="464"/>
      <c r="AC32" s="486" t="s">
        <v>124</v>
      </c>
      <c r="AD32" s="487"/>
      <c r="AE32" s="580"/>
      <c r="AF32" s="581"/>
      <c r="AG32" s="581"/>
      <c r="AH32" s="582"/>
      <c r="AI32" s="583"/>
      <c r="AJ32" s="581"/>
      <c r="AK32" s="581"/>
      <c r="AL32" s="584"/>
      <c r="AM32" s="580"/>
      <c r="AN32" s="581"/>
      <c r="AO32" s="581"/>
      <c r="AP32" s="582"/>
      <c r="AQ32" s="583"/>
      <c r="AR32" s="581"/>
      <c r="AS32" s="581"/>
      <c r="AT32" s="584"/>
      <c r="AU32" s="580"/>
      <c r="AV32" s="581"/>
      <c r="AW32" s="581"/>
      <c r="AX32" s="582"/>
      <c r="AY32" s="583"/>
      <c r="AZ32" s="581"/>
      <c r="BA32" s="581"/>
      <c r="BB32" s="582"/>
      <c r="BE32" s="188">
        <v>30</v>
      </c>
      <c r="BF32" s="534"/>
      <c r="BG32" s="534"/>
      <c r="BH32" s="534"/>
      <c r="BI32" s="534"/>
      <c r="BJ32" s="534"/>
      <c r="BK32" s="742"/>
      <c r="BL32" s="216"/>
      <c r="BM32" s="213"/>
      <c r="BN32" s="213"/>
      <c r="BO32" s="213"/>
      <c r="BP32" s="213"/>
      <c r="BQ32" s="214"/>
      <c r="BR32" s="707"/>
      <c r="BS32" s="534"/>
      <c r="BT32" s="534"/>
      <c r="BU32" s="535"/>
      <c r="BW32" s="285" t="b">
        <v>0</v>
      </c>
      <c r="BX32" s="178" t="s">
        <v>65</v>
      </c>
      <c r="BY32" s="195"/>
      <c r="BZ32" s="196"/>
      <c r="CA32" s="196"/>
      <c r="CB32" s="196"/>
      <c r="CC32" s="196"/>
      <c r="CD32" s="196"/>
      <c r="CE32" s="196"/>
      <c r="CF32" s="196"/>
      <c r="CG32" s="196"/>
      <c r="CH32" s="178"/>
    </row>
    <row r="33" spans="2:87" ht="22.5" customHeight="1">
      <c r="B33" s="178"/>
      <c r="C33" s="178"/>
      <c r="D33" s="178"/>
      <c r="E33" s="178"/>
      <c r="F33" s="178"/>
      <c r="G33" s="588"/>
      <c r="H33" s="588"/>
      <c r="I33" s="588"/>
      <c r="J33" s="588"/>
      <c r="K33" s="588"/>
      <c r="L33" s="588"/>
      <c r="M33" s="588"/>
      <c r="N33" s="588"/>
      <c r="O33" s="588"/>
      <c r="P33" s="588"/>
      <c r="Q33" s="588"/>
      <c r="R33" s="588"/>
      <c r="S33" s="588"/>
      <c r="T33" s="588"/>
      <c r="U33" s="588"/>
      <c r="V33" s="588"/>
      <c r="W33" s="588"/>
      <c r="X33" s="588"/>
      <c r="AC33" s="575" t="s">
        <v>123</v>
      </c>
      <c r="AD33" s="576"/>
      <c r="AE33" s="552" t="str">
        <f>IFERROR(AE32/AG30,"")</f>
        <v/>
      </c>
      <c r="AF33" s="553"/>
      <c r="AG33" s="553"/>
      <c r="AH33" s="554"/>
      <c r="AI33" s="552" t="str">
        <f>IFERROR(AI32/AK30,"")</f>
        <v/>
      </c>
      <c r="AJ33" s="553"/>
      <c r="AK33" s="553"/>
      <c r="AL33" s="554"/>
      <c r="AM33" s="552" t="str">
        <f>IFERROR(AM32/AO30,"")</f>
        <v/>
      </c>
      <c r="AN33" s="553"/>
      <c r="AO33" s="553"/>
      <c r="AP33" s="554"/>
      <c r="AQ33" s="552" t="str">
        <f>IFERROR(AQ32/AS30,"")</f>
        <v/>
      </c>
      <c r="AR33" s="553"/>
      <c r="AS33" s="553"/>
      <c r="AT33" s="554"/>
      <c r="AU33" s="552" t="str">
        <f>IFERROR(AU32/AW30,"")</f>
        <v/>
      </c>
      <c r="AV33" s="553"/>
      <c r="AW33" s="553"/>
      <c r="AX33" s="554"/>
      <c r="AY33" s="552" t="str">
        <f>IFERROR(AY32/BA30,"")</f>
        <v/>
      </c>
      <c r="AZ33" s="553"/>
      <c r="BA33" s="553"/>
      <c r="BB33" s="554"/>
      <c r="BL33" s="589" t="s">
        <v>125</v>
      </c>
      <c r="BM33" s="590"/>
      <c r="BN33" s="591"/>
      <c r="BO33" s="555" t="str">
        <f>IF(COUNTA(BH3:BH32)=0,"",
IF(COUNTIF(BN3:BN32,"完")/COUNTA(BH3:BH32)&gt;=0.8,"A",
IF(COUNTIF(BN3:BN32,"完")/COUNTA(BH3:BH32)&gt;=0.5,"B",
IF(COUNTIF(BN3:BN32,"完")/COUNTA(BH3:BH32)&gt;=0.3,"C",
IF(COUNTIF(BN3:BN32,"完")/COUNTA(BH3:BH32)&gt;=0.1,"D","E")))))</f>
        <v>E</v>
      </c>
      <c r="BP33" s="556"/>
      <c r="BQ33" s="556"/>
      <c r="BR33" s="557"/>
      <c r="BS33" s="561">
        <f>IF(COUNTA(BH3:BH32)=0,"",COUNTIF(BN3:BN32,"完")/COUNTA(BH3:BH32))</f>
        <v>0</v>
      </c>
      <c r="BT33" s="562"/>
      <c r="BU33" s="563"/>
      <c r="BW33" s="285" t="b">
        <v>0</v>
      </c>
      <c r="BX33" s="178" t="s">
        <v>96</v>
      </c>
      <c r="BY33" s="178"/>
      <c r="BZ33" s="178"/>
      <c r="CA33" s="178"/>
      <c r="CB33" s="178"/>
      <c r="CC33" s="178"/>
      <c r="CD33" s="196"/>
      <c r="CE33" s="196"/>
      <c r="CF33" s="196"/>
      <c r="CG33" s="196"/>
      <c r="CH33" s="178"/>
    </row>
    <row r="34" spans="2:87" ht="22.5" customHeight="1">
      <c r="BL34" s="592"/>
      <c r="BM34" s="593"/>
      <c r="BN34" s="594"/>
      <c r="BO34" s="558"/>
      <c r="BP34" s="559"/>
      <c r="BQ34" s="559"/>
      <c r="BR34" s="560"/>
      <c r="BS34" s="564"/>
      <c r="BT34" s="565"/>
      <c r="BU34" s="566"/>
      <c r="BY34" s="178"/>
      <c r="BZ34" s="178"/>
      <c r="CA34" s="178"/>
      <c r="CB34" s="178"/>
      <c r="CC34" s="178"/>
      <c r="CD34" s="178"/>
      <c r="CE34" s="178"/>
      <c r="CF34" s="178"/>
      <c r="CG34" s="196"/>
      <c r="CH34" s="196"/>
      <c r="CI34" s="178"/>
    </row>
    <row r="35" spans="2:87" ht="22.5" customHeight="1">
      <c r="B35" s="567" t="s">
        <v>38</v>
      </c>
      <c r="C35" s="568"/>
      <c r="D35" s="568"/>
      <c r="E35" s="568"/>
      <c r="F35" s="568"/>
      <c r="G35" s="568"/>
      <c r="H35" s="568"/>
      <c r="I35" s="568"/>
      <c r="J35" s="568"/>
      <c r="K35" s="568"/>
      <c r="L35" s="568"/>
      <c r="M35" s="568"/>
      <c r="N35" s="568"/>
      <c r="O35" s="568"/>
      <c r="P35" s="568"/>
      <c r="Q35" s="568"/>
      <c r="R35" s="568"/>
      <c r="S35" s="568"/>
      <c r="T35" s="568"/>
      <c r="U35" s="569"/>
      <c r="V35" s="570">
        <f>IF(COUNT(J37:J66)=0,"",AVERAGE(J37:J66))</f>
        <v>3.1</v>
      </c>
      <c r="W35" s="571"/>
      <c r="X35" s="572"/>
      <c r="Y35" s="573" t="s">
        <v>39</v>
      </c>
      <c r="Z35" s="568"/>
      <c r="AA35" s="568"/>
      <c r="AB35" s="568"/>
      <c r="AC35" s="568"/>
      <c r="AD35" s="568"/>
      <c r="AE35" s="568"/>
      <c r="AF35" s="568"/>
      <c r="AG35" s="569"/>
      <c r="AH35" s="574"/>
      <c r="AI35" s="436"/>
      <c r="AJ35" s="438"/>
      <c r="AL35" s="160" t="s">
        <v>59</v>
      </c>
      <c r="BW35" s="181" t="s">
        <v>950</v>
      </c>
      <c r="BX35" s="179"/>
      <c r="BY35" s="179"/>
      <c r="BZ35" s="179"/>
      <c r="CA35" s="179"/>
      <c r="CB35" s="179"/>
      <c r="CC35" s="179"/>
      <c r="CD35" s="179"/>
      <c r="CE35" s="179"/>
      <c r="CF35" s="186"/>
      <c r="CG35" s="186"/>
      <c r="CH35" s="179"/>
    </row>
    <row r="36" spans="2:87" ht="22.5" customHeight="1">
      <c r="B36" s="458" t="s">
        <v>41</v>
      </c>
      <c r="C36" s="459"/>
      <c r="D36" s="459"/>
      <c r="E36" s="459"/>
      <c r="F36" s="459"/>
      <c r="G36" s="459"/>
      <c r="H36" s="459"/>
      <c r="I36" s="459"/>
      <c r="J36" s="459" t="s">
        <v>42</v>
      </c>
      <c r="K36" s="459"/>
      <c r="L36" s="459" t="s">
        <v>43</v>
      </c>
      <c r="M36" s="459"/>
      <c r="N36" s="459"/>
      <c r="O36" s="459"/>
      <c r="P36" s="459"/>
      <c r="Q36" s="459"/>
      <c r="R36" s="459"/>
      <c r="S36" s="459" t="s">
        <v>44</v>
      </c>
      <c r="T36" s="459"/>
      <c r="U36" s="459"/>
      <c r="V36" s="459"/>
      <c r="W36" s="459"/>
      <c r="X36" s="460"/>
      <c r="Y36" s="598" t="s">
        <v>45</v>
      </c>
      <c r="Z36" s="599"/>
      <c r="AA36" s="599"/>
      <c r="AB36" s="599"/>
      <c r="AC36" s="599"/>
      <c r="AD36" s="459" t="s">
        <v>260</v>
      </c>
      <c r="AE36" s="459"/>
      <c r="AF36" s="459" t="s">
        <v>46</v>
      </c>
      <c r="AG36" s="459"/>
      <c r="AH36" s="459"/>
      <c r="AI36" s="459"/>
      <c r="AJ36" s="460"/>
      <c r="AL36" s="182" t="s">
        <v>247</v>
      </c>
      <c r="AM36" s="182"/>
      <c r="AN36" s="182"/>
      <c r="AO36" s="182"/>
      <c r="AP36" s="182"/>
      <c r="AQ36" s="182"/>
      <c r="AR36" s="183"/>
      <c r="AS36" s="183"/>
      <c r="AT36" s="183"/>
      <c r="AU36" s="183"/>
      <c r="AV36" s="183"/>
      <c r="AW36" s="183"/>
      <c r="AX36" s="183"/>
      <c r="AY36" s="179"/>
      <c r="AZ36" s="179"/>
      <c r="BA36" s="179"/>
      <c r="BB36" s="179"/>
      <c r="BC36" s="179"/>
      <c r="BD36" s="179"/>
      <c r="BE36" s="179"/>
      <c r="BF36" s="179"/>
      <c r="BG36" s="179"/>
      <c r="BH36" s="179"/>
      <c r="BI36" s="179"/>
      <c r="BK36" s="406" t="s">
        <v>244</v>
      </c>
      <c r="BL36" s="406"/>
      <c r="BM36" s="406"/>
      <c r="BN36" s="406"/>
      <c r="BO36" s="406"/>
      <c r="BP36" s="406"/>
      <c r="BQ36" s="406" t="s">
        <v>64</v>
      </c>
      <c r="BR36" s="406"/>
      <c r="BS36" s="406"/>
      <c r="BT36" s="406"/>
      <c r="BU36" s="406"/>
      <c r="BW36" s="285" t="b">
        <v>0</v>
      </c>
      <c r="BX36" s="192" t="s">
        <v>102</v>
      </c>
      <c r="BY36" s="178"/>
      <c r="BZ36" s="178"/>
      <c r="CA36" s="178"/>
      <c r="CB36" s="178"/>
      <c r="CC36" s="178"/>
      <c r="CD36" s="196"/>
      <c r="CE36" s="196"/>
      <c r="CF36" s="196"/>
      <c r="CG36" s="196"/>
      <c r="CH36" s="178"/>
    </row>
    <row r="37" spans="2:87" ht="22.5" customHeight="1">
      <c r="B37" s="324">
        <v>101</v>
      </c>
      <c r="C37" s="325"/>
      <c r="D37" s="531" t="s">
        <v>696</v>
      </c>
      <c r="E37" s="531" t="s">
        <v>696</v>
      </c>
      <c r="F37" s="531" t="s">
        <v>696</v>
      </c>
      <c r="G37" s="531" t="s">
        <v>696</v>
      </c>
      <c r="H37" s="531" t="s">
        <v>696</v>
      </c>
      <c r="I37" s="531" t="s">
        <v>696</v>
      </c>
      <c r="J37" s="469">
        <v>3</v>
      </c>
      <c r="K37" s="469">
        <v>3</v>
      </c>
      <c r="L37" s="595"/>
      <c r="M37" s="595"/>
      <c r="N37" s="595"/>
      <c r="O37" s="595"/>
      <c r="P37" s="595"/>
      <c r="Q37" s="595"/>
      <c r="R37" s="595"/>
      <c r="S37" s="208"/>
      <c r="T37" s="595"/>
      <c r="U37" s="595"/>
      <c r="V37" s="595"/>
      <c r="W37" s="595"/>
      <c r="X37" s="596"/>
      <c r="Y37" s="597"/>
      <c r="Z37" s="531"/>
      <c r="AA37" s="531"/>
      <c r="AB37" s="531"/>
      <c r="AC37" s="531"/>
      <c r="AD37" s="531"/>
      <c r="AE37" s="531"/>
      <c r="AF37" s="531"/>
      <c r="AG37" s="531"/>
      <c r="AH37" s="531"/>
      <c r="AI37" s="531"/>
      <c r="AJ37" s="532"/>
      <c r="AL37" s="600" t="s">
        <v>27</v>
      </c>
      <c r="AM37" s="600"/>
      <c r="AN37" s="600" t="s">
        <v>58</v>
      </c>
      <c r="AO37" s="600"/>
      <c r="AP37" s="600" t="s">
        <v>14</v>
      </c>
      <c r="AQ37" s="600"/>
      <c r="AR37" s="600" t="s">
        <v>22</v>
      </c>
      <c r="AS37" s="600"/>
      <c r="AT37" s="600" t="s">
        <v>1</v>
      </c>
      <c r="AU37" s="600"/>
      <c r="AV37" s="600" t="s">
        <v>18</v>
      </c>
      <c r="AW37" s="600"/>
      <c r="AX37" s="600" t="s">
        <v>28</v>
      </c>
      <c r="AY37" s="600"/>
      <c r="AZ37" s="600" t="s">
        <v>24</v>
      </c>
      <c r="BA37" s="600"/>
      <c r="BB37" s="600" t="s">
        <v>16</v>
      </c>
      <c r="BC37" s="600"/>
      <c r="BD37" s="600" t="s">
        <v>67</v>
      </c>
      <c r="BE37" s="600"/>
      <c r="BF37" s="600" t="s">
        <v>20</v>
      </c>
      <c r="BG37" s="600"/>
      <c r="BH37" s="600" t="s">
        <v>68</v>
      </c>
      <c r="BI37" s="600"/>
      <c r="BK37" s="601"/>
      <c r="BL37" s="601"/>
      <c r="BM37" s="601"/>
      <c r="BN37" s="601"/>
      <c r="BO37" s="601"/>
      <c r="BP37" s="601"/>
      <c r="BQ37" s="602" t="b">
        <v>0</v>
      </c>
      <c r="BR37" s="603"/>
      <c r="BS37" s="603"/>
      <c r="BT37" s="603"/>
      <c r="BU37" s="604"/>
      <c r="BV37" s="170"/>
      <c r="BW37" s="285" t="b">
        <v>0</v>
      </c>
      <c r="BX37" s="192" t="s">
        <v>86</v>
      </c>
      <c r="BY37" s="178"/>
      <c r="BZ37" s="178"/>
      <c r="CA37" s="178"/>
      <c r="CB37" s="178"/>
      <c r="CC37" s="178"/>
      <c r="CD37" s="196"/>
      <c r="CE37" s="196"/>
      <c r="CF37" s="196"/>
      <c r="CG37" s="196"/>
      <c r="CH37" s="178"/>
    </row>
    <row r="38" spans="2:87" ht="22.5" customHeight="1">
      <c r="B38" s="486">
        <v>102</v>
      </c>
      <c r="C38" s="606"/>
      <c r="D38" s="317" t="s">
        <v>697</v>
      </c>
      <c r="E38" s="317" t="s">
        <v>697</v>
      </c>
      <c r="F38" s="317" t="s">
        <v>697</v>
      </c>
      <c r="G38" s="317" t="s">
        <v>697</v>
      </c>
      <c r="H38" s="317" t="s">
        <v>697</v>
      </c>
      <c r="I38" s="317" t="s">
        <v>697</v>
      </c>
      <c r="J38" s="426">
        <v>3</v>
      </c>
      <c r="K38" s="426">
        <v>3</v>
      </c>
      <c r="L38" s="607"/>
      <c r="M38" s="607"/>
      <c r="N38" s="607"/>
      <c r="O38" s="607"/>
      <c r="P38" s="607"/>
      <c r="Q38" s="607"/>
      <c r="R38" s="607"/>
      <c r="S38" s="209"/>
      <c r="T38" s="607"/>
      <c r="U38" s="607"/>
      <c r="V38" s="607"/>
      <c r="W38" s="607"/>
      <c r="X38" s="608"/>
      <c r="Y38" s="319"/>
      <c r="Z38" s="317"/>
      <c r="AA38" s="317"/>
      <c r="AB38" s="317"/>
      <c r="AC38" s="317"/>
      <c r="AD38" s="317"/>
      <c r="AE38" s="317"/>
      <c r="AF38" s="317"/>
      <c r="AG38" s="317"/>
      <c r="AH38" s="317"/>
      <c r="AI38" s="317"/>
      <c r="AJ38" s="32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v>21</v>
      </c>
      <c r="BI38" s="330"/>
      <c r="BK38" s="605"/>
      <c r="BL38" s="605"/>
      <c r="BM38" s="605"/>
      <c r="BN38" s="605"/>
      <c r="BO38" s="605"/>
      <c r="BP38" s="605"/>
      <c r="BQ38" s="609" t="b">
        <v>0</v>
      </c>
      <c r="BR38" s="610"/>
      <c r="BS38" s="610"/>
      <c r="BT38" s="610"/>
      <c r="BU38" s="611"/>
      <c r="BV38" s="170"/>
      <c r="BW38" s="285" t="b">
        <v>0</v>
      </c>
      <c r="BX38" s="192" t="s">
        <v>87</v>
      </c>
      <c r="BY38" s="178"/>
      <c r="BZ38" s="178"/>
      <c r="CA38" s="178"/>
      <c r="CB38" s="178"/>
      <c r="CC38" s="178"/>
      <c r="CD38" s="196"/>
      <c r="CE38" s="196"/>
      <c r="CF38" s="196"/>
      <c r="CG38" s="196"/>
      <c r="CH38" s="178"/>
    </row>
    <row r="39" spans="2:87" ht="22.5" customHeight="1">
      <c r="B39" s="486">
        <v>103</v>
      </c>
      <c r="C39" s="606"/>
      <c r="D39" s="317" t="s">
        <v>698</v>
      </c>
      <c r="E39" s="317" t="s">
        <v>698</v>
      </c>
      <c r="F39" s="317" t="s">
        <v>698</v>
      </c>
      <c r="G39" s="317" t="s">
        <v>698</v>
      </c>
      <c r="H39" s="317" t="s">
        <v>698</v>
      </c>
      <c r="I39" s="317" t="s">
        <v>698</v>
      </c>
      <c r="J39" s="426">
        <v>3</v>
      </c>
      <c r="K39" s="426">
        <v>3</v>
      </c>
      <c r="L39" s="607"/>
      <c r="M39" s="607"/>
      <c r="N39" s="607"/>
      <c r="O39" s="607"/>
      <c r="P39" s="607"/>
      <c r="Q39" s="607"/>
      <c r="R39" s="607"/>
      <c r="S39" s="209"/>
      <c r="T39" s="607"/>
      <c r="U39" s="607"/>
      <c r="V39" s="607"/>
      <c r="W39" s="607"/>
      <c r="X39" s="608"/>
      <c r="Y39" s="319"/>
      <c r="Z39" s="317"/>
      <c r="AA39" s="317"/>
      <c r="AB39" s="317"/>
      <c r="AC39" s="317"/>
      <c r="AD39" s="317"/>
      <c r="AE39" s="317"/>
      <c r="AF39" s="317"/>
      <c r="AG39" s="317"/>
      <c r="AH39" s="317"/>
      <c r="AI39" s="317"/>
      <c r="AJ39" s="320"/>
      <c r="BK39" s="605"/>
      <c r="BL39" s="605"/>
      <c r="BM39" s="605"/>
      <c r="BN39" s="605"/>
      <c r="BO39" s="605"/>
      <c r="BP39" s="605"/>
      <c r="BQ39" s="609" t="b">
        <v>0</v>
      </c>
      <c r="BR39" s="610"/>
      <c r="BS39" s="610"/>
      <c r="BT39" s="610"/>
      <c r="BU39" s="611"/>
      <c r="BW39" s="285" t="b">
        <v>0</v>
      </c>
      <c r="BX39" s="192" t="s">
        <v>88</v>
      </c>
      <c r="BY39" s="178"/>
      <c r="BZ39" s="178"/>
      <c r="CA39" s="178"/>
      <c r="CB39" s="178"/>
      <c r="CC39" s="178"/>
      <c r="CD39" s="196"/>
      <c r="CE39" s="196"/>
      <c r="CF39" s="196"/>
      <c r="CG39" s="196"/>
      <c r="CH39" s="178"/>
    </row>
    <row r="40" spans="2:87" ht="22.5" customHeight="1">
      <c r="B40" s="486">
        <v>104</v>
      </c>
      <c r="C40" s="606"/>
      <c r="D40" s="317" t="s">
        <v>699</v>
      </c>
      <c r="E40" s="317" t="s">
        <v>699</v>
      </c>
      <c r="F40" s="317" t="s">
        <v>699</v>
      </c>
      <c r="G40" s="317" t="s">
        <v>699</v>
      </c>
      <c r="H40" s="317" t="s">
        <v>699</v>
      </c>
      <c r="I40" s="317" t="s">
        <v>699</v>
      </c>
      <c r="J40" s="426">
        <v>4</v>
      </c>
      <c r="K40" s="426">
        <v>4</v>
      </c>
      <c r="L40" s="607"/>
      <c r="M40" s="607"/>
      <c r="N40" s="607"/>
      <c r="O40" s="607"/>
      <c r="P40" s="607"/>
      <c r="Q40" s="607"/>
      <c r="R40" s="607"/>
      <c r="S40" s="209"/>
      <c r="T40" s="607"/>
      <c r="U40" s="607"/>
      <c r="V40" s="607"/>
      <c r="W40" s="607"/>
      <c r="X40" s="608"/>
      <c r="Y40" s="319"/>
      <c r="Z40" s="317"/>
      <c r="AA40" s="317"/>
      <c r="AB40" s="317"/>
      <c r="AC40" s="317"/>
      <c r="AD40" s="317"/>
      <c r="AE40" s="317"/>
      <c r="AF40" s="317"/>
      <c r="AG40" s="317"/>
      <c r="AH40" s="317"/>
      <c r="AI40" s="317"/>
      <c r="AJ40" s="320"/>
      <c r="AL40" s="182" t="s">
        <v>248</v>
      </c>
      <c r="AM40" s="182"/>
      <c r="AN40" s="182"/>
      <c r="AO40" s="182"/>
      <c r="AP40" s="182"/>
      <c r="AQ40" s="182"/>
      <c r="AR40" s="183"/>
      <c r="AS40" s="183"/>
      <c r="AT40" s="183"/>
      <c r="AU40" s="183"/>
      <c r="AV40" s="183"/>
      <c r="AW40" s="183"/>
      <c r="AX40" s="183"/>
      <c r="AY40" s="179"/>
      <c r="AZ40" s="179"/>
      <c r="BA40" s="179"/>
      <c r="BB40" s="179"/>
      <c r="BC40" s="179"/>
      <c r="BD40" s="179"/>
      <c r="BE40" s="179"/>
      <c r="BF40" s="179"/>
      <c r="BG40" s="179"/>
      <c r="BH40" s="179"/>
      <c r="BI40" s="179"/>
      <c r="BK40" s="605"/>
      <c r="BL40" s="605"/>
      <c r="BM40" s="605"/>
      <c r="BN40" s="605"/>
      <c r="BO40" s="605"/>
      <c r="BP40" s="605"/>
      <c r="BQ40" s="609" t="b">
        <v>0</v>
      </c>
      <c r="BR40" s="610"/>
      <c r="BS40" s="610"/>
      <c r="BT40" s="610"/>
      <c r="BU40" s="611"/>
      <c r="BW40" s="285" t="b">
        <v>0</v>
      </c>
      <c r="BX40" s="192" t="s">
        <v>89</v>
      </c>
      <c r="BY40" s="178"/>
      <c r="BZ40" s="178"/>
      <c r="CA40" s="178"/>
      <c r="CB40" s="178"/>
      <c r="CC40" s="178"/>
      <c r="CD40" s="196"/>
      <c r="CE40" s="196"/>
      <c r="CF40" s="196"/>
      <c r="CG40" s="196"/>
      <c r="CH40" s="178"/>
    </row>
    <row r="41" spans="2:87" ht="22.5" customHeight="1">
      <c r="B41" s="486">
        <v>105</v>
      </c>
      <c r="C41" s="606"/>
      <c r="D41" s="317" t="s">
        <v>700</v>
      </c>
      <c r="E41" s="317" t="s">
        <v>700</v>
      </c>
      <c r="F41" s="317" t="s">
        <v>700</v>
      </c>
      <c r="G41" s="317" t="s">
        <v>700</v>
      </c>
      <c r="H41" s="317" t="s">
        <v>700</v>
      </c>
      <c r="I41" s="317" t="s">
        <v>700</v>
      </c>
      <c r="J41" s="426">
        <v>4</v>
      </c>
      <c r="K41" s="426">
        <v>4</v>
      </c>
      <c r="L41" s="607"/>
      <c r="M41" s="607"/>
      <c r="N41" s="607"/>
      <c r="O41" s="607"/>
      <c r="P41" s="607"/>
      <c r="Q41" s="607"/>
      <c r="R41" s="607"/>
      <c r="S41" s="209"/>
      <c r="T41" s="607"/>
      <c r="U41" s="607"/>
      <c r="V41" s="607"/>
      <c r="W41" s="607"/>
      <c r="X41" s="608"/>
      <c r="Y41" s="319"/>
      <c r="Z41" s="317"/>
      <c r="AA41" s="317"/>
      <c r="AB41" s="317"/>
      <c r="AC41" s="317"/>
      <c r="AD41" s="317"/>
      <c r="AE41" s="317"/>
      <c r="AF41" s="317"/>
      <c r="AG41" s="317"/>
      <c r="AH41" s="317"/>
      <c r="AI41" s="317"/>
      <c r="AJ41" s="320"/>
      <c r="AL41" s="600" t="s">
        <v>27</v>
      </c>
      <c r="AM41" s="600"/>
      <c r="AN41" s="600" t="s">
        <v>58</v>
      </c>
      <c r="AO41" s="600"/>
      <c r="AP41" s="600" t="s">
        <v>14</v>
      </c>
      <c r="AQ41" s="600"/>
      <c r="AR41" s="600" t="s">
        <v>22</v>
      </c>
      <c r="AS41" s="600"/>
      <c r="AT41" s="600" t="s">
        <v>1</v>
      </c>
      <c r="AU41" s="600"/>
      <c r="AV41" s="600" t="s">
        <v>18</v>
      </c>
      <c r="AW41" s="600"/>
      <c r="AX41" s="600" t="s">
        <v>28</v>
      </c>
      <c r="AY41" s="600"/>
      <c r="AZ41" s="600" t="s">
        <v>24</v>
      </c>
      <c r="BA41" s="600"/>
      <c r="BB41" s="600" t="s">
        <v>16</v>
      </c>
      <c r="BC41" s="600"/>
      <c r="BD41" s="600" t="s">
        <v>67</v>
      </c>
      <c r="BE41" s="600"/>
      <c r="BF41" s="600" t="s">
        <v>20</v>
      </c>
      <c r="BG41" s="600"/>
      <c r="BH41" s="600" t="s">
        <v>68</v>
      </c>
      <c r="BI41" s="600"/>
      <c r="BK41" s="605"/>
      <c r="BL41" s="605"/>
      <c r="BM41" s="605"/>
      <c r="BN41" s="605"/>
      <c r="BO41" s="605"/>
      <c r="BP41" s="605"/>
      <c r="BQ41" s="609" t="b">
        <v>0</v>
      </c>
      <c r="BR41" s="610"/>
      <c r="BS41" s="610"/>
      <c r="BT41" s="610"/>
      <c r="BU41" s="611"/>
      <c r="BW41" s="285" t="b">
        <v>0</v>
      </c>
      <c r="BX41" s="192" t="s">
        <v>103</v>
      </c>
      <c r="BY41" s="178"/>
      <c r="BZ41" s="178"/>
      <c r="CA41" s="178"/>
      <c r="CB41" s="178"/>
      <c r="CC41" s="178"/>
      <c r="CD41" s="196"/>
      <c r="CE41" s="196"/>
      <c r="CF41" s="196"/>
      <c r="CG41" s="196"/>
      <c r="CH41" s="178"/>
    </row>
    <row r="42" spans="2:87" ht="22.5" customHeight="1">
      <c r="B42" s="486">
        <v>106</v>
      </c>
      <c r="C42" s="606"/>
      <c r="D42" s="317"/>
      <c r="E42" s="317"/>
      <c r="F42" s="317"/>
      <c r="G42" s="317"/>
      <c r="H42" s="317"/>
      <c r="I42" s="317"/>
      <c r="J42" s="426"/>
      <c r="K42" s="426"/>
      <c r="L42" s="607"/>
      <c r="M42" s="607"/>
      <c r="N42" s="607"/>
      <c r="O42" s="607"/>
      <c r="P42" s="607"/>
      <c r="Q42" s="607"/>
      <c r="R42" s="607"/>
      <c r="S42" s="209"/>
      <c r="T42" s="607"/>
      <c r="U42" s="607"/>
      <c r="V42" s="607"/>
      <c r="W42" s="607"/>
      <c r="X42" s="608"/>
      <c r="Y42" s="319"/>
      <c r="Z42" s="317"/>
      <c r="AA42" s="317"/>
      <c r="AB42" s="317"/>
      <c r="AC42" s="317"/>
      <c r="AD42" s="317"/>
      <c r="AE42" s="317"/>
      <c r="AF42" s="317"/>
      <c r="AG42" s="317"/>
      <c r="AH42" s="317"/>
      <c r="AI42" s="317"/>
      <c r="AJ42" s="320"/>
      <c r="AL42" s="330"/>
      <c r="AM42" s="330"/>
      <c r="AN42" s="330"/>
      <c r="AO42" s="330"/>
      <c r="AP42" s="330"/>
      <c r="AQ42" s="330"/>
      <c r="AR42" s="330"/>
      <c r="AS42" s="330"/>
      <c r="AT42" s="330"/>
      <c r="AU42" s="330"/>
      <c r="AV42" s="330"/>
      <c r="AW42" s="330"/>
      <c r="AX42" s="330"/>
      <c r="AY42" s="330"/>
      <c r="AZ42" s="330"/>
      <c r="BA42" s="330"/>
      <c r="BB42" s="330"/>
      <c r="BC42" s="330"/>
      <c r="BD42" s="330"/>
      <c r="BE42" s="330"/>
      <c r="BF42" s="330"/>
      <c r="BG42" s="330"/>
      <c r="BH42" s="330"/>
      <c r="BI42" s="330"/>
      <c r="BK42" s="612"/>
      <c r="BL42" s="612"/>
      <c r="BM42" s="612"/>
      <c r="BN42" s="612"/>
      <c r="BO42" s="612"/>
      <c r="BP42" s="612"/>
      <c r="BQ42" s="613" t="b">
        <v>0</v>
      </c>
      <c r="BR42" s="614"/>
      <c r="BS42" s="614"/>
      <c r="BT42" s="614"/>
      <c r="BU42" s="615"/>
      <c r="BW42" s="285" t="b">
        <v>0</v>
      </c>
      <c r="BX42" s="192" t="s">
        <v>82</v>
      </c>
      <c r="BY42" s="178"/>
      <c r="BZ42" s="178"/>
      <c r="CA42" s="178"/>
      <c r="CB42" s="178"/>
      <c r="CC42" s="178"/>
      <c r="CD42" s="196"/>
      <c r="CE42" s="196"/>
      <c r="CF42" s="196"/>
      <c r="CG42" s="196"/>
      <c r="CH42" s="178"/>
    </row>
    <row r="43" spans="2:87" ht="22.5" customHeight="1">
      <c r="B43" s="486">
        <v>107</v>
      </c>
      <c r="C43" s="606"/>
      <c r="D43" s="317"/>
      <c r="E43" s="317"/>
      <c r="F43" s="317"/>
      <c r="G43" s="317"/>
      <c r="H43" s="317"/>
      <c r="I43" s="317"/>
      <c r="J43" s="426"/>
      <c r="K43" s="426"/>
      <c r="L43" s="607"/>
      <c r="M43" s="607"/>
      <c r="N43" s="607"/>
      <c r="O43" s="607"/>
      <c r="P43" s="607"/>
      <c r="Q43" s="607"/>
      <c r="R43" s="607"/>
      <c r="S43" s="209"/>
      <c r="T43" s="607"/>
      <c r="U43" s="607"/>
      <c r="V43" s="607"/>
      <c r="W43" s="607"/>
      <c r="X43" s="608"/>
      <c r="Y43" s="319"/>
      <c r="Z43" s="317"/>
      <c r="AA43" s="317"/>
      <c r="AB43" s="317"/>
      <c r="AC43" s="317"/>
      <c r="AD43" s="317"/>
      <c r="AE43" s="317"/>
      <c r="AF43" s="317"/>
      <c r="AG43" s="317"/>
      <c r="AH43" s="317"/>
      <c r="AI43" s="317"/>
      <c r="AJ43" s="320"/>
      <c r="AL43" s="171"/>
      <c r="AM43" s="171"/>
      <c r="AN43" s="171"/>
      <c r="AO43" s="171"/>
      <c r="AP43" s="171"/>
      <c r="AQ43" s="171"/>
      <c r="AR43" s="171"/>
      <c r="AS43" s="171"/>
      <c r="AT43" s="171"/>
      <c r="AU43" s="171"/>
      <c r="AV43" s="171"/>
      <c r="AW43" s="171"/>
      <c r="AX43" s="171"/>
      <c r="AY43" s="171"/>
      <c r="AZ43" s="171"/>
      <c r="BA43" s="171"/>
      <c r="BB43" s="171"/>
      <c r="BC43" s="171"/>
      <c r="BD43" s="171"/>
      <c r="BE43" s="171"/>
      <c r="BF43" s="171"/>
      <c r="BG43" s="171"/>
      <c r="BH43" s="171"/>
      <c r="BI43" s="171"/>
      <c r="BV43" s="164"/>
    </row>
    <row r="44" spans="2:87" ht="22.5" customHeight="1">
      <c r="B44" s="486">
        <v>108</v>
      </c>
      <c r="C44" s="606"/>
      <c r="D44" s="317"/>
      <c r="E44" s="317"/>
      <c r="F44" s="317"/>
      <c r="G44" s="317"/>
      <c r="H44" s="317"/>
      <c r="I44" s="317"/>
      <c r="J44" s="426"/>
      <c r="K44" s="426"/>
      <c r="L44" s="607"/>
      <c r="M44" s="607"/>
      <c r="N44" s="607"/>
      <c r="O44" s="607"/>
      <c r="P44" s="607"/>
      <c r="Q44" s="607"/>
      <c r="R44" s="607"/>
      <c r="S44" s="209"/>
      <c r="T44" s="607"/>
      <c r="U44" s="607"/>
      <c r="V44" s="607"/>
      <c r="W44" s="607"/>
      <c r="X44" s="608"/>
      <c r="Y44" s="319"/>
      <c r="Z44" s="317"/>
      <c r="AA44" s="317"/>
      <c r="AB44" s="317"/>
      <c r="AC44" s="317"/>
      <c r="AD44" s="317"/>
      <c r="AE44" s="317"/>
      <c r="AF44" s="317"/>
      <c r="AG44" s="317"/>
      <c r="AH44" s="317"/>
      <c r="AI44" s="317"/>
      <c r="AJ44" s="320"/>
      <c r="AL44" s="179" t="s">
        <v>246</v>
      </c>
      <c r="AM44" s="179"/>
      <c r="AN44" s="179"/>
      <c r="AO44" s="179"/>
      <c r="AP44" s="179"/>
      <c r="AQ44" s="179"/>
      <c r="AR44" s="179"/>
      <c r="AS44" s="179"/>
      <c r="AT44" s="179"/>
      <c r="AU44" s="179"/>
      <c r="AV44" s="179"/>
      <c r="AW44" s="179"/>
      <c r="AX44" s="179"/>
      <c r="AY44" s="179"/>
      <c r="AZ44" s="179"/>
      <c r="BA44" s="179"/>
      <c r="BB44" s="179"/>
      <c r="BC44" s="179"/>
      <c r="BD44" s="179"/>
      <c r="BE44" s="179"/>
      <c r="BF44" s="179"/>
      <c r="BG44" s="179"/>
      <c r="BH44" s="179"/>
      <c r="BI44" s="179"/>
      <c r="BJ44" s="163"/>
      <c r="BK44" s="163"/>
      <c r="BL44" s="163"/>
      <c r="BM44" s="163"/>
      <c r="BN44" s="163"/>
      <c r="BO44" s="163"/>
      <c r="BP44" s="163"/>
      <c r="BQ44" s="163"/>
      <c r="BR44" s="163"/>
      <c r="BS44" s="163"/>
      <c r="BT44" s="163"/>
      <c r="BU44" s="163"/>
      <c r="BV44" s="164"/>
      <c r="BW44" s="179" t="s">
        <v>75</v>
      </c>
      <c r="BX44" s="179"/>
      <c r="BY44" s="179"/>
      <c r="BZ44" s="179"/>
      <c r="CA44" s="179"/>
      <c r="CB44" s="179"/>
      <c r="CC44" s="179"/>
      <c r="CD44" s="179"/>
      <c r="CE44" s="179"/>
      <c r="CF44" s="179"/>
      <c r="CG44" s="179"/>
      <c r="CH44" s="179"/>
    </row>
    <row r="45" spans="2:87" ht="22.5" customHeight="1">
      <c r="B45" s="486">
        <v>109</v>
      </c>
      <c r="C45" s="606"/>
      <c r="D45" s="317"/>
      <c r="E45" s="317"/>
      <c r="F45" s="317"/>
      <c r="G45" s="317"/>
      <c r="H45" s="317"/>
      <c r="I45" s="317"/>
      <c r="J45" s="426"/>
      <c r="K45" s="426"/>
      <c r="L45" s="607"/>
      <c r="M45" s="607"/>
      <c r="N45" s="607"/>
      <c r="O45" s="607"/>
      <c r="P45" s="607"/>
      <c r="Q45" s="607"/>
      <c r="R45" s="607"/>
      <c r="S45" s="209"/>
      <c r="T45" s="607"/>
      <c r="U45" s="607"/>
      <c r="V45" s="607"/>
      <c r="W45" s="607"/>
      <c r="X45" s="608"/>
      <c r="Y45" s="616"/>
      <c r="Z45" s="617"/>
      <c r="AA45" s="617"/>
      <c r="AB45" s="617"/>
      <c r="AC45" s="617"/>
      <c r="AD45" s="317"/>
      <c r="AE45" s="317"/>
      <c r="AF45" s="317"/>
      <c r="AG45" s="317"/>
      <c r="AH45" s="317"/>
      <c r="AI45" s="317"/>
      <c r="AJ45" s="320"/>
      <c r="AL45" s="618" t="s">
        <v>27</v>
      </c>
      <c r="AM45" s="618"/>
      <c r="AN45" s="618" t="s">
        <v>58</v>
      </c>
      <c r="AO45" s="618"/>
      <c r="AP45" s="618" t="s">
        <v>14</v>
      </c>
      <c r="AQ45" s="618"/>
      <c r="AR45" s="618" t="s">
        <v>22</v>
      </c>
      <c r="AS45" s="618"/>
      <c r="AT45" s="618" t="s">
        <v>1</v>
      </c>
      <c r="AU45" s="618"/>
      <c r="AV45" s="618" t="s">
        <v>18</v>
      </c>
      <c r="AW45" s="618"/>
      <c r="AX45" s="618" t="s">
        <v>28</v>
      </c>
      <c r="AY45" s="618"/>
      <c r="AZ45" s="618" t="s">
        <v>24</v>
      </c>
      <c r="BA45" s="618"/>
      <c r="BB45" s="618" t="s">
        <v>16</v>
      </c>
      <c r="BC45" s="618"/>
      <c r="BD45" s="618" t="s">
        <v>67</v>
      </c>
      <c r="BE45" s="618"/>
      <c r="BF45" s="618" t="s">
        <v>20</v>
      </c>
      <c r="BG45" s="618"/>
      <c r="BH45" s="618" t="s">
        <v>68</v>
      </c>
      <c r="BI45" s="618"/>
      <c r="BK45" s="630" t="s">
        <v>108</v>
      </c>
      <c r="BL45" s="631"/>
      <c r="BM45" s="634">
        <f>SUM(AL46:BI46)</f>
        <v>0</v>
      </c>
      <c r="BN45" s="635"/>
      <c r="BO45" s="636"/>
      <c r="BP45" s="640" t="s">
        <v>107</v>
      </c>
      <c r="BQ45" s="641"/>
      <c r="BR45" s="631"/>
      <c r="BS45" s="642" t="str">
        <f>IF(OR(BP46="",ISBLANK(BP46)),"",
IF(BP46&gt;=5,"A",
IF(BP46&gt;=4,"B",
IF(BP46&gt;=3,"C",
IF(BP46&gt;=1,"D","E")))))</f>
        <v/>
      </c>
      <c r="BT45" s="556"/>
      <c r="BU45" s="557"/>
      <c r="BV45" s="164"/>
      <c r="BW45" s="619"/>
      <c r="BX45" s="620"/>
      <c r="BY45" s="620"/>
      <c r="BZ45" s="620"/>
      <c r="CA45" s="620"/>
      <c r="CB45" s="620"/>
      <c r="CC45" s="620"/>
      <c r="CD45" s="620"/>
      <c r="CE45" s="620"/>
      <c r="CF45" s="620"/>
      <c r="CG45" s="620"/>
      <c r="CH45" s="621"/>
    </row>
    <row r="46" spans="2:87" ht="22.5" customHeight="1" thickBot="1">
      <c r="B46" s="622">
        <v>110</v>
      </c>
      <c r="C46" s="623"/>
      <c r="D46" s="624"/>
      <c r="E46" s="624"/>
      <c r="F46" s="624"/>
      <c r="G46" s="624"/>
      <c r="H46" s="624"/>
      <c r="I46" s="624"/>
      <c r="J46" s="625"/>
      <c r="K46" s="625"/>
      <c r="L46" s="626"/>
      <c r="M46" s="626"/>
      <c r="N46" s="626"/>
      <c r="O46" s="626"/>
      <c r="P46" s="626"/>
      <c r="Q46" s="626"/>
      <c r="R46" s="626"/>
      <c r="S46" s="211"/>
      <c r="T46" s="626"/>
      <c r="U46" s="626"/>
      <c r="V46" s="626"/>
      <c r="W46" s="626"/>
      <c r="X46" s="627"/>
      <c r="Y46" s="628"/>
      <c r="Z46" s="624"/>
      <c r="AA46" s="624"/>
      <c r="AB46" s="624"/>
      <c r="AC46" s="624"/>
      <c r="AD46" s="624"/>
      <c r="AE46" s="624"/>
      <c r="AF46" s="624"/>
      <c r="AG46" s="624"/>
      <c r="AH46" s="624"/>
      <c r="AI46" s="624"/>
      <c r="AJ46" s="629"/>
      <c r="AL46" s="330"/>
      <c r="AM46" s="330"/>
      <c r="AN46" s="330"/>
      <c r="AO46" s="330"/>
      <c r="AP46" s="330"/>
      <c r="AQ46" s="330"/>
      <c r="AR46" s="330"/>
      <c r="AS46" s="330"/>
      <c r="AT46" s="330"/>
      <c r="AU46" s="330"/>
      <c r="AV46" s="330"/>
      <c r="AW46" s="330"/>
      <c r="AX46" s="330"/>
      <c r="AY46" s="330"/>
      <c r="AZ46" s="330"/>
      <c r="BA46" s="330"/>
      <c r="BB46" s="330"/>
      <c r="BC46" s="330"/>
      <c r="BD46" s="330"/>
      <c r="BE46" s="330"/>
      <c r="BF46" s="330"/>
      <c r="BG46" s="330"/>
      <c r="BH46" s="330"/>
      <c r="BI46" s="330"/>
      <c r="BK46" s="632"/>
      <c r="BL46" s="633"/>
      <c r="BM46" s="637"/>
      <c r="BN46" s="638"/>
      <c r="BO46" s="639"/>
      <c r="BP46" s="652" t="str">
        <f>IF(COUNT(AL46:BI46)=0,"",ROUND(AVERAGE(AL46:BI46),1))</f>
        <v/>
      </c>
      <c r="BQ46" s="653"/>
      <c r="BR46" s="654"/>
      <c r="BS46" s="643"/>
      <c r="BT46" s="559"/>
      <c r="BU46" s="560"/>
      <c r="BV46" s="164"/>
      <c r="BW46" s="644"/>
      <c r="BX46" s="607"/>
      <c r="BY46" s="607"/>
      <c r="BZ46" s="607"/>
      <c r="CA46" s="607"/>
      <c r="CB46" s="607"/>
      <c r="CC46" s="607"/>
      <c r="CD46" s="607"/>
      <c r="CE46" s="607"/>
      <c r="CF46" s="607"/>
      <c r="CG46" s="607"/>
      <c r="CH46" s="608"/>
    </row>
    <row r="47" spans="2:87" ht="22.5" customHeight="1">
      <c r="B47" s="550">
        <v>201</v>
      </c>
      <c r="C47" s="645"/>
      <c r="D47" s="646" t="s">
        <v>701</v>
      </c>
      <c r="E47" s="646" t="s">
        <v>701</v>
      </c>
      <c r="F47" s="646" t="s">
        <v>701</v>
      </c>
      <c r="G47" s="646" t="s">
        <v>701</v>
      </c>
      <c r="H47" s="646" t="s">
        <v>701</v>
      </c>
      <c r="I47" s="646" t="s">
        <v>701</v>
      </c>
      <c r="J47" s="647">
        <v>3</v>
      </c>
      <c r="K47" s="647">
        <v>3</v>
      </c>
      <c r="L47" s="648"/>
      <c r="M47" s="648"/>
      <c r="N47" s="648"/>
      <c r="O47" s="648"/>
      <c r="P47" s="648"/>
      <c r="Q47" s="648"/>
      <c r="R47" s="648"/>
      <c r="S47" s="212"/>
      <c r="T47" s="648"/>
      <c r="U47" s="648"/>
      <c r="V47" s="648"/>
      <c r="W47" s="648"/>
      <c r="X47" s="649"/>
      <c r="Y47" s="650"/>
      <c r="Z47" s="646"/>
      <c r="AA47" s="646"/>
      <c r="AB47" s="646"/>
      <c r="AC47" s="646"/>
      <c r="AD47" s="646"/>
      <c r="AE47" s="646"/>
      <c r="AF47" s="646"/>
      <c r="AG47" s="646"/>
      <c r="AH47" s="646"/>
      <c r="AI47" s="646"/>
      <c r="AJ47" s="651"/>
      <c r="BV47" s="164"/>
      <c r="BW47" s="644"/>
      <c r="BX47" s="607"/>
      <c r="BY47" s="607"/>
      <c r="BZ47" s="607"/>
      <c r="CA47" s="607"/>
      <c r="CB47" s="607"/>
      <c r="CC47" s="607"/>
      <c r="CD47" s="607"/>
      <c r="CE47" s="607"/>
      <c r="CF47" s="607"/>
      <c r="CG47" s="607"/>
      <c r="CH47" s="608"/>
    </row>
    <row r="48" spans="2:87" ht="22.5" customHeight="1">
      <c r="B48" s="486">
        <v>202</v>
      </c>
      <c r="C48" s="606"/>
      <c r="D48" s="317" t="s">
        <v>702</v>
      </c>
      <c r="E48" s="317" t="s">
        <v>702</v>
      </c>
      <c r="F48" s="317" t="s">
        <v>702</v>
      </c>
      <c r="G48" s="317" t="s">
        <v>702</v>
      </c>
      <c r="H48" s="317" t="s">
        <v>702</v>
      </c>
      <c r="I48" s="317" t="s">
        <v>702</v>
      </c>
      <c r="J48" s="426">
        <v>3</v>
      </c>
      <c r="K48" s="426">
        <v>3</v>
      </c>
      <c r="L48" s="607"/>
      <c r="M48" s="607"/>
      <c r="N48" s="607"/>
      <c r="O48" s="607"/>
      <c r="P48" s="607"/>
      <c r="Q48" s="607"/>
      <c r="R48" s="607"/>
      <c r="S48" s="209"/>
      <c r="T48" s="607"/>
      <c r="U48" s="607"/>
      <c r="V48" s="607"/>
      <c r="W48" s="607"/>
      <c r="X48" s="608"/>
      <c r="Y48" s="319"/>
      <c r="Z48" s="317"/>
      <c r="AA48" s="317"/>
      <c r="AB48" s="317"/>
      <c r="AC48" s="317"/>
      <c r="AD48" s="317"/>
      <c r="AE48" s="317"/>
      <c r="AF48" s="317"/>
      <c r="AG48" s="317"/>
      <c r="AH48" s="317"/>
      <c r="AI48" s="317"/>
      <c r="AJ48" s="320"/>
      <c r="AL48" s="182" t="s">
        <v>241</v>
      </c>
      <c r="AM48" s="182"/>
      <c r="AN48" s="182"/>
      <c r="AO48" s="182"/>
      <c r="AP48" s="182"/>
      <c r="AQ48" s="182"/>
      <c r="AR48" s="183"/>
      <c r="AS48" s="183"/>
      <c r="AT48" s="183"/>
      <c r="AU48" s="183"/>
      <c r="AV48" s="183"/>
      <c r="AW48" s="183"/>
      <c r="AX48" s="184"/>
      <c r="AY48" s="184"/>
      <c r="AZ48" s="184"/>
      <c r="BA48" s="184"/>
      <c r="BB48" s="185"/>
      <c r="BC48" s="185"/>
      <c r="BD48" s="185"/>
      <c r="BE48" s="185"/>
      <c r="BF48" s="186"/>
      <c r="BG48" s="186"/>
      <c r="BH48" s="186"/>
      <c r="BI48" s="186"/>
      <c r="BJ48" s="163"/>
      <c r="BK48" s="163"/>
      <c r="BL48" s="163"/>
      <c r="BM48" s="163"/>
      <c r="BN48" s="163"/>
      <c r="BO48" s="163"/>
      <c r="BP48" s="163"/>
      <c r="BQ48" s="163"/>
      <c r="BR48" s="163"/>
      <c r="BS48" s="163"/>
      <c r="BT48" s="163"/>
      <c r="BU48" s="163"/>
      <c r="BV48" s="164"/>
      <c r="BW48" s="644"/>
      <c r="BX48" s="607"/>
      <c r="BY48" s="607"/>
      <c r="BZ48" s="607"/>
      <c r="CA48" s="607"/>
      <c r="CB48" s="607"/>
      <c r="CC48" s="607"/>
      <c r="CD48" s="607"/>
      <c r="CE48" s="607"/>
      <c r="CF48" s="607"/>
      <c r="CG48" s="607"/>
      <c r="CH48" s="608"/>
    </row>
    <row r="49" spans="2:86" ht="22.5" customHeight="1">
      <c r="B49" s="486">
        <v>203</v>
      </c>
      <c r="C49" s="606"/>
      <c r="D49" s="317" t="s">
        <v>703</v>
      </c>
      <c r="E49" s="317" t="s">
        <v>703</v>
      </c>
      <c r="F49" s="317" t="s">
        <v>703</v>
      </c>
      <c r="G49" s="317" t="s">
        <v>703</v>
      </c>
      <c r="H49" s="317" t="s">
        <v>703</v>
      </c>
      <c r="I49" s="317" t="s">
        <v>703</v>
      </c>
      <c r="J49" s="426">
        <v>3</v>
      </c>
      <c r="K49" s="426">
        <v>3</v>
      </c>
      <c r="L49" s="607"/>
      <c r="M49" s="607"/>
      <c r="N49" s="607"/>
      <c r="O49" s="607"/>
      <c r="P49" s="607"/>
      <c r="Q49" s="607"/>
      <c r="R49" s="607"/>
      <c r="S49" s="209"/>
      <c r="T49" s="607"/>
      <c r="U49" s="607"/>
      <c r="V49" s="607"/>
      <c r="W49" s="607"/>
      <c r="X49" s="608"/>
      <c r="Y49" s="319"/>
      <c r="Z49" s="317"/>
      <c r="AA49" s="317"/>
      <c r="AB49" s="317"/>
      <c r="AC49" s="317"/>
      <c r="AD49" s="317"/>
      <c r="AE49" s="317"/>
      <c r="AF49" s="317"/>
      <c r="AG49" s="317"/>
      <c r="AH49" s="317"/>
      <c r="AI49" s="317"/>
      <c r="AJ49" s="320"/>
      <c r="AL49" s="600" t="s">
        <v>27</v>
      </c>
      <c r="AM49" s="600"/>
      <c r="AN49" s="600" t="s">
        <v>58</v>
      </c>
      <c r="AO49" s="600"/>
      <c r="AP49" s="600" t="s">
        <v>14</v>
      </c>
      <c r="AQ49" s="600"/>
      <c r="AR49" s="600" t="s">
        <v>22</v>
      </c>
      <c r="AS49" s="600"/>
      <c r="AT49" s="600" t="s">
        <v>1</v>
      </c>
      <c r="AU49" s="600"/>
      <c r="AV49" s="600" t="s">
        <v>18</v>
      </c>
      <c r="AW49" s="600"/>
      <c r="AX49" s="600" t="s">
        <v>28</v>
      </c>
      <c r="AY49" s="600"/>
      <c r="AZ49" s="600" t="s">
        <v>24</v>
      </c>
      <c r="BA49" s="600"/>
      <c r="BB49" s="600" t="s">
        <v>16</v>
      </c>
      <c r="BC49" s="600"/>
      <c r="BD49" s="600" t="s">
        <v>67</v>
      </c>
      <c r="BE49" s="600"/>
      <c r="BF49" s="600" t="s">
        <v>20</v>
      </c>
      <c r="BG49" s="600"/>
      <c r="BH49" s="600" t="s">
        <v>68</v>
      </c>
      <c r="BI49" s="600"/>
      <c r="BK49" s="658" t="s">
        <v>108</v>
      </c>
      <c r="BL49" s="326"/>
      <c r="BM49" s="659">
        <f>SUM(AL50:BI50)</f>
        <v>0</v>
      </c>
      <c r="BN49" s="660"/>
      <c r="BO49" s="661"/>
      <c r="BP49" s="327" t="s">
        <v>107</v>
      </c>
      <c r="BQ49" s="328"/>
      <c r="BR49" s="326"/>
      <c r="BS49" s="665"/>
      <c r="BT49" s="666"/>
      <c r="BU49" s="667"/>
      <c r="BV49" s="164"/>
      <c r="BW49" s="655"/>
      <c r="BX49" s="656"/>
      <c r="BY49" s="656"/>
      <c r="BZ49" s="656"/>
      <c r="CA49" s="656"/>
      <c r="CB49" s="656"/>
      <c r="CC49" s="656"/>
      <c r="CD49" s="656"/>
      <c r="CE49" s="656"/>
      <c r="CF49" s="656"/>
      <c r="CG49" s="656"/>
      <c r="CH49" s="657"/>
    </row>
    <row r="50" spans="2:86" ht="22.5" customHeight="1">
      <c r="B50" s="486">
        <v>204</v>
      </c>
      <c r="C50" s="606"/>
      <c r="D50" s="317" t="s">
        <v>704</v>
      </c>
      <c r="E50" s="317" t="s">
        <v>704</v>
      </c>
      <c r="F50" s="317" t="s">
        <v>704</v>
      </c>
      <c r="G50" s="317" t="s">
        <v>704</v>
      </c>
      <c r="H50" s="317" t="s">
        <v>704</v>
      </c>
      <c r="I50" s="317" t="s">
        <v>704</v>
      </c>
      <c r="J50" s="426">
        <v>2</v>
      </c>
      <c r="K50" s="426">
        <v>2</v>
      </c>
      <c r="L50" s="607" t="s">
        <v>944</v>
      </c>
      <c r="M50" s="607"/>
      <c r="N50" s="607"/>
      <c r="O50" s="607"/>
      <c r="P50" s="607"/>
      <c r="Q50" s="607"/>
      <c r="R50" s="607"/>
      <c r="S50" s="209"/>
      <c r="T50" s="607"/>
      <c r="U50" s="607"/>
      <c r="V50" s="607"/>
      <c r="W50" s="607"/>
      <c r="X50" s="608"/>
      <c r="Y50" s="319"/>
      <c r="Z50" s="317"/>
      <c r="AA50" s="317"/>
      <c r="AB50" s="317"/>
      <c r="AC50" s="317"/>
      <c r="AD50" s="317"/>
      <c r="AE50" s="317"/>
      <c r="AF50" s="317"/>
      <c r="AG50" s="317"/>
      <c r="AH50" s="317"/>
      <c r="AI50" s="317"/>
      <c r="AJ50" s="320"/>
      <c r="AL50" s="330"/>
      <c r="AM50" s="330"/>
      <c r="AN50" s="330"/>
      <c r="AO50" s="330"/>
      <c r="AP50" s="330"/>
      <c r="AQ50" s="330"/>
      <c r="AR50" s="330"/>
      <c r="AS50" s="330"/>
      <c r="AT50" s="330"/>
      <c r="AU50" s="330"/>
      <c r="AV50" s="330"/>
      <c r="AW50" s="330"/>
      <c r="AX50" s="330"/>
      <c r="AY50" s="330"/>
      <c r="AZ50" s="330"/>
      <c r="BA50" s="330"/>
      <c r="BB50" s="330"/>
      <c r="BC50" s="330"/>
      <c r="BD50" s="330"/>
      <c r="BE50" s="330"/>
      <c r="BF50" s="330"/>
      <c r="BG50" s="330"/>
      <c r="BH50" s="330"/>
      <c r="BI50" s="330"/>
      <c r="BK50" s="575"/>
      <c r="BL50" s="576"/>
      <c r="BM50" s="662"/>
      <c r="BN50" s="663"/>
      <c r="BO50" s="664"/>
      <c r="BP50" s="652" t="str">
        <f>IF(COUNT(AL50:BI50)=0,"",ROUND(AVERAGE(AL50:BI50),1))</f>
        <v/>
      </c>
      <c r="BQ50" s="653"/>
      <c r="BR50" s="654"/>
      <c r="BS50" s="668"/>
      <c r="BT50" s="669"/>
      <c r="BU50" s="670"/>
      <c r="BV50" s="164"/>
    </row>
    <row r="51" spans="2:86" ht="22.5" customHeight="1">
      <c r="B51" s="486">
        <v>205</v>
      </c>
      <c r="C51" s="606"/>
      <c r="D51" s="317" t="s">
        <v>705</v>
      </c>
      <c r="E51" s="317" t="s">
        <v>705</v>
      </c>
      <c r="F51" s="317" t="s">
        <v>705</v>
      </c>
      <c r="G51" s="317" t="s">
        <v>705</v>
      </c>
      <c r="H51" s="317" t="s">
        <v>705</v>
      </c>
      <c r="I51" s="317" t="s">
        <v>705</v>
      </c>
      <c r="J51" s="426">
        <v>3</v>
      </c>
      <c r="K51" s="426">
        <v>3</v>
      </c>
      <c r="L51" s="607"/>
      <c r="M51" s="607"/>
      <c r="N51" s="607"/>
      <c r="O51" s="607"/>
      <c r="P51" s="607"/>
      <c r="Q51" s="607"/>
      <c r="R51" s="607"/>
      <c r="S51" s="209"/>
      <c r="T51" s="607"/>
      <c r="U51" s="607"/>
      <c r="V51" s="607"/>
      <c r="W51" s="607"/>
      <c r="X51" s="608"/>
      <c r="Y51" s="319"/>
      <c r="Z51" s="317"/>
      <c r="AA51" s="317"/>
      <c r="AB51" s="317"/>
      <c r="AC51" s="317"/>
      <c r="AD51" s="317"/>
      <c r="AE51" s="317"/>
      <c r="AF51" s="317"/>
      <c r="AG51" s="317"/>
      <c r="AH51" s="317"/>
      <c r="AI51" s="317"/>
      <c r="AJ51" s="320"/>
      <c r="AQ51" s="169"/>
      <c r="AR51" s="168"/>
      <c r="AS51" s="168"/>
      <c r="AT51" s="168"/>
      <c r="AU51" s="168"/>
      <c r="AV51" s="168"/>
      <c r="AW51" s="169"/>
      <c r="AX51" s="172"/>
      <c r="AY51" s="172"/>
      <c r="AZ51" s="172"/>
      <c r="BA51" s="172"/>
      <c r="BB51" s="168"/>
      <c r="BC51" s="168"/>
      <c r="BD51" s="168"/>
      <c r="BE51" s="168"/>
      <c r="BF51" s="169"/>
      <c r="BG51" s="169"/>
      <c r="BH51" s="169"/>
      <c r="BI51" s="169"/>
      <c r="BW51" s="179" t="s">
        <v>259</v>
      </c>
      <c r="BX51" s="179"/>
      <c r="BY51" s="179"/>
      <c r="BZ51" s="179"/>
      <c r="CA51" s="179"/>
      <c r="CB51" s="179"/>
      <c r="CC51" s="179"/>
      <c r="CD51" s="179"/>
      <c r="CE51" s="179"/>
      <c r="CF51" s="179"/>
      <c r="CG51" s="179"/>
      <c r="CH51" s="179"/>
    </row>
    <row r="52" spans="2:86" ht="22.5" customHeight="1">
      <c r="B52" s="486">
        <v>206</v>
      </c>
      <c r="C52" s="606"/>
      <c r="D52" s="317"/>
      <c r="E52" s="317"/>
      <c r="F52" s="317"/>
      <c r="G52" s="317"/>
      <c r="H52" s="317"/>
      <c r="I52" s="317"/>
      <c r="J52" s="426"/>
      <c r="K52" s="426"/>
      <c r="L52" s="607"/>
      <c r="M52" s="607"/>
      <c r="N52" s="607"/>
      <c r="O52" s="607"/>
      <c r="P52" s="607"/>
      <c r="Q52" s="607"/>
      <c r="R52" s="607"/>
      <c r="S52" s="209"/>
      <c r="T52" s="607"/>
      <c r="U52" s="607"/>
      <c r="V52" s="607"/>
      <c r="W52" s="607"/>
      <c r="X52" s="608"/>
      <c r="Y52" s="319"/>
      <c r="Z52" s="317"/>
      <c r="AA52" s="317"/>
      <c r="AB52" s="317"/>
      <c r="AC52" s="317"/>
      <c r="AD52" s="317"/>
      <c r="AE52" s="317"/>
      <c r="AF52" s="317"/>
      <c r="AG52" s="317"/>
      <c r="AH52" s="317"/>
      <c r="AI52" s="317"/>
      <c r="AJ52" s="320"/>
      <c r="AL52" s="182" t="s">
        <v>242</v>
      </c>
      <c r="AM52" s="182"/>
      <c r="AN52" s="182"/>
      <c r="AO52" s="182"/>
      <c r="AP52" s="182"/>
      <c r="AQ52" s="182"/>
      <c r="AR52" s="183"/>
      <c r="AS52" s="183"/>
      <c r="AT52" s="183"/>
      <c r="AU52" s="183"/>
      <c r="AV52" s="183"/>
      <c r="AW52" s="183"/>
      <c r="AX52" s="184"/>
      <c r="AY52" s="184"/>
      <c r="AZ52" s="184"/>
      <c r="BA52" s="184"/>
      <c r="BB52" s="185"/>
      <c r="BC52" s="185"/>
      <c r="BD52" s="185"/>
      <c r="BE52" s="185"/>
      <c r="BF52" s="186"/>
      <c r="BG52" s="186"/>
      <c r="BH52" s="186"/>
      <c r="BI52" s="186"/>
      <c r="BJ52" s="163"/>
      <c r="BK52" s="163"/>
      <c r="BL52" s="163"/>
      <c r="BM52" s="163"/>
      <c r="BN52" s="163"/>
      <c r="BO52" s="163"/>
      <c r="BP52" s="163"/>
      <c r="BQ52" s="163"/>
      <c r="BR52" s="163"/>
      <c r="BS52" s="163"/>
      <c r="BT52" s="163"/>
      <c r="BU52" s="163"/>
      <c r="BW52" s="678"/>
      <c r="BX52" s="679"/>
      <c r="BY52" s="679"/>
      <c r="BZ52" s="679"/>
      <c r="CA52" s="679"/>
      <c r="CB52" s="679"/>
      <c r="CC52" s="679"/>
      <c r="CD52" s="679"/>
      <c r="CE52" s="679"/>
      <c r="CF52" s="679"/>
      <c r="CG52" s="679"/>
      <c r="CH52" s="680"/>
    </row>
    <row r="53" spans="2:86" ht="22.5" customHeight="1">
      <c r="B53" s="486">
        <v>207</v>
      </c>
      <c r="C53" s="606"/>
      <c r="D53" s="317"/>
      <c r="E53" s="317"/>
      <c r="F53" s="317"/>
      <c r="G53" s="317"/>
      <c r="H53" s="317"/>
      <c r="I53" s="317"/>
      <c r="J53" s="426"/>
      <c r="K53" s="426"/>
      <c r="L53" s="607"/>
      <c r="M53" s="607"/>
      <c r="N53" s="607"/>
      <c r="O53" s="607"/>
      <c r="P53" s="607"/>
      <c r="Q53" s="607"/>
      <c r="R53" s="607"/>
      <c r="S53" s="209"/>
      <c r="T53" s="607"/>
      <c r="U53" s="607"/>
      <c r="V53" s="607"/>
      <c r="W53" s="607"/>
      <c r="X53" s="608"/>
      <c r="Y53" s="319"/>
      <c r="Z53" s="317"/>
      <c r="AA53" s="317"/>
      <c r="AB53" s="317"/>
      <c r="AC53" s="317"/>
      <c r="AD53" s="317"/>
      <c r="AE53" s="317"/>
      <c r="AF53" s="317"/>
      <c r="AG53" s="317"/>
      <c r="AH53" s="317"/>
      <c r="AI53" s="317"/>
      <c r="AJ53" s="320"/>
      <c r="AL53" s="671" t="s">
        <v>27</v>
      </c>
      <c r="AM53" s="671"/>
      <c r="AN53" s="671" t="s">
        <v>58</v>
      </c>
      <c r="AO53" s="671"/>
      <c r="AP53" s="671" t="s">
        <v>14</v>
      </c>
      <c r="AQ53" s="671"/>
      <c r="AR53" s="671" t="s">
        <v>22</v>
      </c>
      <c r="AS53" s="671"/>
      <c r="AT53" s="671" t="s">
        <v>1</v>
      </c>
      <c r="AU53" s="671"/>
      <c r="AV53" s="671" t="s">
        <v>18</v>
      </c>
      <c r="AW53" s="671"/>
      <c r="AX53" s="671" t="s">
        <v>28</v>
      </c>
      <c r="AY53" s="671"/>
      <c r="AZ53" s="671" t="s">
        <v>24</v>
      </c>
      <c r="BA53" s="671"/>
      <c r="BB53" s="671" t="s">
        <v>16</v>
      </c>
      <c r="BC53" s="671"/>
      <c r="BD53" s="671" t="s">
        <v>67</v>
      </c>
      <c r="BE53" s="671"/>
      <c r="BF53" s="671" t="s">
        <v>20</v>
      </c>
      <c r="BG53" s="671"/>
      <c r="BH53" s="671" t="s">
        <v>68</v>
      </c>
      <c r="BI53" s="671"/>
      <c r="BK53" s="672" t="s">
        <v>108</v>
      </c>
      <c r="BL53" s="673"/>
      <c r="BM53" s="659">
        <f>SUM(AL54:BI54)</f>
        <v>0</v>
      </c>
      <c r="BN53" s="660"/>
      <c r="BO53" s="661"/>
      <c r="BP53" s="676" t="s">
        <v>107</v>
      </c>
      <c r="BQ53" s="677"/>
      <c r="BR53" s="673"/>
      <c r="BS53" s="665"/>
      <c r="BT53" s="666"/>
      <c r="BU53" s="667"/>
      <c r="BW53" s="681"/>
      <c r="BX53" s="682"/>
      <c r="BY53" s="682"/>
      <c r="BZ53" s="682"/>
      <c r="CA53" s="682"/>
      <c r="CB53" s="682"/>
      <c r="CC53" s="682"/>
      <c r="CD53" s="682"/>
      <c r="CE53" s="682"/>
      <c r="CF53" s="682"/>
      <c r="CG53" s="682"/>
      <c r="CH53" s="683"/>
    </row>
    <row r="54" spans="2:86" ht="22.5" customHeight="1">
      <c r="B54" s="486">
        <v>208</v>
      </c>
      <c r="C54" s="606"/>
      <c r="D54" s="317"/>
      <c r="E54" s="317"/>
      <c r="F54" s="317"/>
      <c r="G54" s="317"/>
      <c r="H54" s="317"/>
      <c r="I54" s="317"/>
      <c r="J54" s="426"/>
      <c r="K54" s="426"/>
      <c r="L54" s="607"/>
      <c r="M54" s="607"/>
      <c r="N54" s="607"/>
      <c r="O54" s="607"/>
      <c r="P54" s="607"/>
      <c r="Q54" s="607"/>
      <c r="R54" s="607"/>
      <c r="S54" s="209"/>
      <c r="T54" s="607"/>
      <c r="U54" s="607"/>
      <c r="V54" s="607"/>
      <c r="W54" s="607"/>
      <c r="X54" s="608"/>
      <c r="Y54" s="319"/>
      <c r="Z54" s="317"/>
      <c r="AA54" s="317"/>
      <c r="AB54" s="317"/>
      <c r="AC54" s="317"/>
      <c r="AD54" s="317"/>
      <c r="AE54" s="317"/>
      <c r="AF54" s="317"/>
      <c r="AG54" s="317"/>
      <c r="AH54" s="317"/>
      <c r="AI54" s="317"/>
      <c r="AJ54" s="320"/>
      <c r="AL54" s="330"/>
      <c r="AM54" s="330"/>
      <c r="AN54" s="330"/>
      <c r="AO54" s="330"/>
      <c r="AP54" s="330"/>
      <c r="AQ54" s="330"/>
      <c r="AR54" s="330"/>
      <c r="AS54" s="330"/>
      <c r="AT54" s="330"/>
      <c r="AU54" s="330"/>
      <c r="AV54" s="330"/>
      <c r="AW54" s="330"/>
      <c r="AX54" s="330"/>
      <c r="AY54" s="330"/>
      <c r="AZ54" s="330"/>
      <c r="BA54" s="330"/>
      <c r="BB54" s="330"/>
      <c r="BC54" s="330"/>
      <c r="BD54" s="330"/>
      <c r="BE54" s="330"/>
      <c r="BF54" s="330"/>
      <c r="BG54" s="330"/>
      <c r="BH54" s="330"/>
      <c r="BI54" s="330"/>
      <c r="BK54" s="674"/>
      <c r="BL54" s="675"/>
      <c r="BM54" s="662"/>
      <c r="BN54" s="663"/>
      <c r="BO54" s="664"/>
      <c r="BP54" s="652" t="str">
        <f>IF(COUNT(AL54:BI54)=0,"",ROUND(AVERAGE(AL54:BI54),1))</f>
        <v/>
      </c>
      <c r="BQ54" s="653"/>
      <c r="BR54" s="654"/>
      <c r="BS54" s="668"/>
      <c r="BT54" s="669"/>
      <c r="BU54" s="670"/>
      <c r="BW54" s="681"/>
      <c r="BX54" s="682"/>
      <c r="BY54" s="682"/>
      <c r="BZ54" s="682"/>
      <c r="CA54" s="682"/>
      <c r="CB54" s="682"/>
      <c r="CC54" s="682"/>
      <c r="CD54" s="682"/>
      <c r="CE54" s="682"/>
      <c r="CF54" s="682"/>
      <c r="CG54" s="682"/>
      <c r="CH54" s="683"/>
    </row>
    <row r="55" spans="2:86" ht="22.5" customHeight="1">
      <c r="B55" s="486">
        <v>209</v>
      </c>
      <c r="C55" s="606"/>
      <c r="D55" s="317"/>
      <c r="E55" s="317"/>
      <c r="F55" s="317"/>
      <c r="G55" s="317"/>
      <c r="H55" s="317"/>
      <c r="I55" s="317"/>
      <c r="J55" s="426"/>
      <c r="K55" s="426"/>
      <c r="L55" s="607"/>
      <c r="M55" s="607"/>
      <c r="N55" s="607"/>
      <c r="O55" s="607"/>
      <c r="P55" s="607"/>
      <c r="Q55" s="607"/>
      <c r="R55" s="607"/>
      <c r="S55" s="209"/>
      <c r="T55" s="607"/>
      <c r="U55" s="607"/>
      <c r="V55" s="607"/>
      <c r="W55" s="607"/>
      <c r="X55" s="608"/>
      <c r="Y55" s="319"/>
      <c r="Z55" s="317"/>
      <c r="AA55" s="317"/>
      <c r="AB55" s="317"/>
      <c r="AC55" s="317"/>
      <c r="AD55" s="317"/>
      <c r="AE55" s="317"/>
      <c r="AF55" s="317"/>
      <c r="AG55" s="317"/>
      <c r="AH55" s="317"/>
      <c r="AI55" s="317"/>
      <c r="AJ55" s="320"/>
      <c r="AL55" s="173"/>
      <c r="AM55" s="174"/>
      <c r="AN55" s="174"/>
      <c r="AO55" s="174"/>
      <c r="AQ55" s="169"/>
      <c r="AR55" s="168"/>
      <c r="AS55" s="168"/>
      <c r="AT55" s="168"/>
      <c r="AU55" s="168"/>
      <c r="AV55" s="168"/>
      <c r="AW55" s="169"/>
      <c r="AX55" s="172"/>
      <c r="AY55" s="172"/>
      <c r="AZ55" s="172"/>
      <c r="BA55" s="172"/>
      <c r="BB55" s="168"/>
      <c r="BC55" s="168"/>
      <c r="BD55" s="168"/>
      <c r="BE55" s="168"/>
      <c r="BF55" s="169"/>
      <c r="BG55" s="169"/>
      <c r="BH55" s="169"/>
      <c r="BI55" s="169"/>
      <c r="BW55" s="681"/>
      <c r="BX55" s="682"/>
      <c r="BY55" s="682"/>
      <c r="BZ55" s="682"/>
      <c r="CA55" s="682"/>
      <c r="CB55" s="682"/>
      <c r="CC55" s="682"/>
      <c r="CD55" s="682"/>
      <c r="CE55" s="682"/>
      <c r="CF55" s="682"/>
      <c r="CG55" s="682"/>
      <c r="CH55" s="683"/>
    </row>
    <row r="56" spans="2:86" ht="22.5" customHeight="1" thickBot="1">
      <c r="B56" s="622">
        <v>210</v>
      </c>
      <c r="C56" s="623"/>
      <c r="D56" s="624"/>
      <c r="E56" s="624"/>
      <c r="F56" s="624"/>
      <c r="G56" s="624"/>
      <c r="H56" s="624"/>
      <c r="I56" s="624"/>
      <c r="J56" s="625"/>
      <c r="K56" s="625"/>
      <c r="L56" s="626"/>
      <c r="M56" s="626"/>
      <c r="N56" s="626"/>
      <c r="O56" s="626"/>
      <c r="P56" s="626"/>
      <c r="Q56" s="626"/>
      <c r="R56" s="626"/>
      <c r="S56" s="211"/>
      <c r="T56" s="626"/>
      <c r="U56" s="626"/>
      <c r="V56" s="626"/>
      <c r="W56" s="626"/>
      <c r="X56" s="627"/>
      <c r="Y56" s="628"/>
      <c r="Z56" s="624"/>
      <c r="AA56" s="624"/>
      <c r="AB56" s="624"/>
      <c r="AC56" s="624"/>
      <c r="AD56" s="624"/>
      <c r="AE56" s="624"/>
      <c r="AF56" s="624"/>
      <c r="AG56" s="624"/>
      <c r="AH56" s="624"/>
      <c r="AI56" s="624"/>
      <c r="AJ56" s="629"/>
      <c r="AL56" s="182" t="s">
        <v>243</v>
      </c>
      <c r="AM56" s="182"/>
      <c r="AN56" s="182"/>
      <c r="AO56" s="182"/>
      <c r="AP56" s="182"/>
      <c r="AQ56" s="182"/>
      <c r="AR56" s="183"/>
      <c r="AS56" s="183"/>
      <c r="AT56" s="183"/>
      <c r="AU56" s="183"/>
      <c r="AV56" s="183"/>
      <c r="AW56" s="183"/>
      <c r="AX56" s="179"/>
      <c r="AY56" s="184"/>
      <c r="AZ56" s="184"/>
      <c r="BA56" s="184"/>
      <c r="BB56" s="185"/>
      <c r="BC56" s="185"/>
      <c r="BD56" s="185"/>
      <c r="BE56" s="185"/>
      <c r="BF56" s="186"/>
      <c r="BG56" s="186"/>
      <c r="BH56" s="186"/>
      <c r="BI56" s="186"/>
      <c r="BJ56" s="163"/>
      <c r="BK56" s="163"/>
      <c r="BL56" s="163"/>
      <c r="BM56" s="163"/>
      <c r="BN56" s="163"/>
      <c r="BO56" s="163"/>
      <c r="BP56" s="163"/>
      <c r="BQ56" s="163"/>
      <c r="BR56" s="163"/>
      <c r="BS56" s="163"/>
      <c r="BT56" s="163"/>
      <c r="BU56" s="163"/>
      <c r="BW56" s="681"/>
      <c r="BX56" s="682"/>
      <c r="BY56" s="682"/>
      <c r="BZ56" s="682"/>
      <c r="CA56" s="682"/>
      <c r="CB56" s="682"/>
      <c r="CC56" s="682"/>
      <c r="CD56" s="682"/>
      <c r="CE56" s="682"/>
      <c r="CF56" s="682"/>
      <c r="CG56" s="682"/>
      <c r="CH56" s="683"/>
    </row>
    <row r="57" spans="2:86" ht="22.5" customHeight="1">
      <c r="B57" s="550">
        <v>301</v>
      </c>
      <c r="C57" s="645"/>
      <c r="D57" s="646"/>
      <c r="E57" s="646"/>
      <c r="F57" s="646"/>
      <c r="G57" s="646"/>
      <c r="H57" s="646"/>
      <c r="I57" s="646"/>
      <c r="J57" s="647"/>
      <c r="K57" s="647"/>
      <c r="L57" s="648"/>
      <c r="M57" s="648"/>
      <c r="N57" s="648"/>
      <c r="O57" s="648"/>
      <c r="P57" s="648"/>
      <c r="Q57" s="648"/>
      <c r="R57" s="648"/>
      <c r="S57" s="212"/>
      <c r="T57" s="648"/>
      <c r="U57" s="648"/>
      <c r="V57" s="648"/>
      <c r="W57" s="648"/>
      <c r="X57" s="649"/>
      <c r="Y57" s="650"/>
      <c r="Z57" s="646"/>
      <c r="AA57" s="646"/>
      <c r="AB57" s="646"/>
      <c r="AC57" s="646"/>
      <c r="AD57" s="646"/>
      <c r="AE57" s="646"/>
      <c r="AF57" s="646"/>
      <c r="AG57" s="646"/>
      <c r="AH57" s="646"/>
      <c r="AI57" s="646"/>
      <c r="AJ57" s="651"/>
      <c r="AL57" s="600" t="s">
        <v>27</v>
      </c>
      <c r="AM57" s="600"/>
      <c r="AN57" s="600" t="s">
        <v>58</v>
      </c>
      <c r="AO57" s="600"/>
      <c r="AP57" s="600" t="s">
        <v>14</v>
      </c>
      <c r="AQ57" s="600"/>
      <c r="AR57" s="600" t="s">
        <v>22</v>
      </c>
      <c r="AS57" s="600"/>
      <c r="AT57" s="600" t="s">
        <v>1</v>
      </c>
      <c r="AU57" s="600"/>
      <c r="AV57" s="600" t="s">
        <v>18</v>
      </c>
      <c r="AW57" s="600"/>
      <c r="AX57" s="600" t="s">
        <v>28</v>
      </c>
      <c r="AY57" s="600"/>
      <c r="AZ57" s="600" t="s">
        <v>24</v>
      </c>
      <c r="BA57" s="600"/>
      <c r="BB57" s="600" t="s">
        <v>16</v>
      </c>
      <c r="BC57" s="600"/>
      <c r="BD57" s="600" t="s">
        <v>67</v>
      </c>
      <c r="BE57" s="600"/>
      <c r="BF57" s="600" t="s">
        <v>20</v>
      </c>
      <c r="BG57" s="600"/>
      <c r="BH57" s="600" t="s">
        <v>68</v>
      </c>
      <c r="BI57" s="600"/>
      <c r="BK57" s="658" t="s">
        <v>108</v>
      </c>
      <c r="BL57" s="326"/>
      <c r="BM57" s="659">
        <f>SUM(AL58:BI58)</f>
        <v>0</v>
      </c>
      <c r="BN57" s="660"/>
      <c r="BO57" s="661"/>
      <c r="BP57" s="327" t="s">
        <v>107</v>
      </c>
      <c r="BQ57" s="328"/>
      <c r="BR57" s="326"/>
      <c r="BS57" s="665"/>
      <c r="BT57" s="666"/>
      <c r="BU57" s="667"/>
      <c r="BW57" s="684"/>
      <c r="BX57" s="685"/>
      <c r="BY57" s="685"/>
      <c r="BZ57" s="685"/>
      <c r="CA57" s="685"/>
      <c r="CB57" s="685"/>
      <c r="CC57" s="685"/>
      <c r="CD57" s="685"/>
      <c r="CE57" s="685"/>
      <c r="CF57" s="685"/>
      <c r="CG57" s="685"/>
      <c r="CH57" s="686"/>
    </row>
    <row r="58" spans="2:86" ht="22.5" customHeight="1">
      <c r="B58" s="486">
        <v>302</v>
      </c>
      <c r="C58" s="606"/>
      <c r="D58" s="317"/>
      <c r="E58" s="317"/>
      <c r="F58" s="317"/>
      <c r="G58" s="317"/>
      <c r="H58" s="317"/>
      <c r="I58" s="317"/>
      <c r="J58" s="426"/>
      <c r="K58" s="426"/>
      <c r="L58" s="607"/>
      <c r="M58" s="607"/>
      <c r="N58" s="607"/>
      <c r="O58" s="607"/>
      <c r="P58" s="607"/>
      <c r="Q58" s="607"/>
      <c r="R58" s="607"/>
      <c r="S58" s="209"/>
      <c r="T58" s="607"/>
      <c r="U58" s="607"/>
      <c r="V58" s="607"/>
      <c r="W58" s="607"/>
      <c r="X58" s="608"/>
      <c r="Y58" s="319"/>
      <c r="Z58" s="317"/>
      <c r="AA58" s="317"/>
      <c r="AB58" s="317"/>
      <c r="AC58" s="317"/>
      <c r="AD58" s="317"/>
      <c r="AE58" s="317"/>
      <c r="AF58" s="317"/>
      <c r="AG58" s="317"/>
      <c r="AH58" s="317"/>
      <c r="AI58" s="317"/>
      <c r="AJ58" s="320"/>
      <c r="AL58" s="330"/>
      <c r="AM58" s="330"/>
      <c r="AN58" s="330"/>
      <c r="AO58" s="330"/>
      <c r="AP58" s="330"/>
      <c r="AQ58" s="330"/>
      <c r="AR58" s="330"/>
      <c r="AS58" s="330"/>
      <c r="AT58" s="330"/>
      <c r="AU58" s="330"/>
      <c r="AV58" s="330"/>
      <c r="AW58" s="330"/>
      <c r="AX58" s="330"/>
      <c r="AY58" s="330"/>
      <c r="AZ58" s="330"/>
      <c r="BA58" s="330"/>
      <c r="BB58" s="330"/>
      <c r="BC58" s="330"/>
      <c r="BD58" s="330"/>
      <c r="BE58" s="330"/>
      <c r="BF58" s="330"/>
      <c r="BG58" s="330"/>
      <c r="BH58" s="330"/>
      <c r="BI58" s="330"/>
      <c r="BK58" s="575"/>
      <c r="BL58" s="576"/>
      <c r="BM58" s="662"/>
      <c r="BN58" s="663"/>
      <c r="BO58" s="664"/>
      <c r="BP58" s="652" t="str">
        <f>IF(COUNT(AL58:BI58)=0,"",ROUND(AVERAGE(AL58:BI58),1))</f>
        <v/>
      </c>
      <c r="BQ58" s="653"/>
      <c r="BR58" s="654"/>
      <c r="BS58" s="668"/>
      <c r="BT58" s="669"/>
      <c r="BU58" s="670"/>
    </row>
    <row r="59" spans="2:86" ht="22.5" customHeight="1">
      <c r="B59" s="486">
        <v>303</v>
      </c>
      <c r="C59" s="606"/>
      <c r="D59" s="317"/>
      <c r="E59" s="317"/>
      <c r="F59" s="317"/>
      <c r="G59" s="317"/>
      <c r="H59" s="317"/>
      <c r="I59" s="317"/>
      <c r="J59" s="426"/>
      <c r="K59" s="426"/>
      <c r="L59" s="607"/>
      <c r="M59" s="607"/>
      <c r="N59" s="607"/>
      <c r="O59" s="607"/>
      <c r="P59" s="607"/>
      <c r="Q59" s="607"/>
      <c r="R59" s="607"/>
      <c r="S59" s="209"/>
      <c r="T59" s="607"/>
      <c r="U59" s="607"/>
      <c r="V59" s="607"/>
      <c r="W59" s="607"/>
      <c r="X59" s="608"/>
      <c r="Y59" s="319"/>
      <c r="Z59" s="317"/>
      <c r="AA59" s="317"/>
      <c r="AB59" s="317"/>
      <c r="AC59" s="317"/>
      <c r="AD59" s="317"/>
      <c r="AE59" s="317"/>
      <c r="AF59" s="317"/>
      <c r="AG59" s="317"/>
      <c r="AH59" s="317"/>
      <c r="AI59" s="317"/>
      <c r="AJ59" s="320"/>
      <c r="AY59" s="172"/>
      <c r="AZ59" s="172"/>
      <c r="BA59" s="172"/>
      <c r="BB59" s="168"/>
      <c r="BC59" s="168"/>
      <c r="BD59" s="168"/>
      <c r="BE59" s="168"/>
      <c r="BF59" s="169"/>
      <c r="BG59" s="169"/>
      <c r="BH59" s="169"/>
      <c r="BI59" s="169"/>
      <c r="BW59" s="179" t="s">
        <v>259</v>
      </c>
      <c r="BX59" s="179"/>
      <c r="BY59" s="179"/>
      <c r="BZ59" s="179"/>
      <c r="CA59" s="179"/>
      <c r="CB59" s="179"/>
      <c r="CC59" s="179"/>
      <c r="CD59" s="179"/>
      <c r="CE59" s="179"/>
      <c r="CF59" s="179"/>
      <c r="CG59" s="179"/>
      <c r="CH59" s="179"/>
    </row>
    <row r="60" spans="2:86" ht="22.5" customHeight="1">
      <c r="B60" s="486">
        <v>304</v>
      </c>
      <c r="C60" s="606"/>
      <c r="D60" s="317"/>
      <c r="E60" s="317"/>
      <c r="F60" s="317"/>
      <c r="G60" s="317"/>
      <c r="H60" s="317"/>
      <c r="I60" s="317"/>
      <c r="J60" s="426"/>
      <c r="K60" s="426"/>
      <c r="L60" s="607"/>
      <c r="M60" s="607"/>
      <c r="N60" s="607"/>
      <c r="O60" s="607"/>
      <c r="P60" s="607"/>
      <c r="Q60" s="607"/>
      <c r="R60" s="607"/>
      <c r="S60" s="209"/>
      <c r="T60" s="607"/>
      <c r="U60" s="607"/>
      <c r="V60" s="607"/>
      <c r="W60" s="607"/>
      <c r="X60" s="608"/>
      <c r="Y60" s="319"/>
      <c r="Z60" s="317"/>
      <c r="AA60" s="317"/>
      <c r="AB60" s="317"/>
      <c r="AC60" s="317"/>
      <c r="AD60" s="317"/>
      <c r="AE60" s="317"/>
      <c r="AF60" s="317"/>
      <c r="AG60" s="317"/>
      <c r="AH60" s="317"/>
      <c r="AI60" s="317"/>
      <c r="AJ60" s="320"/>
      <c r="AL60" s="182" t="s">
        <v>231</v>
      </c>
      <c r="AM60" s="182"/>
      <c r="AN60" s="182"/>
      <c r="AO60" s="182"/>
      <c r="AP60" s="182"/>
      <c r="AQ60" s="182"/>
      <c r="AR60" s="183"/>
      <c r="AS60" s="183"/>
      <c r="AT60" s="183"/>
      <c r="AU60" s="183"/>
      <c r="AV60" s="183"/>
      <c r="AW60" s="183"/>
      <c r="AX60" s="184"/>
      <c r="AY60" s="184"/>
      <c r="AZ60" s="184"/>
      <c r="BA60" s="184"/>
      <c r="BB60" s="185"/>
      <c r="BC60" s="185"/>
      <c r="BD60" s="185"/>
      <c r="BE60" s="185"/>
      <c r="BF60" s="186"/>
      <c r="BG60" s="186"/>
      <c r="BH60" s="186"/>
      <c r="BI60" s="186"/>
      <c r="BJ60" s="163"/>
      <c r="BK60" s="163"/>
      <c r="BL60" s="163"/>
      <c r="BM60" s="163"/>
      <c r="BN60" s="163"/>
      <c r="BO60" s="163"/>
      <c r="BP60" s="163"/>
      <c r="BQ60" s="163"/>
      <c r="BR60" s="163"/>
      <c r="BS60" s="163"/>
      <c r="BT60" s="163"/>
      <c r="BU60" s="163"/>
      <c r="BW60" s="687"/>
      <c r="BX60" s="688"/>
      <c r="BY60" s="688"/>
      <c r="BZ60" s="688"/>
      <c r="CA60" s="688"/>
      <c r="CB60" s="688"/>
      <c r="CC60" s="688"/>
      <c r="CD60" s="688"/>
      <c r="CE60" s="688"/>
      <c r="CF60" s="688"/>
      <c r="CG60" s="688"/>
      <c r="CH60" s="689"/>
    </row>
    <row r="61" spans="2:86" ht="22.5" customHeight="1">
      <c r="B61" s="486">
        <v>305</v>
      </c>
      <c r="C61" s="606"/>
      <c r="D61" s="317"/>
      <c r="E61" s="317"/>
      <c r="F61" s="317"/>
      <c r="G61" s="317"/>
      <c r="H61" s="317"/>
      <c r="I61" s="317"/>
      <c r="J61" s="426"/>
      <c r="K61" s="426"/>
      <c r="L61" s="607"/>
      <c r="M61" s="607"/>
      <c r="N61" s="607"/>
      <c r="O61" s="607"/>
      <c r="P61" s="607"/>
      <c r="Q61" s="607"/>
      <c r="R61" s="607"/>
      <c r="S61" s="209"/>
      <c r="T61" s="607"/>
      <c r="U61" s="607"/>
      <c r="V61" s="607"/>
      <c r="W61" s="607"/>
      <c r="X61" s="608"/>
      <c r="Y61" s="319"/>
      <c r="Z61" s="317"/>
      <c r="AA61" s="317"/>
      <c r="AB61" s="317"/>
      <c r="AC61" s="317"/>
      <c r="AD61" s="317"/>
      <c r="AE61" s="317"/>
      <c r="AF61" s="317"/>
      <c r="AG61" s="317"/>
      <c r="AH61" s="317"/>
      <c r="AI61" s="317"/>
      <c r="AJ61" s="320"/>
      <c r="AL61" s="600" t="s">
        <v>27</v>
      </c>
      <c r="AM61" s="600"/>
      <c r="AN61" s="600" t="s">
        <v>58</v>
      </c>
      <c r="AO61" s="600"/>
      <c r="AP61" s="600" t="s">
        <v>14</v>
      </c>
      <c r="AQ61" s="600"/>
      <c r="AR61" s="600" t="s">
        <v>22</v>
      </c>
      <c r="AS61" s="600"/>
      <c r="AT61" s="600" t="s">
        <v>1</v>
      </c>
      <c r="AU61" s="600"/>
      <c r="AV61" s="600" t="s">
        <v>18</v>
      </c>
      <c r="AW61" s="600"/>
      <c r="AX61" s="600" t="s">
        <v>28</v>
      </c>
      <c r="AY61" s="600"/>
      <c r="AZ61" s="600" t="s">
        <v>24</v>
      </c>
      <c r="BA61" s="600"/>
      <c r="BB61" s="600" t="s">
        <v>16</v>
      </c>
      <c r="BC61" s="600"/>
      <c r="BD61" s="600" t="s">
        <v>67</v>
      </c>
      <c r="BE61" s="600"/>
      <c r="BF61" s="600" t="s">
        <v>20</v>
      </c>
      <c r="BG61" s="600"/>
      <c r="BH61" s="600" t="s">
        <v>68</v>
      </c>
      <c r="BI61" s="600"/>
      <c r="BK61" s="658" t="s">
        <v>108</v>
      </c>
      <c r="BL61" s="326"/>
      <c r="BM61" s="699">
        <f>SUM(AL62:BI62)</f>
        <v>0</v>
      </c>
      <c r="BN61" s="700"/>
      <c r="BO61" s="701"/>
      <c r="BP61" s="327" t="s">
        <v>107</v>
      </c>
      <c r="BQ61" s="328"/>
      <c r="BR61" s="326"/>
      <c r="BS61" s="665"/>
      <c r="BT61" s="666"/>
      <c r="BU61" s="667"/>
      <c r="BW61" s="690"/>
      <c r="BX61" s="691"/>
      <c r="BY61" s="691"/>
      <c r="BZ61" s="691"/>
      <c r="CA61" s="691"/>
      <c r="CB61" s="691"/>
      <c r="CC61" s="691"/>
      <c r="CD61" s="691"/>
      <c r="CE61" s="691"/>
      <c r="CF61" s="691"/>
      <c r="CG61" s="691"/>
      <c r="CH61" s="692"/>
    </row>
    <row r="62" spans="2:86" ht="22.5" customHeight="1">
      <c r="B62" s="486">
        <v>306</v>
      </c>
      <c r="C62" s="606"/>
      <c r="D62" s="317"/>
      <c r="E62" s="317"/>
      <c r="F62" s="317"/>
      <c r="G62" s="317"/>
      <c r="H62" s="317"/>
      <c r="I62" s="317"/>
      <c r="J62" s="426"/>
      <c r="K62" s="426"/>
      <c r="L62" s="607"/>
      <c r="M62" s="607"/>
      <c r="N62" s="607"/>
      <c r="O62" s="607"/>
      <c r="P62" s="607"/>
      <c r="Q62" s="607"/>
      <c r="R62" s="607"/>
      <c r="S62" s="209"/>
      <c r="T62" s="607"/>
      <c r="U62" s="607"/>
      <c r="V62" s="607"/>
      <c r="W62" s="607"/>
      <c r="X62" s="608"/>
      <c r="Y62" s="319"/>
      <c r="Z62" s="317"/>
      <c r="AA62" s="317"/>
      <c r="AB62" s="317"/>
      <c r="AC62" s="317"/>
      <c r="AD62" s="317"/>
      <c r="AE62" s="317"/>
      <c r="AF62" s="317"/>
      <c r="AG62" s="317"/>
      <c r="AH62" s="317"/>
      <c r="AI62" s="317"/>
      <c r="AJ62" s="320"/>
      <c r="AL62" s="330"/>
      <c r="AM62" s="330"/>
      <c r="AN62" s="330"/>
      <c r="AO62" s="330"/>
      <c r="AP62" s="330"/>
      <c r="AQ62" s="330"/>
      <c r="AR62" s="330"/>
      <c r="AS62" s="330"/>
      <c r="AT62" s="330"/>
      <c r="AU62" s="330"/>
      <c r="AV62" s="330"/>
      <c r="AW62" s="330"/>
      <c r="AX62" s="330"/>
      <c r="AY62" s="330"/>
      <c r="AZ62" s="330"/>
      <c r="BA62" s="330"/>
      <c r="BB62" s="330"/>
      <c r="BC62" s="330"/>
      <c r="BD62" s="330"/>
      <c r="BE62" s="330"/>
      <c r="BF62" s="330"/>
      <c r="BG62" s="330"/>
      <c r="BH62" s="330"/>
      <c r="BI62" s="330"/>
      <c r="BK62" s="575"/>
      <c r="BL62" s="576"/>
      <c r="BM62" s="702"/>
      <c r="BN62" s="703"/>
      <c r="BO62" s="704"/>
      <c r="BP62" s="696" t="str">
        <f>IF(COUNT(AL62:BI62)=0,"",ROUND(AVERAGE(AL62:BI62),1))</f>
        <v/>
      </c>
      <c r="BQ62" s="697"/>
      <c r="BR62" s="698"/>
      <c r="BS62" s="668"/>
      <c r="BT62" s="669"/>
      <c r="BU62" s="670"/>
      <c r="BW62" s="690"/>
      <c r="BX62" s="691"/>
      <c r="BY62" s="691"/>
      <c r="BZ62" s="691"/>
      <c r="CA62" s="691"/>
      <c r="CB62" s="691"/>
      <c r="CC62" s="691"/>
      <c r="CD62" s="691"/>
      <c r="CE62" s="691"/>
      <c r="CF62" s="691"/>
      <c r="CG62" s="691"/>
      <c r="CH62" s="692"/>
    </row>
    <row r="63" spans="2:86" ht="22.5" customHeight="1">
      <c r="B63" s="486">
        <v>307</v>
      </c>
      <c r="C63" s="606"/>
      <c r="D63" s="317"/>
      <c r="E63" s="317"/>
      <c r="F63" s="317"/>
      <c r="G63" s="317"/>
      <c r="H63" s="317"/>
      <c r="I63" s="317"/>
      <c r="J63" s="426"/>
      <c r="K63" s="426"/>
      <c r="L63" s="607"/>
      <c r="M63" s="607"/>
      <c r="N63" s="607"/>
      <c r="O63" s="607"/>
      <c r="P63" s="607"/>
      <c r="Q63" s="607"/>
      <c r="R63" s="607"/>
      <c r="S63" s="209"/>
      <c r="T63" s="607"/>
      <c r="U63" s="607"/>
      <c r="V63" s="607"/>
      <c r="W63" s="607"/>
      <c r="X63" s="608"/>
      <c r="Y63" s="319"/>
      <c r="Z63" s="317"/>
      <c r="AA63" s="317"/>
      <c r="AB63" s="317"/>
      <c r="AC63" s="317"/>
      <c r="AD63" s="317"/>
      <c r="AE63" s="317"/>
      <c r="AF63" s="317"/>
      <c r="AG63" s="317"/>
      <c r="AH63" s="317"/>
      <c r="AI63" s="317"/>
      <c r="AJ63" s="320"/>
      <c r="AY63" s="172"/>
      <c r="AZ63" s="172"/>
      <c r="BA63" s="172"/>
      <c r="BB63" s="168"/>
      <c r="BC63" s="168"/>
      <c r="BD63" s="168"/>
      <c r="BE63" s="168"/>
      <c r="BF63" s="169"/>
      <c r="BG63" s="169"/>
      <c r="BH63" s="169"/>
      <c r="BI63" s="169"/>
      <c r="BW63" s="690"/>
      <c r="BX63" s="691"/>
      <c r="BY63" s="691"/>
      <c r="BZ63" s="691"/>
      <c r="CA63" s="691"/>
      <c r="CB63" s="691"/>
      <c r="CC63" s="691"/>
      <c r="CD63" s="691"/>
      <c r="CE63" s="691"/>
      <c r="CF63" s="691"/>
      <c r="CG63" s="691"/>
      <c r="CH63" s="692"/>
    </row>
    <row r="64" spans="2:86" ht="22.5" customHeight="1">
      <c r="B64" s="486">
        <v>308</v>
      </c>
      <c r="C64" s="606"/>
      <c r="D64" s="317"/>
      <c r="E64" s="317"/>
      <c r="F64" s="317"/>
      <c r="G64" s="317"/>
      <c r="H64" s="317"/>
      <c r="I64" s="317"/>
      <c r="J64" s="426"/>
      <c r="K64" s="426"/>
      <c r="L64" s="607"/>
      <c r="M64" s="607"/>
      <c r="N64" s="607"/>
      <c r="O64" s="607"/>
      <c r="P64" s="607"/>
      <c r="Q64" s="607"/>
      <c r="R64" s="607"/>
      <c r="S64" s="209"/>
      <c r="T64" s="607"/>
      <c r="U64" s="607"/>
      <c r="V64" s="607"/>
      <c r="W64" s="607"/>
      <c r="X64" s="608"/>
      <c r="Y64" s="319"/>
      <c r="Z64" s="317"/>
      <c r="AA64" s="317"/>
      <c r="AB64" s="317"/>
      <c r="AC64" s="317"/>
      <c r="AD64" s="317"/>
      <c r="AE64" s="317"/>
      <c r="AF64" s="317"/>
      <c r="AG64" s="317"/>
      <c r="AH64" s="317"/>
      <c r="AI64" s="317"/>
      <c r="AJ64" s="320"/>
      <c r="AL64" s="182" t="s">
        <v>230</v>
      </c>
      <c r="AM64" s="182"/>
      <c r="AN64" s="182"/>
      <c r="AO64" s="182"/>
      <c r="AP64" s="182"/>
      <c r="AQ64" s="182"/>
      <c r="AR64" s="183"/>
      <c r="AS64" s="183"/>
      <c r="AT64" s="183"/>
      <c r="AU64" s="183"/>
      <c r="AV64" s="183"/>
      <c r="AW64" s="183"/>
      <c r="AX64" s="179"/>
      <c r="AY64" s="184"/>
      <c r="AZ64" s="184"/>
      <c r="BA64" s="184"/>
      <c r="BB64" s="185"/>
      <c r="BC64" s="185"/>
      <c r="BD64" s="185"/>
      <c r="BE64" s="185"/>
      <c r="BF64" s="186"/>
      <c r="BG64" s="186"/>
      <c r="BH64" s="186"/>
      <c r="BI64" s="186"/>
      <c r="BJ64" s="163"/>
      <c r="BK64" s="163"/>
      <c r="BL64" s="163"/>
      <c r="BM64" s="163"/>
      <c r="BN64" s="163"/>
      <c r="BO64" s="163"/>
      <c r="BP64" s="163"/>
      <c r="BQ64" s="163"/>
      <c r="BR64" s="163"/>
      <c r="BS64" s="163"/>
      <c r="BT64" s="163"/>
      <c r="BU64" s="163"/>
      <c r="BW64" s="690"/>
      <c r="BX64" s="691"/>
      <c r="BY64" s="691"/>
      <c r="BZ64" s="691"/>
      <c r="CA64" s="691"/>
      <c r="CB64" s="691"/>
      <c r="CC64" s="691"/>
      <c r="CD64" s="691"/>
      <c r="CE64" s="691"/>
      <c r="CF64" s="691"/>
      <c r="CG64" s="691"/>
      <c r="CH64" s="692"/>
    </row>
    <row r="65" spans="2:86" ht="22.5" customHeight="1">
      <c r="B65" s="486">
        <v>309</v>
      </c>
      <c r="C65" s="606"/>
      <c r="D65" s="317"/>
      <c r="E65" s="317"/>
      <c r="F65" s="317"/>
      <c r="G65" s="317"/>
      <c r="H65" s="317"/>
      <c r="I65" s="317"/>
      <c r="J65" s="426"/>
      <c r="K65" s="426"/>
      <c r="L65" s="607"/>
      <c r="M65" s="607"/>
      <c r="N65" s="607"/>
      <c r="O65" s="607"/>
      <c r="P65" s="607"/>
      <c r="Q65" s="607"/>
      <c r="R65" s="607"/>
      <c r="S65" s="209"/>
      <c r="T65" s="607"/>
      <c r="U65" s="607"/>
      <c r="V65" s="607"/>
      <c r="W65" s="607"/>
      <c r="X65" s="608"/>
      <c r="Y65" s="319"/>
      <c r="Z65" s="317"/>
      <c r="AA65" s="317"/>
      <c r="AB65" s="317"/>
      <c r="AC65" s="317"/>
      <c r="AD65" s="317"/>
      <c r="AE65" s="317"/>
      <c r="AF65" s="317"/>
      <c r="AG65" s="317"/>
      <c r="AH65" s="317"/>
      <c r="AI65" s="317"/>
      <c r="AJ65" s="320"/>
      <c r="AL65" s="600" t="s">
        <v>27</v>
      </c>
      <c r="AM65" s="600"/>
      <c r="AN65" s="600" t="s">
        <v>58</v>
      </c>
      <c r="AO65" s="600"/>
      <c r="AP65" s="600" t="s">
        <v>14</v>
      </c>
      <c r="AQ65" s="600"/>
      <c r="AR65" s="600" t="s">
        <v>22</v>
      </c>
      <c r="AS65" s="600"/>
      <c r="AT65" s="600" t="s">
        <v>1</v>
      </c>
      <c r="AU65" s="600"/>
      <c r="AV65" s="600" t="s">
        <v>18</v>
      </c>
      <c r="AW65" s="600"/>
      <c r="AX65" s="600" t="s">
        <v>28</v>
      </c>
      <c r="AY65" s="600"/>
      <c r="AZ65" s="600" t="s">
        <v>24</v>
      </c>
      <c r="BA65" s="600"/>
      <c r="BB65" s="600" t="s">
        <v>16</v>
      </c>
      <c r="BC65" s="600"/>
      <c r="BD65" s="600" t="s">
        <v>67</v>
      </c>
      <c r="BE65" s="600"/>
      <c r="BF65" s="600" t="s">
        <v>20</v>
      </c>
      <c r="BG65" s="600"/>
      <c r="BH65" s="600" t="s">
        <v>68</v>
      </c>
      <c r="BI65" s="600"/>
      <c r="BK65" s="658" t="s">
        <v>108</v>
      </c>
      <c r="BL65" s="326"/>
      <c r="BM65" s="699">
        <f>SUM(AL66:BI66)</f>
        <v>0</v>
      </c>
      <c r="BN65" s="700"/>
      <c r="BO65" s="701"/>
      <c r="BP65" s="327" t="s">
        <v>107</v>
      </c>
      <c r="BQ65" s="328"/>
      <c r="BR65" s="326"/>
      <c r="BS65" s="665"/>
      <c r="BT65" s="666"/>
      <c r="BU65" s="667"/>
      <c r="BW65" s="690"/>
      <c r="BX65" s="691"/>
      <c r="BY65" s="691"/>
      <c r="BZ65" s="691"/>
      <c r="CA65" s="691"/>
      <c r="CB65" s="691"/>
      <c r="CC65" s="691"/>
      <c r="CD65" s="691"/>
      <c r="CE65" s="691"/>
      <c r="CF65" s="691"/>
      <c r="CG65" s="691"/>
      <c r="CH65" s="692"/>
    </row>
    <row r="66" spans="2:86" ht="22.5" customHeight="1">
      <c r="B66" s="575">
        <v>310</v>
      </c>
      <c r="C66" s="705"/>
      <c r="D66" s="534"/>
      <c r="E66" s="534"/>
      <c r="F66" s="534"/>
      <c r="G66" s="534"/>
      <c r="H66" s="534"/>
      <c r="I66" s="534"/>
      <c r="J66" s="706"/>
      <c r="K66" s="706"/>
      <c r="L66" s="656"/>
      <c r="M66" s="656"/>
      <c r="N66" s="656"/>
      <c r="O66" s="656"/>
      <c r="P66" s="656"/>
      <c r="Q66" s="656"/>
      <c r="R66" s="656"/>
      <c r="S66" s="213"/>
      <c r="T66" s="656"/>
      <c r="U66" s="656"/>
      <c r="V66" s="656"/>
      <c r="W66" s="656"/>
      <c r="X66" s="657"/>
      <c r="Y66" s="707"/>
      <c r="Z66" s="534"/>
      <c r="AA66" s="534"/>
      <c r="AB66" s="534"/>
      <c r="AC66" s="534"/>
      <c r="AD66" s="534"/>
      <c r="AE66" s="534"/>
      <c r="AF66" s="534"/>
      <c r="AG66" s="534"/>
      <c r="AH66" s="534"/>
      <c r="AI66" s="534"/>
      <c r="AJ66" s="535"/>
      <c r="AL66" s="330"/>
      <c r="AM66" s="330"/>
      <c r="AN66" s="330"/>
      <c r="AO66" s="330"/>
      <c r="AP66" s="330"/>
      <c r="AQ66" s="330"/>
      <c r="AR66" s="330"/>
      <c r="AS66" s="330"/>
      <c r="AT66" s="330"/>
      <c r="AU66" s="330"/>
      <c r="AV66" s="330"/>
      <c r="AW66" s="330"/>
      <c r="AX66" s="330"/>
      <c r="AY66" s="330"/>
      <c r="AZ66" s="330"/>
      <c r="BA66" s="330"/>
      <c r="BB66" s="330"/>
      <c r="BC66" s="330"/>
      <c r="BD66" s="330"/>
      <c r="BE66" s="330"/>
      <c r="BF66" s="330"/>
      <c r="BG66" s="330"/>
      <c r="BH66" s="330"/>
      <c r="BI66" s="330"/>
      <c r="BK66" s="575"/>
      <c r="BL66" s="576"/>
      <c r="BM66" s="702"/>
      <c r="BN66" s="703"/>
      <c r="BO66" s="704"/>
      <c r="BP66" s="696" t="str">
        <f>IF(COUNT(AL66:BI66)=0,"",ROUND(AVERAGE(AL66:BI66),1))</f>
        <v/>
      </c>
      <c r="BQ66" s="697"/>
      <c r="BR66" s="698"/>
      <c r="BS66" s="668"/>
      <c r="BT66" s="669"/>
      <c r="BU66" s="670"/>
      <c r="BW66" s="693"/>
      <c r="BX66" s="694"/>
      <c r="BY66" s="694"/>
      <c r="BZ66" s="694"/>
      <c r="CA66" s="694"/>
      <c r="CB66" s="694"/>
      <c r="CC66" s="694"/>
      <c r="CD66" s="694"/>
      <c r="CE66" s="694"/>
      <c r="CF66" s="694"/>
      <c r="CG66" s="694"/>
      <c r="CH66" s="695"/>
    </row>
    <row r="68" spans="2:86" ht="22.5" customHeight="1">
      <c r="B68" s="181" t="s">
        <v>31</v>
      </c>
      <c r="C68" s="179"/>
      <c r="D68" s="179"/>
      <c r="E68" s="179"/>
      <c r="F68" s="179"/>
      <c r="G68" s="179"/>
      <c r="H68" s="179"/>
      <c r="I68" s="179"/>
      <c r="J68" s="179"/>
      <c r="K68" s="179"/>
      <c r="L68" s="179"/>
      <c r="M68" s="179"/>
      <c r="N68" s="179"/>
      <c r="O68" s="179"/>
      <c r="P68" s="179"/>
      <c r="Q68" s="179"/>
      <c r="R68" s="179"/>
      <c r="S68" s="179"/>
      <c r="T68" s="179"/>
      <c r="U68" s="179"/>
      <c r="V68" s="179"/>
      <c r="W68" s="179"/>
      <c r="X68" s="179"/>
      <c r="Y68" s="179"/>
      <c r="Z68" s="179"/>
      <c r="AA68" s="179"/>
    </row>
    <row r="69" spans="2:86" ht="22.5" customHeight="1">
      <c r="B69" s="406" t="s">
        <v>0</v>
      </c>
      <c r="C69" s="406"/>
      <c r="D69" s="406"/>
      <c r="E69" s="406"/>
      <c r="F69" s="406"/>
      <c r="G69" s="406"/>
      <c r="H69" s="406"/>
      <c r="I69" s="406"/>
      <c r="J69" s="406"/>
      <c r="K69" s="406"/>
      <c r="L69" s="346" t="s">
        <v>30</v>
      </c>
      <c r="M69" s="343"/>
      <c r="N69" s="343"/>
      <c r="O69" s="343"/>
      <c r="P69" s="343"/>
      <c r="Q69" s="343"/>
      <c r="R69" s="343"/>
      <c r="S69" s="343"/>
      <c r="T69" s="343"/>
      <c r="U69" s="343"/>
      <c r="V69" s="343"/>
      <c r="W69" s="343"/>
      <c r="X69" s="343"/>
      <c r="Y69" s="343"/>
      <c r="Z69" s="343"/>
      <c r="AA69" s="345"/>
    </row>
    <row r="70" spans="2:86" ht="22.5" customHeight="1">
      <c r="B70" s="166" t="s">
        <v>228</v>
      </c>
      <c r="C70" s="429" t="s">
        <v>5</v>
      </c>
      <c r="D70" s="429"/>
      <c r="E70" s="429"/>
      <c r="F70" s="430" t="s">
        <v>8</v>
      </c>
      <c r="G70" s="430"/>
      <c r="H70" s="430"/>
      <c r="I70" s="430"/>
      <c r="J70" s="430"/>
      <c r="K70" s="430"/>
      <c r="L70" s="431" t="s">
        <v>12</v>
      </c>
      <c r="M70" s="432"/>
      <c r="N70" s="433" t="s">
        <v>11</v>
      </c>
      <c r="O70" s="434"/>
      <c r="P70" s="435"/>
      <c r="Q70" s="436"/>
      <c r="R70" s="436"/>
      <c r="S70" s="437"/>
      <c r="T70" s="431" t="s">
        <v>12</v>
      </c>
      <c r="U70" s="432"/>
      <c r="V70" s="433"/>
      <c r="W70" s="434"/>
      <c r="X70" s="435"/>
      <c r="Y70" s="436"/>
      <c r="Z70" s="436"/>
      <c r="AA70" s="438"/>
    </row>
    <row r="71" spans="2:86" ht="22.5" customHeight="1">
      <c r="B71" s="166" t="s">
        <v>228</v>
      </c>
      <c r="C71" s="429"/>
      <c r="D71" s="429"/>
      <c r="E71" s="429"/>
      <c r="F71" s="430" t="s">
        <v>7</v>
      </c>
      <c r="G71" s="430"/>
      <c r="H71" s="430"/>
      <c r="I71" s="430"/>
      <c r="J71" s="430"/>
      <c r="K71" s="430"/>
      <c r="L71" s="431" t="s">
        <v>12</v>
      </c>
      <c r="M71" s="432"/>
      <c r="N71" s="433" t="s">
        <v>11</v>
      </c>
      <c r="O71" s="434"/>
      <c r="P71" s="435"/>
      <c r="Q71" s="436"/>
      <c r="R71" s="436"/>
      <c r="S71" s="437"/>
      <c r="T71" s="431" t="s">
        <v>12</v>
      </c>
      <c r="U71" s="432"/>
      <c r="V71" s="433"/>
      <c r="W71" s="434"/>
      <c r="X71" s="435"/>
      <c r="Y71" s="436"/>
      <c r="Z71" s="436"/>
      <c r="AA71" s="438"/>
    </row>
    <row r="72" spans="2:86" ht="22.5" customHeight="1">
      <c r="B72" s="166" t="s">
        <v>228</v>
      </c>
      <c r="C72" s="429"/>
      <c r="D72" s="429"/>
      <c r="E72" s="429"/>
      <c r="F72" s="430" t="s">
        <v>9</v>
      </c>
      <c r="G72" s="430"/>
      <c r="H72" s="430"/>
      <c r="I72" s="430"/>
      <c r="J72" s="430"/>
      <c r="K72" s="430"/>
      <c r="L72" s="431" t="s">
        <v>12</v>
      </c>
      <c r="M72" s="432"/>
      <c r="N72" s="433" t="s">
        <v>15</v>
      </c>
      <c r="O72" s="434"/>
      <c r="P72" s="205"/>
      <c r="Q72" s="465" t="s">
        <v>17</v>
      </c>
      <c r="R72" s="465"/>
      <c r="S72" s="205"/>
      <c r="T72" s="431" t="s">
        <v>13</v>
      </c>
      <c r="U72" s="432"/>
      <c r="V72" s="433" t="s">
        <v>19</v>
      </c>
      <c r="W72" s="434"/>
      <c r="X72" s="206"/>
      <c r="Y72" s="465" t="s">
        <v>21</v>
      </c>
      <c r="Z72" s="465"/>
      <c r="AA72" s="207"/>
    </row>
    <row r="73" spans="2:86" ht="22.5" customHeight="1">
      <c r="B73" s="166" t="s">
        <v>228</v>
      </c>
      <c r="C73" s="429"/>
      <c r="D73" s="429"/>
      <c r="E73" s="429"/>
      <c r="F73" s="430" t="s">
        <v>6</v>
      </c>
      <c r="G73" s="430"/>
      <c r="H73" s="430"/>
      <c r="I73" s="430"/>
      <c r="J73" s="430"/>
      <c r="K73" s="430"/>
      <c r="L73" s="431" t="s">
        <v>12</v>
      </c>
      <c r="M73" s="432"/>
      <c r="N73" s="433" t="s">
        <v>23</v>
      </c>
      <c r="O73" s="434"/>
      <c r="P73" s="435"/>
      <c r="Q73" s="436"/>
      <c r="R73" s="436"/>
      <c r="S73" s="437"/>
      <c r="T73" s="431" t="s">
        <v>13</v>
      </c>
      <c r="U73" s="432"/>
      <c r="V73" s="433" t="s">
        <v>25</v>
      </c>
      <c r="W73" s="434"/>
      <c r="X73" s="435"/>
      <c r="Y73" s="436"/>
      <c r="Z73" s="436"/>
      <c r="AA73" s="438"/>
    </row>
    <row r="74" spans="2:86" ht="22.5" customHeight="1">
      <c r="B74" s="166" t="s">
        <v>228</v>
      </c>
      <c r="C74" s="429"/>
      <c r="D74" s="429"/>
      <c r="E74" s="429"/>
      <c r="F74" s="461"/>
      <c r="G74" s="461"/>
      <c r="H74" s="461"/>
      <c r="I74" s="461"/>
      <c r="J74" s="461"/>
      <c r="K74" s="461"/>
      <c r="L74" s="431" t="s">
        <v>12</v>
      </c>
      <c r="M74" s="432"/>
      <c r="N74" s="433"/>
      <c r="O74" s="434"/>
      <c r="P74" s="435"/>
      <c r="Q74" s="436"/>
      <c r="R74" s="436"/>
      <c r="S74" s="437"/>
      <c r="T74" s="431" t="s">
        <v>12</v>
      </c>
      <c r="U74" s="432"/>
      <c r="V74" s="433"/>
      <c r="W74" s="434"/>
      <c r="X74" s="435"/>
      <c r="Y74" s="436"/>
      <c r="Z74" s="436"/>
      <c r="AA74" s="438"/>
    </row>
    <row r="75" spans="2:86" ht="22.5" customHeight="1">
      <c r="B75" s="166" t="s">
        <v>228</v>
      </c>
      <c r="C75" s="466" t="s">
        <v>10</v>
      </c>
      <c r="D75" s="466"/>
      <c r="E75" s="466"/>
      <c r="F75" s="466"/>
      <c r="G75" s="466"/>
      <c r="H75" s="466"/>
      <c r="I75" s="466"/>
      <c r="J75" s="466"/>
      <c r="K75" s="466"/>
      <c r="L75" s="472" t="s">
        <v>26</v>
      </c>
      <c r="M75" s="472"/>
      <c r="N75" s="472"/>
      <c r="O75" s="472"/>
      <c r="P75" s="217">
        <v>1</v>
      </c>
      <c r="Q75" s="218">
        <v>2</v>
      </c>
      <c r="R75" s="218">
        <v>3</v>
      </c>
      <c r="S75" s="218">
        <v>4</v>
      </c>
      <c r="T75" s="218">
        <v>5</v>
      </c>
      <c r="U75" s="218">
        <v>6</v>
      </c>
      <c r="V75" s="218">
        <v>7</v>
      </c>
      <c r="W75" s="218">
        <v>8</v>
      </c>
      <c r="X75" s="218">
        <v>9</v>
      </c>
      <c r="Y75" s="218">
        <v>10</v>
      </c>
      <c r="Z75" s="218">
        <v>11</v>
      </c>
      <c r="AA75" s="219">
        <v>12</v>
      </c>
    </row>
    <row r="76" spans="2:86" ht="22.5" customHeight="1">
      <c r="B76" s="166" t="s">
        <v>228</v>
      </c>
      <c r="C76" s="466" t="s">
        <v>2</v>
      </c>
      <c r="D76" s="466"/>
      <c r="E76" s="466"/>
      <c r="F76" s="466"/>
      <c r="G76" s="466"/>
      <c r="H76" s="466"/>
      <c r="I76" s="466"/>
      <c r="J76" s="466"/>
      <c r="K76" s="466"/>
      <c r="L76" s="431" t="s">
        <v>13</v>
      </c>
      <c r="M76" s="432"/>
      <c r="N76" s="433" t="s">
        <v>27</v>
      </c>
      <c r="O76" s="434"/>
      <c r="P76" s="435" t="s">
        <v>267</v>
      </c>
      <c r="Q76" s="436"/>
      <c r="R76" s="436"/>
      <c r="S76" s="437"/>
      <c r="T76" s="431" t="s">
        <v>13</v>
      </c>
      <c r="U76" s="432"/>
      <c r="V76" s="433" t="s">
        <v>29</v>
      </c>
      <c r="W76" s="434"/>
      <c r="X76" s="435"/>
      <c r="Y76" s="436"/>
      <c r="Z76" s="436"/>
      <c r="AA76" s="438"/>
    </row>
    <row r="77" spans="2:86" ht="22.5" customHeight="1">
      <c r="B77" s="166" t="s">
        <v>228</v>
      </c>
      <c r="C77" s="466" t="s">
        <v>3</v>
      </c>
      <c r="D77" s="466"/>
      <c r="E77" s="466"/>
      <c r="F77" s="466"/>
      <c r="G77" s="466"/>
      <c r="H77" s="466"/>
      <c r="I77" s="466"/>
      <c r="J77" s="466"/>
      <c r="K77" s="466"/>
      <c r="L77" s="477" t="s">
        <v>252</v>
      </c>
      <c r="M77" s="477"/>
      <c r="N77" s="477"/>
      <c r="O77" s="477"/>
      <c r="P77" s="435"/>
      <c r="Q77" s="436"/>
      <c r="R77" s="436"/>
      <c r="S77" s="437"/>
      <c r="T77" s="455" t="s">
        <v>253</v>
      </c>
      <c r="U77" s="456"/>
      <c r="V77" s="456"/>
      <c r="W77" s="456"/>
      <c r="X77" s="456"/>
      <c r="Y77" s="456"/>
      <c r="Z77" s="456"/>
      <c r="AA77" s="457"/>
    </row>
    <row r="78" spans="2:86" ht="22.5" customHeight="1">
      <c r="B78" s="166" t="s">
        <v>228</v>
      </c>
      <c r="C78" s="466" t="s">
        <v>126</v>
      </c>
      <c r="D78" s="466"/>
      <c r="E78" s="466"/>
      <c r="F78" s="466"/>
      <c r="G78" s="466"/>
      <c r="H78" s="466"/>
      <c r="I78" s="466"/>
      <c r="J78" s="466"/>
      <c r="K78" s="466"/>
      <c r="L78" s="431" t="s">
        <v>36</v>
      </c>
      <c r="M78" s="432"/>
      <c r="N78" s="433" t="s">
        <v>245</v>
      </c>
      <c r="O78" s="434"/>
      <c r="P78" s="435"/>
      <c r="Q78" s="436"/>
      <c r="R78" s="436"/>
      <c r="S78" s="437"/>
      <c r="T78" s="431" t="s">
        <v>37</v>
      </c>
      <c r="U78" s="432"/>
      <c r="V78" s="433" t="s">
        <v>245</v>
      </c>
      <c r="W78" s="434"/>
      <c r="X78" s="435"/>
      <c r="Y78" s="436"/>
      <c r="Z78" s="436"/>
      <c r="AA78" s="438"/>
    </row>
    <row r="79" spans="2:86" ht="22.5" customHeight="1">
      <c r="B79" s="166" t="s">
        <v>228</v>
      </c>
      <c r="C79" s="466" t="s">
        <v>4</v>
      </c>
      <c r="D79" s="466"/>
      <c r="E79" s="466"/>
      <c r="F79" s="466"/>
      <c r="G79" s="466"/>
      <c r="H79" s="466"/>
      <c r="I79" s="466"/>
      <c r="J79" s="466"/>
      <c r="K79" s="466"/>
      <c r="L79" s="483"/>
      <c r="M79" s="484"/>
      <c r="N79" s="484"/>
      <c r="O79" s="484"/>
      <c r="P79" s="484"/>
      <c r="Q79" s="484"/>
      <c r="R79" s="484"/>
      <c r="S79" s="484"/>
      <c r="T79" s="484"/>
      <c r="U79" s="484"/>
      <c r="V79" s="484"/>
      <c r="W79" s="484"/>
      <c r="X79" s="484"/>
      <c r="Y79" s="484"/>
      <c r="Z79" s="484"/>
      <c r="AA79" s="485"/>
    </row>
    <row r="81" spans="2:27" ht="22.5" customHeight="1">
      <c r="B81" s="179" t="s">
        <v>40</v>
      </c>
      <c r="C81" s="179"/>
      <c r="D81" s="179"/>
      <c r="E81" s="179"/>
      <c r="F81" s="179"/>
      <c r="G81" s="179"/>
      <c r="H81" s="179"/>
      <c r="I81" s="179"/>
      <c r="J81" s="179"/>
      <c r="K81" s="179"/>
      <c r="L81" s="179"/>
      <c r="M81" s="179"/>
      <c r="N81" s="179"/>
      <c r="O81" s="183"/>
      <c r="P81" s="179"/>
      <c r="Q81" s="179"/>
      <c r="R81" s="179"/>
      <c r="S81" s="179"/>
      <c r="T81" s="179"/>
      <c r="U81" s="179"/>
      <c r="V81" s="179"/>
      <c r="W81" s="179"/>
      <c r="X81" s="179"/>
      <c r="Y81" s="179"/>
      <c r="Z81" s="179"/>
      <c r="AA81" s="179"/>
    </row>
    <row r="82" spans="2:27" ht="22.5" customHeight="1">
      <c r="B82" s="342" t="s">
        <v>48</v>
      </c>
      <c r="C82" s="343"/>
      <c r="D82" s="344"/>
      <c r="E82" s="544" t="s">
        <v>49</v>
      </c>
      <c r="F82" s="545"/>
      <c r="G82" s="546"/>
      <c r="H82" s="547" t="s">
        <v>113</v>
      </c>
      <c r="I82" s="548"/>
      <c r="J82" s="548" t="s">
        <v>114</v>
      </c>
      <c r="K82" s="549"/>
      <c r="L82" s="544" t="s">
        <v>116</v>
      </c>
      <c r="M82" s="545"/>
      <c r="N82" s="545"/>
      <c r="O82" s="545"/>
      <c r="P82" s="545"/>
      <c r="Q82" s="545"/>
      <c r="R82" s="545"/>
      <c r="S82" s="545"/>
      <c r="T82" s="545"/>
      <c r="U82" s="545"/>
      <c r="V82" s="545"/>
      <c r="W82" s="545"/>
      <c r="X82" s="545"/>
      <c r="Y82" s="545"/>
      <c r="Z82" s="545"/>
      <c r="AA82" s="546"/>
    </row>
    <row r="83" spans="2:27" ht="22.5" customHeight="1">
      <c r="B83" s="512"/>
      <c r="C83" s="513"/>
      <c r="D83" s="514"/>
      <c r="E83" s="518"/>
      <c r="F83" s="519"/>
      <c r="G83" s="520"/>
      <c r="H83" s="524" t="str" cm="1">
        <f t="array" ref="H83">IF(SUM(COUNTIF(BF3:BF32,{"月給","常時給"}))=0,"",
IF(SUMPRODUCT((BF3:BF32={"月給","常時給"})*(BR3:BR32="●"))/SUM(COUNTIF(BF3:BF32,{"月給","常時給"}))&gt;=35%,"〇","×"))</f>
        <v>×</v>
      </c>
      <c r="I83" s="525"/>
      <c r="J83" s="525" t="str" cm="1">
        <f t="array" ref="J83">IFERROR(
  IF(
    SUMPRODUCT((BF3:BF32={"月給","常時給"})*(BR3:BR32="●"))/
    SUM(COUNTIF(BF3:BF32,{"月給","常時給"}))&gt;=25%,
    "〇",
    "×"
  ),
"")</f>
        <v>×</v>
      </c>
      <c r="K83" s="528"/>
      <c r="L83" s="838"/>
      <c r="M83" s="744"/>
      <c r="N83" s="744"/>
      <c r="O83" s="744"/>
      <c r="P83" s="744"/>
      <c r="Q83" s="744"/>
      <c r="R83" s="744"/>
      <c r="S83" s="744"/>
      <c r="T83" s="744"/>
      <c r="U83" s="744"/>
      <c r="V83" s="744"/>
      <c r="W83" s="744"/>
      <c r="X83" s="744"/>
      <c r="Y83" s="744"/>
      <c r="Z83" s="744"/>
      <c r="AA83" s="745"/>
    </row>
    <row r="84" spans="2:27" ht="22.5" customHeight="1">
      <c r="B84" s="515"/>
      <c r="C84" s="516"/>
      <c r="D84" s="517"/>
      <c r="E84" s="521"/>
      <c r="F84" s="522"/>
      <c r="G84" s="523"/>
      <c r="H84" s="526"/>
      <c r="I84" s="527"/>
      <c r="J84" s="527"/>
      <c r="K84" s="529"/>
      <c r="L84" s="746"/>
      <c r="M84" s="747"/>
      <c r="N84" s="747"/>
      <c r="O84" s="747"/>
      <c r="P84" s="747"/>
      <c r="Q84" s="747"/>
      <c r="R84" s="747"/>
      <c r="S84" s="747"/>
      <c r="T84" s="747"/>
      <c r="U84" s="747"/>
      <c r="V84" s="747"/>
      <c r="W84" s="747"/>
      <c r="X84" s="747"/>
      <c r="Y84" s="747"/>
      <c r="Z84" s="747"/>
      <c r="AA84" s="748"/>
    </row>
  </sheetData>
  <mergeCells count="1127">
    <mergeCell ref="Y26:AA26"/>
    <mergeCell ref="B27:E29"/>
    <mergeCell ref="F27:I27"/>
    <mergeCell ref="Y27:AA27"/>
    <mergeCell ref="F28:I28"/>
    <mergeCell ref="Y28:AA28"/>
    <mergeCell ref="F29:I29"/>
    <mergeCell ref="Y29:AA29"/>
    <mergeCell ref="B30:E31"/>
    <mergeCell ref="F30:I30"/>
    <mergeCell ref="Y30:AA30"/>
    <mergeCell ref="F31:I31"/>
    <mergeCell ref="Y31:AA31"/>
    <mergeCell ref="F32:I32"/>
    <mergeCell ref="Y32:AA32"/>
    <mergeCell ref="J31:L31"/>
    <mergeCell ref="M31:O31"/>
    <mergeCell ref="P31:R31"/>
    <mergeCell ref="S31:U31"/>
    <mergeCell ref="V31:X31"/>
    <mergeCell ref="J32:L32"/>
    <mergeCell ref="M32:O32"/>
    <mergeCell ref="P32:R32"/>
    <mergeCell ref="S32:U32"/>
    <mergeCell ref="V32:X32"/>
    <mergeCell ref="J29:L29"/>
    <mergeCell ref="M29:O29"/>
    <mergeCell ref="P29:R29"/>
    <mergeCell ref="S29:U29"/>
    <mergeCell ref="V29:X29"/>
    <mergeCell ref="J30:L30"/>
    <mergeCell ref="M30:O30"/>
    <mergeCell ref="P30:R30"/>
    <mergeCell ref="S30:U30"/>
    <mergeCell ref="V30:X30"/>
    <mergeCell ref="J27:L27"/>
    <mergeCell ref="M27:O27"/>
    <mergeCell ref="P27:R27"/>
    <mergeCell ref="S27:U27"/>
    <mergeCell ref="V27:X27"/>
    <mergeCell ref="J28:L28"/>
    <mergeCell ref="M28:O28"/>
    <mergeCell ref="P28:R28"/>
    <mergeCell ref="S28:U28"/>
    <mergeCell ref="V28:X28"/>
    <mergeCell ref="B25:F25"/>
    <mergeCell ref="G25:I25"/>
    <mergeCell ref="J25:L25"/>
    <mergeCell ref="M25:O25"/>
    <mergeCell ref="P25:R25"/>
    <mergeCell ref="S25:U25"/>
    <mergeCell ref="V25:X25"/>
    <mergeCell ref="J26:L26"/>
    <mergeCell ref="M26:O26"/>
    <mergeCell ref="P26:R26"/>
    <mergeCell ref="S26:U26"/>
    <mergeCell ref="V26:X26"/>
    <mergeCell ref="B26:I26"/>
    <mergeCell ref="B23:F23"/>
    <mergeCell ref="G23:I23"/>
    <mergeCell ref="J23:L23"/>
    <mergeCell ref="M23:O23"/>
    <mergeCell ref="P23:R23"/>
    <mergeCell ref="S23:U23"/>
    <mergeCell ref="V23:X23"/>
    <mergeCell ref="B24:F24"/>
    <mergeCell ref="G24:I24"/>
    <mergeCell ref="J24:L24"/>
    <mergeCell ref="M24:O24"/>
    <mergeCell ref="P24:R24"/>
    <mergeCell ref="S24:U24"/>
    <mergeCell ref="V24:X24"/>
    <mergeCell ref="B21:F21"/>
    <mergeCell ref="G21:I21"/>
    <mergeCell ref="J21:L21"/>
    <mergeCell ref="M21:O21"/>
    <mergeCell ref="P21:R21"/>
    <mergeCell ref="S21:U21"/>
    <mergeCell ref="V21:X21"/>
    <mergeCell ref="B22:F22"/>
    <mergeCell ref="G22:I22"/>
    <mergeCell ref="J22:L22"/>
    <mergeCell ref="M22:O22"/>
    <mergeCell ref="P22:R22"/>
    <mergeCell ref="S22:U22"/>
    <mergeCell ref="V22:X22"/>
    <mergeCell ref="B19:F19"/>
    <mergeCell ref="G19:I19"/>
    <mergeCell ref="J19:L19"/>
    <mergeCell ref="M19:O19"/>
    <mergeCell ref="P19:R19"/>
    <mergeCell ref="S19:U19"/>
    <mergeCell ref="V19:X19"/>
    <mergeCell ref="B20:F20"/>
    <mergeCell ref="G20:I20"/>
    <mergeCell ref="J20:L20"/>
    <mergeCell ref="M20:O20"/>
    <mergeCell ref="P20:R20"/>
    <mergeCell ref="S20:U20"/>
    <mergeCell ref="V20:X20"/>
    <mergeCell ref="B17:F17"/>
    <mergeCell ref="G17:I17"/>
    <mergeCell ref="J17:L17"/>
    <mergeCell ref="M17:O17"/>
    <mergeCell ref="P17:R17"/>
    <mergeCell ref="S17:U17"/>
    <mergeCell ref="V17:X17"/>
    <mergeCell ref="B18:F18"/>
    <mergeCell ref="G18:I18"/>
    <mergeCell ref="J18:L18"/>
    <mergeCell ref="M18:O18"/>
    <mergeCell ref="P18:R18"/>
    <mergeCell ref="S18:U18"/>
    <mergeCell ref="V18:X18"/>
    <mergeCell ref="BS65:BU66"/>
    <mergeCell ref="B66:C66"/>
    <mergeCell ref="D66:I66"/>
    <mergeCell ref="J66:K66"/>
    <mergeCell ref="L66:R66"/>
    <mergeCell ref="T66:X66"/>
    <mergeCell ref="Y66:AC66"/>
    <mergeCell ref="AX65:AY65"/>
    <mergeCell ref="AZ65:BA65"/>
    <mergeCell ref="BB65:BC65"/>
    <mergeCell ref="BD65:BE65"/>
    <mergeCell ref="BF65:BG65"/>
    <mergeCell ref="BH65:BI65"/>
    <mergeCell ref="AL65:AM65"/>
    <mergeCell ref="AN65:AO65"/>
    <mergeCell ref="AP65:AQ65"/>
    <mergeCell ref="AR65:AS65"/>
    <mergeCell ref="AT65:AU65"/>
    <mergeCell ref="AV65:AW65"/>
    <mergeCell ref="B65:C65"/>
    <mergeCell ref="D65:I65"/>
    <mergeCell ref="J65:K65"/>
    <mergeCell ref="L65:R65"/>
    <mergeCell ref="T65:X65"/>
    <mergeCell ref="Y65:AC65"/>
    <mergeCell ref="AD65:AE65"/>
    <mergeCell ref="AF65:AJ65"/>
    <mergeCell ref="B64:C64"/>
    <mergeCell ref="D64:I64"/>
    <mergeCell ref="J64:K64"/>
    <mergeCell ref="L64:R64"/>
    <mergeCell ref="T64:X64"/>
    <mergeCell ref="Y64:AC64"/>
    <mergeCell ref="AR66:AS66"/>
    <mergeCell ref="BK65:BL66"/>
    <mergeCell ref="BM65:BO66"/>
    <mergeCell ref="BF66:BG66"/>
    <mergeCell ref="BH66:BI66"/>
    <mergeCell ref="AT66:AU66"/>
    <mergeCell ref="AV66:AW66"/>
    <mergeCell ref="AX66:AY66"/>
    <mergeCell ref="AZ66:BA66"/>
    <mergeCell ref="BB66:BC66"/>
    <mergeCell ref="BD66:BE66"/>
    <mergeCell ref="AL62:AM62"/>
    <mergeCell ref="AN62:AO62"/>
    <mergeCell ref="AP62:AQ62"/>
    <mergeCell ref="AR62:AS62"/>
    <mergeCell ref="AT62:AU62"/>
    <mergeCell ref="BM61:BO62"/>
    <mergeCell ref="BP61:BR61"/>
    <mergeCell ref="Y62:AC62"/>
    <mergeCell ref="AD62:AE62"/>
    <mergeCell ref="AZ61:BA61"/>
    <mergeCell ref="BB61:BC61"/>
    <mergeCell ref="BD61:BE61"/>
    <mergeCell ref="BF61:BG61"/>
    <mergeCell ref="BH61:BI61"/>
    <mergeCell ref="BK61:BL62"/>
    <mergeCell ref="BH62:BI62"/>
    <mergeCell ref="AD66:AE66"/>
    <mergeCell ref="AF66:AJ66"/>
    <mergeCell ref="AL66:AM66"/>
    <mergeCell ref="AN66:AO66"/>
    <mergeCell ref="AP66:AQ66"/>
    <mergeCell ref="AD64:AE64"/>
    <mergeCell ref="AF64:AJ64"/>
    <mergeCell ref="BP65:BR65"/>
    <mergeCell ref="BP66:BR66"/>
    <mergeCell ref="BW60:CH66"/>
    <mergeCell ref="B61:C61"/>
    <mergeCell ref="D61:I61"/>
    <mergeCell ref="J61:K61"/>
    <mergeCell ref="L61:R61"/>
    <mergeCell ref="T61:X61"/>
    <mergeCell ref="Y61:AC61"/>
    <mergeCell ref="AD61:AE61"/>
    <mergeCell ref="AF61:AJ61"/>
    <mergeCell ref="AL61:AM61"/>
    <mergeCell ref="BS61:BU62"/>
    <mergeCell ref="B62:C62"/>
    <mergeCell ref="D62:I62"/>
    <mergeCell ref="J62:K62"/>
    <mergeCell ref="L62:R62"/>
    <mergeCell ref="T62:X62"/>
    <mergeCell ref="BP62:BR62"/>
    <mergeCell ref="B63:C63"/>
    <mergeCell ref="D63:I63"/>
    <mergeCell ref="J63:K63"/>
    <mergeCell ref="L63:R63"/>
    <mergeCell ref="T63:X63"/>
    <mergeCell ref="Y63:AC63"/>
    <mergeCell ref="AD63:AE63"/>
    <mergeCell ref="AF63:AJ63"/>
    <mergeCell ref="AV62:AW62"/>
    <mergeCell ref="AX62:AY62"/>
    <mergeCell ref="AZ62:BA62"/>
    <mergeCell ref="BB62:BC62"/>
    <mergeCell ref="BD62:BE62"/>
    <mergeCell ref="BF62:BG62"/>
    <mergeCell ref="AF62:AJ62"/>
    <mergeCell ref="B59:C59"/>
    <mergeCell ref="D59:I59"/>
    <mergeCell ref="J59:K59"/>
    <mergeCell ref="L59:R59"/>
    <mergeCell ref="T59:X59"/>
    <mergeCell ref="Y59:AC59"/>
    <mergeCell ref="AD59:AE59"/>
    <mergeCell ref="AT58:AU58"/>
    <mergeCell ref="AV58:AW58"/>
    <mergeCell ref="AF59:AJ59"/>
    <mergeCell ref="AN61:AO61"/>
    <mergeCell ref="AP61:AQ61"/>
    <mergeCell ref="AR61:AS61"/>
    <mergeCell ref="AT61:AU61"/>
    <mergeCell ref="AV61:AW61"/>
    <mergeCell ref="AX61:AY61"/>
    <mergeCell ref="B60:C60"/>
    <mergeCell ref="D60:I60"/>
    <mergeCell ref="J60:K60"/>
    <mergeCell ref="L60:R60"/>
    <mergeCell ref="T60:X60"/>
    <mergeCell ref="Y60:AC60"/>
    <mergeCell ref="AD60:AE60"/>
    <mergeCell ref="AF60:AJ60"/>
    <mergeCell ref="B55:C55"/>
    <mergeCell ref="D55:I55"/>
    <mergeCell ref="J55:K55"/>
    <mergeCell ref="BS57:BU58"/>
    <mergeCell ref="B58:C58"/>
    <mergeCell ref="D58:I58"/>
    <mergeCell ref="J58:K58"/>
    <mergeCell ref="L58:R58"/>
    <mergeCell ref="T58:X58"/>
    <mergeCell ref="Y58:AC58"/>
    <mergeCell ref="AX57:AY57"/>
    <mergeCell ref="AZ57:BA57"/>
    <mergeCell ref="BB57:BC57"/>
    <mergeCell ref="BD57:BE57"/>
    <mergeCell ref="BF57:BG57"/>
    <mergeCell ref="BH57:BI57"/>
    <mergeCell ref="AL57:AM57"/>
    <mergeCell ref="AN57:AO57"/>
    <mergeCell ref="AP57:AQ57"/>
    <mergeCell ref="AR57:AS57"/>
    <mergeCell ref="AT57:AU57"/>
    <mergeCell ref="AV57:AW57"/>
    <mergeCell ref="BF58:BG58"/>
    <mergeCell ref="BH58:BI58"/>
    <mergeCell ref="BP58:BR58"/>
    <mergeCell ref="AX58:AY58"/>
    <mergeCell ref="AZ58:BA58"/>
    <mergeCell ref="BB58:BC58"/>
    <mergeCell ref="BD58:BE58"/>
    <mergeCell ref="AD58:AE58"/>
    <mergeCell ref="AF58:AJ58"/>
    <mergeCell ref="AL58:AM58"/>
    <mergeCell ref="AD56:AE56"/>
    <mergeCell ref="AF56:AJ56"/>
    <mergeCell ref="B57:C57"/>
    <mergeCell ref="D57:I57"/>
    <mergeCell ref="J57:K57"/>
    <mergeCell ref="L57:R57"/>
    <mergeCell ref="T57:X57"/>
    <mergeCell ref="Y57:AC57"/>
    <mergeCell ref="AD57:AE57"/>
    <mergeCell ref="AF57:AJ57"/>
    <mergeCell ref="B56:C56"/>
    <mergeCell ref="D56:I56"/>
    <mergeCell ref="J56:K56"/>
    <mergeCell ref="L56:R56"/>
    <mergeCell ref="T56:X56"/>
    <mergeCell ref="Y56:AC56"/>
    <mergeCell ref="BP57:BR57"/>
    <mergeCell ref="BM57:BO58"/>
    <mergeCell ref="BK57:BL58"/>
    <mergeCell ref="AN58:AO58"/>
    <mergeCell ref="AP58:AQ58"/>
    <mergeCell ref="AR58:AS58"/>
    <mergeCell ref="L55:R55"/>
    <mergeCell ref="T55:X55"/>
    <mergeCell ref="Y55:AC55"/>
    <mergeCell ref="AD55:AE55"/>
    <mergeCell ref="AF55:AJ55"/>
    <mergeCell ref="AV54:AW54"/>
    <mergeCell ref="AX54:AY54"/>
    <mergeCell ref="AZ54:BA54"/>
    <mergeCell ref="BB54:BC54"/>
    <mergeCell ref="BD54:BE54"/>
    <mergeCell ref="BF54:BG54"/>
    <mergeCell ref="AF54:AJ54"/>
    <mergeCell ref="AL54:AM54"/>
    <mergeCell ref="BW52:CH57"/>
    <mergeCell ref="B53:C53"/>
    <mergeCell ref="D53:I53"/>
    <mergeCell ref="J53:K53"/>
    <mergeCell ref="L53:R53"/>
    <mergeCell ref="T53:X53"/>
    <mergeCell ref="Y53:AC53"/>
    <mergeCell ref="AD53:AE53"/>
    <mergeCell ref="AF53:AJ53"/>
    <mergeCell ref="AL53:AM53"/>
    <mergeCell ref="BS53:BU54"/>
    <mergeCell ref="B54:C54"/>
    <mergeCell ref="D54:I54"/>
    <mergeCell ref="J54:K54"/>
    <mergeCell ref="L54:R54"/>
    <mergeCell ref="T54:X54"/>
    <mergeCell ref="Y54:AC54"/>
    <mergeCell ref="AD54:AE54"/>
    <mergeCell ref="AZ53:BA53"/>
    <mergeCell ref="B50:C50"/>
    <mergeCell ref="D50:I50"/>
    <mergeCell ref="AF51:AJ51"/>
    <mergeCell ref="B52:C52"/>
    <mergeCell ref="D52:I52"/>
    <mergeCell ref="J52:K52"/>
    <mergeCell ref="L52:R52"/>
    <mergeCell ref="T52:X52"/>
    <mergeCell ref="Y52:AC52"/>
    <mergeCell ref="AD52:AE52"/>
    <mergeCell ref="AF52:AJ52"/>
    <mergeCell ref="Y50:AC50"/>
    <mergeCell ref="AN50:AO50"/>
    <mergeCell ref="AP50:AQ50"/>
    <mergeCell ref="AR50:AS50"/>
    <mergeCell ref="AN54:AO54"/>
    <mergeCell ref="AP54:AQ54"/>
    <mergeCell ref="AR54:AS54"/>
    <mergeCell ref="B51:C51"/>
    <mergeCell ref="D51:I51"/>
    <mergeCell ref="J51:K51"/>
    <mergeCell ref="L51:R51"/>
    <mergeCell ref="T51:X51"/>
    <mergeCell ref="Y51:AC51"/>
    <mergeCell ref="AD51:AE51"/>
    <mergeCell ref="AN53:AO53"/>
    <mergeCell ref="AP53:AQ53"/>
    <mergeCell ref="AR53:AS53"/>
    <mergeCell ref="AD50:AE50"/>
    <mergeCell ref="AF50:AJ50"/>
    <mergeCell ref="AL50:AM50"/>
    <mergeCell ref="AL49:AM49"/>
    <mergeCell ref="AN49:AO49"/>
    <mergeCell ref="AP49:AQ49"/>
    <mergeCell ref="AR49:AS49"/>
    <mergeCell ref="AT49:AU49"/>
    <mergeCell ref="J50:K50"/>
    <mergeCell ref="L50:R50"/>
    <mergeCell ref="T50:X50"/>
    <mergeCell ref="AD48:AE48"/>
    <mergeCell ref="AF48:AJ48"/>
    <mergeCell ref="BB53:BC53"/>
    <mergeCell ref="BD53:BE53"/>
    <mergeCell ref="BW48:CH48"/>
    <mergeCell ref="BF53:BG53"/>
    <mergeCell ref="BH53:BI53"/>
    <mergeCell ref="BK53:BL54"/>
    <mergeCell ref="AT54:AU54"/>
    <mergeCell ref="AT50:AU50"/>
    <mergeCell ref="AZ50:BA50"/>
    <mergeCell ref="BB50:BC50"/>
    <mergeCell ref="BM53:BO54"/>
    <mergeCell ref="BP53:BR53"/>
    <mergeCell ref="BH54:BI54"/>
    <mergeCell ref="AT53:AU53"/>
    <mergeCell ref="AV53:AW53"/>
    <mergeCell ref="AX53:AY53"/>
    <mergeCell ref="BP54:BR54"/>
    <mergeCell ref="B49:C49"/>
    <mergeCell ref="D49:I49"/>
    <mergeCell ref="J49:K49"/>
    <mergeCell ref="L49:R49"/>
    <mergeCell ref="T49:X49"/>
    <mergeCell ref="Y49:AC49"/>
    <mergeCell ref="AD49:AE49"/>
    <mergeCell ref="B48:C48"/>
    <mergeCell ref="D48:I48"/>
    <mergeCell ref="J48:K48"/>
    <mergeCell ref="L48:R48"/>
    <mergeCell ref="T48:X48"/>
    <mergeCell ref="Y48:AC48"/>
    <mergeCell ref="BW49:CH49"/>
    <mergeCell ref="AV49:AW49"/>
    <mergeCell ref="AX49:AY49"/>
    <mergeCell ref="AZ49:BA49"/>
    <mergeCell ref="BB49:BC49"/>
    <mergeCell ref="BD49:BE49"/>
    <mergeCell ref="BF49:BG49"/>
    <mergeCell ref="AF49:AJ49"/>
    <mergeCell ref="BH49:BI49"/>
    <mergeCell ref="BK49:BL50"/>
    <mergeCell ref="BM49:BO50"/>
    <mergeCell ref="BP49:BR49"/>
    <mergeCell ref="BS49:BU50"/>
    <mergeCell ref="BF50:BG50"/>
    <mergeCell ref="BH50:BI50"/>
    <mergeCell ref="BP50:BR50"/>
    <mergeCell ref="AV50:AW50"/>
    <mergeCell ref="AX50:AY50"/>
    <mergeCell ref="BD50:BE50"/>
    <mergeCell ref="BW46:CH46"/>
    <mergeCell ref="B47:C47"/>
    <mergeCell ref="D47:I47"/>
    <mergeCell ref="J47:K47"/>
    <mergeCell ref="L47:R47"/>
    <mergeCell ref="T47:X47"/>
    <mergeCell ref="Y47:AC47"/>
    <mergeCell ref="AD47:AE47"/>
    <mergeCell ref="AF47:AJ47"/>
    <mergeCell ref="BW47:CH47"/>
    <mergeCell ref="AZ46:BA46"/>
    <mergeCell ref="BB46:BC46"/>
    <mergeCell ref="BD46:BE46"/>
    <mergeCell ref="BF46:BG46"/>
    <mergeCell ref="BH46:BI46"/>
    <mergeCell ref="BP46:BR46"/>
    <mergeCell ref="AN46:AO46"/>
    <mergeCell ref="AP46:AQ46"/>
    <mergeCell ref="AR46:AS46"/>
    <mergeCell ref="AT46:AU46"/>
    <mergeCell ref="AV46:AW46"/>
    <mergeCell ref="AX46:AY46"/>
    <mergeCell ref="BW45:CH45"/>
    <mergeCell ref="B46:C46"/>
    <mergeCell ref="D46:I46"/>
    <mergeCell ref="J46:K46"/>
    <mergeCell ref="L46:R46"/>
    <mergeCell ref="T46:X46"/>
    <mergeCell ref="Y46:AC46"/>
    <mergeCell ref="AD46:AE46"/>
    <mergeCell ref="AF46:AJ46"/>
    <mergeCell ref="AL46:AM46"/>
    <mergeCell ref="BF45:BG45"/>
    <mergeCell ref="BH45:BI45"/>
    <mergeCell ref="BK45:BL46"/>
    <mergeCell ref="BM45:BO46"/>
    <mergeCell ref="BP45:BR45"/>
    <mergeCell ref="BS45:BU46"/>
    <mergeCell ref="AT45:AU45"/>
    <mergeCell ref="AV45:AW45"/>
    <mergeCell ref="AX45:AY45"/>
    <mergeCell ref="AZ45:BA45"/>
    <mergeCell ref="BB45:BC45"/>
    <mergeCell ref="BD45:BE45"/>
    <mergeCell ref="AD45:AE45"/>
    <mergeCell ref="AF45:AJ45"/>
    <mergeCell ref="AN45:AO45"/>
    <mergeCell ref="AP45:AQ45"/>
    <mergeCell ref="AR45:AS45"/>
    <mergeCell ref="B45:C45"/>
    <mergeCell ref="D45:I45"/>
    <mergeCell ref="J45:K45"/>
    <mergeCell ref="L45:R45"/>
    <mergeCell ref="T45:X45"/>
    <mergeCell ref="Y45:AC45"/>
    <mergeCell ref="B44:C44"/>
    <mergeCell ref="D44:I44"/>
    <mergeCell ref="J44:K44"/>
    <mergeCell ref="L44:R44"/>
    <mergeCell ref="T44:X44"/>
    <mergeCell ref="Y44:AC44"/>
    <mergeCell ref="AD44:AE44"/>
    <mergeCell ref="AF44:AJ44"/>
    <mergeCell ref="AL45:AM45"/>
    <mergeCell ref="BB42:BC42"/>
    <mergeCell ref="BD42:BE42"/>
    <mergeCell ref="BF42:BG42"/>
    <mergeCell ref="AF42:AJ42"/>
    <mergeCell ref="AL42:AM42"/>
    <mergeCell ref="AN42:AO42"/>
    <mergeCell ref="AP42:AQ42"/>
    <mergeCell ref="AR42:AS42"/>
    <mergeCell ref="AT42:AU42"/>
    <mergeCell ref="B43:C43"/>
    <mergeCell ref="D43:I43"/>
    <mergeCell ref="J43:K43"/>
    <mergeCell ref="L43:R43"/>
    <mergeCell ref="T43:X43"/>
    <mergeCell ref="Y43:AC43"/>
    <mergeCell ref="AD43:AE43"/>
    <mergeCell ref="AV42:AW42"/>
    <mergeCell ref="AX42:AY42"/>
    <mergeCell ref="AF43:AJ43"/>
    <mergeCell ref="BQ41:BU41"/>
    <mergeCell ref="B42:C42"/>
    <mergeCell ref="D42:I42"/>
    <mergeCell ref="J42:K42"/>
    <mergeCell ref="L42:R42"/>
    <mergeCell ref="T42:X42"/>
    <mergeCell ref="Y42:AC42"/>
    <mergeCell ref="AD42:AE42"/>
    <mergeCell ref="AV41:AW41"/>
    <mergeCell ref="AX41:AY41"/>
    <mergeCell ref="AZ41:BA41"/>
    <mergeCell ref="BB41:BC41"/>
    <mergeCell ref="BD41:BE41"/>
    <mergeCell ref="BF41:BG41"/>
    <mergeCell ref="AF41:AJ41"/>
    <mergeCell ref="AL41:AM41"/>
    <mergeCell ref="AN41:AO41"/>
    <mergeCell ref="AP41:AQ41"/>
    <mergeCell ref="AR41:AS41"/>
    <mergeCell ref="AT41:AU41"/>
    <mergeCell ref="BH42:BI42"/>
    <mergeCell ref="BK42:BP42"/>
    <mergeCell ref="BQ42:BU42"/>
    <mergeCell ref="AZ42:BA42"/>
    <mergeCell ref="B41:C41"/>
    <mergeCell ref="D41:I41"/>
    <mergeCell ref="J41:K41"/>
    <mergeCell ref="L41:R41"/>
    <mergeCell ref="T41:X41"/>
    <mergeCell ref="Y41:AC41"/>
    <mergeCell ref="AD41:AE41"/>
    <mergeCell ref="BH41:BI41"/>
    <mergeCell ref="BK41:BP41"/>
    <mergeCell ref="BQ39:BU39"/>
    <mergeCell ref="B40:C40"/>
    <mergeCell ref="D40:I40"/>
    <mergeCell ref="J40:K40"/>
    <mergeCell ref="L40:R40"/>
    <mergeCell ref="T40:X40"/>
    <mergeCell ref="Y40:AC40"/>
    <mergeCell ref="AD40:AE40"/>
    <mergeCell ref="AF40:AJ40"/>
    <mergeCell ref="BK40:BP40"/>
    <mergeCell ref="BQ40:BU40"/>
    <mergeCell ref="BH38:BI38"/>
    <mergeCell ref="BK38:BP38"/>
    <mergeCell ref="BQ38:BU38"/>
    <mergeCell ref="B39:C39"/>
    <mergeCell ref="D39:I39"/>
    <mergeCell ref="J39:K39"/>
    <mergeCell ref="L39:R39"/>
    <mergeCell ref="T39:X39"/>
    <mergeCell ref="Y39:AC39"/>
    <mergeCell ref="AD39:AE39"/>
    <mergeCell ref="AV38:AW38"/>
    <mergeCell ref="AX38:AY38"/>
    <mergeCell ref="AZ38:BA38"/>
    <mergeCell ref="BB38:BC38"/>
    <mergeCell ref="BD38:BE38"/>
    <mergeCell ref="BF38:BG38"/>
    <mergeCell ref="AF38:AJ38"/>
    <mergeCell ref="AL38:AM38"/>
    <mergeCell ref="AN38:AO38"/>
    <mergeCell ref="AP38:AQ38"/>
    <mergeCell ref="AR38:AS38"/>
    <mergeCell ref="AT38:AU38"/>
    <mergeCell ref="AF39:AJ39"/>
    <mergeCell ref="BK39:BP39"/>
    <mergeCell ref="B38:C38"/>
    <mergeCell ref="D38:I38"/>
    <mergeCell ref="J38:K38"/>
    <mergeCell ref="L38:R38"/>
    <mergeCell ref="T38:X38"/>
    <mergeCell ref="Y38:AC38"/>
    <mergeCell ref="AD38:AE38"/>
    <mergeCell ref="AV37:AW37"/>
    <mergeCell ref="AX37:AY37"/>
    <mergeCell ref="AF37:AJ37"/>
    <mergeCell ref="AL37:AM37"/>
    <mergeCell ref="AN37:AO37"/>
    <mergeCell ref="AP37:AQ37"/>
    <mergeCell ref="AR37:AS37"/>
    <mergeCell ref="AT37:AU37"/>
    <mergeCell ref="B37:C37"/>
    <mergeCell ref="D37:I37"/>
    <mergeCell ref="J37:K37"/>
    <mergeCell ref="L37:R37"/>
    <mergeCell ref="T37:X37"/>
    <mergeCell ref="Y37:AC37"/>
    <mergeCell ref="AD37:AE37"/>
    <mergeCell ref="B36:I36"/>
    <mergeCell ref="J36:K36"/>
    <mergeCell ref="L36:R36"/>
    <mergeCell ref="S36:X36"/>
    <mergeCell ref="Y36:AC36"/>
    <mergeCell ref="AD36:AE36"/>
    <mergeCell ref="BH37:BI37"/>
    <mergeCell ref="BK37:BP37"/>
    <mergeCell ref="BQ37:BU37"/>
    <mergeCell ref="AZ37:BA37"/>
    <mergeCell ref="BB37:BC37"/>
    <mergeCell ref="BD37:BE37"/>
    <mergeCell ref="BF37:BG37"/>
    <mergeCell ref="BR32:BS32"/>
    <mergeCell ref="BT32:BU32"/>
    <mergeCell ref="AC33:AD33"/>
    <mergeCell ref="AE33:AH33"/>
    <mergeCell ref="AI33:AL33"/>
    <mergeCell ref="AM33:AP33"/>
    <mergeCell ref="AQ33:AT33"/>
    <mergeCell ref="AU33:AX33"/>
    <mergeCell ref="AE32:AH32"/>
    <mergeCell ref="AI32:AL32"/>
    <mergeCell ref="AM32:AP32"/>
    <mergeCell ref="AQ32:AT32"/>
    <mergeCell ref="AU32:AX32"/>
    <mergeCell ref="AY32:BB32"/>
    <mergeCell ref="G33:I33"/>
    <mergeCell ref="J33:L33"/>
    <mergeCell ref="AF36:AJ36"/>
    <mergeCell ref="BK36:BP36"/>
    <mergeCell ref="BQ36:BU36"/>
    <mergeCell ref="M33:O33"/>
    <mergeCell ref="P33:R33"/>
    <mergeCell ref="S33:U33"/>
    <mergeCell ref="V33:X33"/>
    <mergeCell ref="BF31:BG31"/>
    <mergeCell ref="BH31:BK31"/>
    <mergeCell ref="BR31:BS31"/>
    <mergeCell ref="BT31:BU31"/>
    <mergeCell ref="B83:D84"/>
    <mergeCell ref="E83:G84"/>
    <mergeCell ref="H83:I84"/>
    <mergeCell ref="J83:K84"/>
    <mergeCell ref="L83:AA84"/>
    <mergeCell ref="AC32:AD32"/>
    <mergeCell ref="AE31:AH31"/>
    <mergeCell ref="AI31:AL31"/>
    <mergeCell ref="AM31:AP31"/>
    <mergeCell ref="AQ31:AT31"/>
    <mergeCell ref="AU31:AX31"/>
    <mergeCell ref="AY31:BB31"/>
    <mergeCell ref="B82:D82"/>
    <mergeCell ref="E82:G82"/>
    <mergeCell ref="H82:I82"/>
    <mergeCell ref="J82:K82"/>
    <mergeCell ref="L82:AA82"/>
    <mergeCell ref="AC31:AD31"/>
    <mergeCell ref="AY33:BB33"/>
    <mergeCell ref="BL33:BN34"/>
    <mergeCell ref="BO33:BR34"/>
    <mergeCell ref="BS33:BU34"/>
    <mergeCell ref="B35:U35"/>
    <mergeCell ref="V35:X35"/>
    <mergeCell ref="Y35:AG35"/>
    <mergeCell ref="AH35:AJ35"/>
    <mergeCell ref="BF32:BG32"/>
    <mergeCell ref="BH32:BK32"/>
    <mergeCell ref="AC30:AD30"/>
    <mergeCell ref="AE30:AF30"/>
    <mergeCell ref="AG30:AH30"/>
    <mergeCell ref="AI30:AJ30"/>
    <mergeCell ref="AK30:AL30"/>
    <mergeCell ref="AO29:AP29"/>
    <mergeCell ref="AQ29:AR29"/>
    <mergeCell ref="AS29:AT29"/>
    <mergeCell ref="AU29:AV29"/>
    <mergeCell ref="AW29:AX29"/>
    <mergeCell ref="AY29:AZ29"/>
    <mergeCell ref="AC29:AD29"/>
    <mergeCell ref="AE29:AF29"/>
    <mergeCell ref="AG29:AH29"/>
    <mergeCell ref="AI29:AJ29"/>
    <mergeCell ref="AK29:AL29"/>
    <mergeCell ref="AM29:AN29"/>
    <mergeCell ref="C79:K79"/>
    <mergeCell ref="L79:AA79"/>
    <mergeCell ref="AC28:AD28"/>
    <mergeCell ref="AE28:AF28"/>
    <mergeCell ref="AG28:AH28"/>
    <mergeCell ref="AI28:AJ28"/>
    <mergeCell ref="AK28:AL28"/>
    <mergeCell ref="AS27:AT27"/>
    <mergeCell ref="AU27:AV27"/>
    <mergeCell ref="AW27:AX27"/>
    <mergeCell ref="AY27:AZ27"/>
    <mergeCell ref="BA27:BB27"/>
    <mergeCell ref="BF27:BG27"/>
    <mergeCell ref="AG27:AH27"/>
    <mergeCell ref="AI27:AJ27"/>
    <mergeCell ref="AK27:AL27"/>
    <mergeCell ref="AI26:AJ26"/>
    <mergeCell ref="AY30:AZ30"/>
    <mergeCell ref="BA30:BB30"/>
    <mergeCell ref="AM27:AN27"/>
    <mergeCell ref="AO27:AP27"/>
    <mergeCell ref="AQ27:AR27"/>
    <mergeCell ref="AY28:AZ28"/>
    <mergeCell ref="BA28:BB28"/>
    <mergeCell ref="BF28:BG28"/>
    <mergeCell ref="AM28:AN28"/>
    <mergeCell ref="AO28:AP28"/>
    <mergeCell ref="AQ28:AR28"/>
    <mergeCell ref="AS28:AT28"/>
    <mergeCell ref="AU28:AV28"/>
    <mergeCell ref="AW28:AX28"/>
    <mergeCell ref="BF30:BG30"/>
    <mergeCell ref="C78:K78"/>
    <mergeCell ref="L78:M78"/>
    <mergeCell ref="N78:O78"/>
    <mergeCell ref="P78:S78"/>
    <mergeCell ref="T78:U78"/>
    <mergeCell ref="V78:W78"/>
    <mergeCell ref="X78:AA78"/>
    <mergeCell ref="AC27:AD27"/>
    <mergeCell ref="AE27:AF27"/>
    <mergeCell ref="AW26:AX26"/>
    <mergeCell ref="AY26:AZ26"/>
    <mergeCell ref="BA26:BB26"/>
    <mergeCell ref="BF26:BG26"/>
    <mergeCell ref="BH26:BK26"/>
    <mergeCell ref="BR26:BS26"/>
    <mergeCell ref="AK26:AL26"/>
    <mergeCell ref="C75:K75"/>
    <mergeCell ref="L75:O75"/>
    <mergeCell ref="AM26:AN26"/>
    <mergeCell ref="AO26:AP26"/>
    <mergeCell ref="AQ26:AR26"/>
    <mergeCell ref="AS26:AT26"/>
    <mergeCell ref="AU26:AV26"/>
    <mergeCell ref="BH27:BK27"/>
    <mergeCell ref="BR27:BS27"/>
    <mergeCell ref="BH28:BK28"/>
    <mergeCell ref="BR28:BS28"/>
    <mergeCell ref="BH30:BK30"/>
    <mergeCell ref="BR30:BS30"/>
    <mergeCell ref="AM30:AN30"/>
    <mergeCell ref="AO30:AP30"/>
    <mergeCell ref="AQ30:AR30"/>
    <mergeCell ref="C76:K76"/>
    <mergeCell ref="L76:M76"/>
    <mergeCell ref="N76:O76"/>
    <mergeCell ref="P76:S76"/>
    <mergeCell ref="T76:U76"/>
    <mergeCell ref="V76:W76"/>
    <mergeCell ref="X76:AA76"/>
    <mergeCell ref="AC25:AD26"/>
    <mergeCell ref="AE25:AH25"/>
    <mergeCell ref="BH25:BK25"/>
    <mergeCell ref="BR25:BS25"/>
    <mergeCell ref="BT25:BU25"/>
    <mergeCell ref="C77:K77"/>
    <mergeCell ref="L77:O77"/>
    <mergeCell ref="P77:S77"/>
    <mergeCell ref="T77:AA77"/>
    <mergeCell ref="AE26:AF26"/>
    <mergeCell ref="AG26:AH26"/>
    <mergeCell ref="AI25:AL25"/>
    <mergeCell ref="AM25:AP25"/>
    <mergeCell ref="AQ25:AT25"/>
    <mergeCell ref="AU25:AX25"/>
    <mergeCell ref="AY25:BB25"/>
    <mergeCell ref="BF25:BG25"/>
    <mergeCell ref="BT26:BU26"/>
    <mergeCell ref="BT27:BU27"/>
    <mergeCell ref="BT28:BU28"/>
    <mergeCell ref="BT30:BU30"/>
    <mergeCell ref="AS30:AT30"/>
    <mergeCell ref="AU30:AV30"/>
    <mergeCell ref="AW30:AX30"/>
    <mergeCell ref="BA29:BB29"/>
    <mergeCell ref="BR22:BS22"/>
    <mergeCell ref="BT22:BU22"/>
    <mergeCell ref="F74:K74"/>
    <mergeCell ref="L74:M74"/>
    <mergeCell ref="N74:O74"/>
    <mergeCell ref="P74:S74"/>
    <mergeCell ref="T74:U74"/>
    <mergeCell ref="V74:W74"/>
    <mergeCell ref="AK22:AM22"/>
    <mergeCell ref="AN22:AP22"/>
    <mergeCell ref="AQ22:AS22"/>
    <mergeCell ref="AT22:AV22"/>
    <mergeCell ref="AW22:AY22"/>
    <mergeCell ref="AZ22:BB22"/>
    <mergeCell ref="X74:AA74"/>
    <mergeCell ref="BF23:BG23"/>
    <mergeCell ref="BH23:BK23"/>
    <mergeCell ref="BR23:BS23"/>
    <mergeCell ref="BT23:BU23"/>
    <mergeCell ref="F73:K73"/>
    <mergeCell ref="L73:M73"/>
    <mergeCell ref="N73:O73"/>
    <mergeCell ref="P73:S73"/>
    <mergeCell ref="T73:U73"/>
    <mergeCell ref="BF24:BG24"/>
    <mergeCell ref="BH24:BK24"/>
    <mergeCell ref="BR24:BS24"/>
    <mergeCell ref="BT24:BU24"/>
    <mergeCell ref="BF29:BG29"/>
    <mergeCell ref="BH29:BK29"/>
    <mergeCell ref="BR29:BS29"/>
    <mergeCell ref="BT29:BU29"/>
    <mergeCell ref="BH21:BK21"/>
    <mergeCell ref="BF22:BG22"/>
    <mergeCell ref="BH22:BK22"/>
    <mergeCell ref="V73:W73"/>
    <mergeCell ref="X73:AA73"/>
    <mergeCell ref="AG22:AJ22"/>
    <mergeCell ref="AQ21:AS21"/>
    <mergeCell ref="BH18:BK18"/>
    <mergeCell ref="BR20:BS20"/>
    <mergeCell ref="BT20:BU20"/>
    <mergeCell ref="F72:K72"/>
    <mergeCell ref="L72:M72"/>
    <mergeCell ref="N72:O72"/>
    <mergeCell ref="Q72:R72"/>
    <mergeCell ref="T72:U72"/>
    <mergeCell ref="V72:W72"/>
    <mergeCell ref="Y72:Z72"/>
    <mergeCell ref="AG21:AJ21"/>
    <mergeCell ref="AQ20:AS20"/>
    <mergeCell ref="AT20:AV20"/>
    <mergeCell ref="AW20:AY20"/>
    <mergeCell ref="AZ20:BB20"/>
    <mergeCell ref="BF20:BG20"/>
    <mergeCell ref="BH20:BK20"/>
    <mergeCell ref="AK21:AM21"/>
    <mergeCell ref="AN21:AP21"/>
    <mergeCell ref="BR21:BS21"/>
    <mergeCell ref="BT21:BU21"/>
    <mergeCell ref="AT21:AV21"/>
    <mergeCell ref="AW21:AY21"/>
    <mergeCell ref="AZ21:BB21"/>
    <mergeCell ref="BF21:BG21"/>
    <mergeCell ref="BR18:BS18"/>
    <mergeCell ref="BT18:BU18"/>
    <mergeCell ref="C70:E74"/>
    <mergeCell ref="F70:K70"/>
    <mergeCell ref="L70:M70"/>
    <mergeCell ref="N70:O70"/>
    <mergeCell ref="P70:S70"/>
    <mergeCell ref="T70:U70"/>
    <mergeCell ref="BR19:BS19"/>
    <mergeCell ref="BT19:BU19"/>
    <mergeCell ref="F71:K71"/>
    <mergeCell ref="L71:M71"/>
    <mergeCell ref="N71:O71"/>
    <mergeCell ref="P71:S71"/>
    <mergeCell ref="T71:U71"/>
    <mergeCell ref="V71:W71"/>
    <mergeCell ref="X71:AA71"/>
    <mergeCell ref="AG20:AJ20"/>
    <mergeCell ref="AQ19:AS19"/>
    <mergeCell ref="AT19:AV19"/>
    <mergeCell ref="AW19:AY19"/>
    <mergeCell ref="AZ19:BB19"/>
    <mergeCell ref="BF19:BG19"/>
    <mergeCell ref="BH19:BK19"/>
    <mergeCell ref="V70:W70"/>
    <mergeCell ref="X70:AA70"/>
    <mergeCell ref="AC19:AF22"/>
    <mergeCell ref="AG19:AJ19"/>
    <mergeCell ref="AK19:AM19"/>
    <mergeCell ref="AN19:AP19"/>
    <mergeCell ref="AK20:AM20"/>
    <mergeCell ref="AN20:AP20"/>
    <mergeCell ref="BR16:BS16"/>
    <mergeCell ref="BT16:BU16"/>
    <mergeCell ref="AC17:AF18"/>
    <mergeCell ref="AG17:AJ17"/>
    <mergeCell ref="AK17:AM17"/>
    <mergeCell ref="AN17:AP17"/>
    <mergeCell ref="AQ17:AS17"/>
    <mergeCell ref="BT17:BU17"/>
    <mergeCell ref="B69:K69"/>
    <mergeCell ref="L69:AA69"/>
    <mergeCell ref="AG18:AJ18"/>
    <mergeCell ref="AK18:AM18"/>
    <mergeCell ref="AN18:AP18"/>
    <mergeCell ref="AQ18:AS18"/>
    <mergeCell ref="AT18:AV18"/>
    <mergeCell ref="AW18:AY18"/>
    <mergeCell ref="AZ18:BB18"/>
    <mergeCell ref="AT17:AV17"/>
    <mergeCell ref="AW17:AY17"/>
    <mergeCell ref="AZ17:BB17"/>
    <mergeCell ref="BF17:BG17"/>
    <mergeCell ref="BH17:BK17"/>
    <mergeCell ref="BR17:BS17"/>
    <mergeCell ref="BF18:BG18"/>
    <mergeCell ref="AC16:AJ16"/>
    <mergeCell ref="AK16:AM16"/>
    <mergeCell ref="AN16:AP16"/>
    <mergeCell ref="AQ16:AS16"/>
    <mergeCell ref="AT16:AV16"/>
    <mergeCell ref="AW16:AY16"/>
    <mergeCell ref="AZ16:BB16"/>
    <mergeCell ref="BF16:BG16"/>
    <mergeCell ref="BH16:BK16"/>
    <mergeCell ref="BH14:BK14"/>
    <mergeCell ref="BR14:BS14"/>
    <mergeCell ref="BT14:BU14"/>
    <mergeCell ref="B15:F15"/>
    <mergeCell ref="G15:I15"/>
    <mergeCell ref="J15:L15"/>
    <mergeCell ref="M15:O15"/>
    <mergeCell ref="P15:R15"/>
    <mergeCell ref="S15:U15"/>
    <mergeCell ref="V15:W15"/>
    <mergeCell ref="X15:AA15"/>
    <mergeCell ref="BF15:BG15"/>
    <mergeCell ref="BH15:BK15"/>
    <mergeCell ref="BR15:BS15"/>
    <mergeCell ref="BT15:BU15"/>
    <mergeCell ref="B13:F13"/>
    <mergeCell ref="G13:I13"/>
    <mergeCell ref="J13:L13"/>
    <mergeCell ref="M13:O13"/>
    <mergeCell ref="P13:R13"/>
    <mergeCell ref="S13:U13"/>
    <mergeCell ref="BR13:BS13"/>
    <mergeCell ref="BT13:BU13"/>
    <mergeCell ref="B14:F14"/>
    <mergeCell ref="G14:I14"/>
    <mergeCell ref="J14:L14"/>
    <mergeCell ref="M14:O14"/>
    <mergeCell ref="P14:R14"/>
    <mergeCell ref="S14:U14"/>
    <mergeCell ref="AC14:AJ14"/>
    <mergeCell ref="AK14:AL14"/>
    <mergeCell ref="AN14:BB14"/>
    <mergeCell ref="BF14:BG14"/>
    <mergeCell ref="BT11:BU11"/>
    <mergeCell ref="B12:F12"/>
    <mergeCell ref="G12:I12"/>
    <mergeCell ref="J12:L12"/>
    <mergeCell ref="M12:O12"/>
    <mergeCell ref="P12:R12"/>
    <mergeCell ref="S12:U12"/>
    <mergeCell ref="AC12:AJ12"/>
    <mergeCell ref="AK12:AL12"/>
    <mergeCell ref="AN12:BB12"/>
    <mergeCell ref="AC11:AJ11"/>
    <mergeCell ref="AK11:AL11"/>
    <mergeCell ref="AN11:BB11"/>
    <mergeCell ref="BF11:BG11"/>
    <mergeCell ref="BH11:BK11"/>
    <mergeCell ref="BR11:BS11"/>
    <mergeCell ref="BF12:BG12"/>
    <mergeCell ref="BH12:BK12"/>
    <mergeCell ref="BR12:BS12"/>
    <mergeCell ref="BT12:BU12"/>
    <mergeCell ref="B11:F11"/>
    <mergeCell ref="G11:I11"/>
    <mergeCell ref="J11:L11"/>
    <mergeCell ref="M11:O11"/>
    <mergeCell ref="P11:R11"/>
    <mergeCell ref="V14:X14"/>
    <mergeCell ref="Y14:AA14"/>
    <mergeCell ref="S11:U11"/>
    <mergeCell ref="AC13:AJ13"/>
    <mergeCell ref="AK13:AL13"/>
    <mergeCell ref="B8:F8"/>
    <mergeCell ref="G8:I8"/>
    <mergeCell ref="J8:L8"/>
    <mergeCell ref="M8:O8"/>
    <mergeCell ref="P8:R8"/>
    <mergeCell ref="B10:F10"/>
    <mergeCell ref="G10:I10"/>
    <mergeCell ref="J10:L10"/>
    <mergeCell ref="M10:O10"/>
    <mergeCell ref="P10:R10"/>
    <mergeCell ref="S10:U10"/>
    <mergeCell ref="BF9:BG9"/>
    <mergeCell ref="BH9:BK9"/>
    <mergeCell ref="BR9:BS9"/>
    <mergeCell ref="BT9:BU9"/>
    <mergeCell ref="AC10:AJ10"/>
    <mergeCell ref="AK10:AM10"/>
    <mergeCell ref="AN10:BB10"/>
    <mergeCell ref="BF10:BG10"/>
    <mergeCell ref="BH10:BK10"/>
    <mergeCell ref="BR10:BS10"/>
    <mergeCell ref="BT10:BU10"/>
    <mergeCell ref="B9:F9"/>
    <mergeCell ref="G9:I9"/>
    <mergeCell ref="J9:L9"/>
    <mergeCell ref="M9:O9"/>
    <mergeCell ref="P9:R9"/>
    <mergeCell ref="BH8:BK8"/>
    <mergeCell ref="BR8:BS8"/>
    <mergeCell ref="BT8:BU8"/>
    <mergeCell ref="B4:F4"/>
    <mergeCell ref="G4:I4"/>
    <mergeCell ref="BF6:BG6"/>
    <mergeCell ref="AM7:AN7"/>
    <mergeCell ref="AQ7:AR7"/>
    <mergeCell ref="AS7:AT7"/>
    <mergeCell ref="AU7:AV7"/>
    <mergeCell ref="AC7:AD7"/>
    <mergeCell ref="AE7:AF7"/>
    <mergeCell ref="AG7:AH7"/>
    <mergeCell ref="AI7:AJ7"/>
    <mergeCell ref="AK7:AL7"/>
    <mergeCell ref="BH6:BK6"/>
    <mergeCell ref="BR6:BS6"/>
    <mergeCell ref="BT6:BU6"/>
    <mergeCell ref="B7:F7"/>
    <mergeCell ref="G7:I7"/>
    <mergeCell ref="J7:L7"/>
    <mergeCell ref="M7:O7"/>
    <mergeCell ref="P7:R7"/>
    <mergeCell ref="S7:U7"/>
    <mergeCell ref="B6:F6"/>
    <mergeCell ref="G6:I6"/>
    <mergeCell ref="J6:L6"/>
    <mergeCell ref="M6:O6"/>
    <mergeCell ref="P6:R6"/>
    <mergeCell ref="S6:U6"/>
    <mergeCell ref="BA7:BB7"/>
    <mergeCell ref="BF7:BG7"/>
    <mergeCell ref="BH7:BK7"/>
    <mergeCell ref="BR7:BS7"/>
    <mergeCell ref="BT7:BU7"/>
    <mergeCell ref="B3:F3"/>
    <mergeCell ref="G3:I3"/>
    <mergeCell ref="J3:L3"/>
    <mergeCell ref="M3:O3"/>
    <mergeCell ref="P3:R3"/>
    <mergeCell ref="S3:U3"/>
    <mergeCell ref="A1:C1"/>
    <mergeCell ref="G1:H1"/>
    <mergeCell ref="AA1:AB1"/>
    <mergeCell ref="BA1:BB1"/>
    <mergeCell ref="BC1:BE1"/>
    <mergeCell ref="BF1:BJ1"/>
    <mergeCell ref="BF3:BG3"/>
    <mergeCell ref="BH3:BK3"/>
    <mergeCell ref="BR3:BS3"/>
    <mergeCell ref="BT3:BU3"/>
    <mergeCell ref="BH5:BK5"/>
    <mergeCell ref="BR5:BS5"/>
    <mergeCell ref="BT5:BU5"/>
    <mergeCell ref="AK5:AL5"/>
    <mergeCell ref="AM5:AN5"/>
    <mergeCell ref="AQ5:AR5"/>
    <mergeCell ref="AS5:AT5"/>
    <mergeCell ref="AU5:AV5"/>
    <mergeCell ref="AW5:AX5"/>
    <mergeCell ref="B5:F5"/>
    <mergeCell ref="G5:I5"/>
    <mergeCell ref="J5:L5"/>
    <mergeCell ref="M5:O5"/>
    <mergeCell ref="P5:R5"/>
    <mergeCell ref="S5:U5"/>
    <mergeCell ref="AY4:AZ4"/>
    <mergeCell ref="CA1:CH1"/>
    <mergeCell ref="BE2:BK2"/>
    <mergeCell ref="BR2:BS2"/>
    <mergeCell ref="BT2:BU2"/>
    <mergeCell ref="BA4:BB4"/>
    <mergeCell ref="BF4:BG4"/>
    <mergeCell ref="AC4:AD4"/>
    <mergeCell ref="AE4:AF4"/>
    <mergeCell ref="AG4:AH4"/>
    <mergeCell ref="AI4:AJ4"/>
    <mergeCell ref="AC5:AD5"/>
    <mergeCell ref="AE5:AF5"/>
    <mergeCell ref="AG5:AH5"/>
    <mergeCell ref="AI5:AJ5"/>
    <mergeCell ref="AY5:AZ5"/>
    <mergeCell ref="BA5:BB5"/>
    <mergeCell ref="AM8:AN8"/>
    <mergeCell ref="AQ8:AR8"/>
    <mergeCell ref="AS8:AT8"/>
    <mergeCell ref="AU8:AV8"/>
    <mergeCell ref="AW8:AX8"/>
    <mergeCell ref="AY8:AZ8"/>
    <mergeCell ref="AC8:AD8"/>
    <mergeCell ref="AE8:AF8"/>
    <mergeCell ref="AG8:AH8"/>
    <mergeCell ref="AI8:AJ8"/>
    <mergeCell ref="AK8:AL8"/>
    <mergeCell ref="BF5:BG5"/>
    <mergeCell ref="AW7:AX7"/>
    <mergeCell ref="AY7:AZ7"/>
    <mergeCell ref="BA8:BB8"/>
    <mergeCell ref="BF8:BG8"/>
    <mergeCell ref="V3:X3"/>
    <mergeCell ref="Y3:AA3"/>
    <mergeCell ref="V4:X4"/>
    <mergeCell ref="Y4:AA4"/>
    <mergeCell ref="S4:U4"/>
    <mergeCell ref="V5:X5"/>
    <mergeCell ref="Y5:AA5"/>
    <mergeCell ref="V6:X6"/>
    <mergeCell ref="Y6:AA6"/>
    <mergeCell ref="V7:X7"/>
    <mergeCell ref="Y7:AA7"/>
    <mergeCell ref="V8:X8"/>
    <mergeCell ref="Y8:AA8"/>
    <mergeCell ref="V9:X9"/>
    <mergeCell ref="Y9:AA9"/>
    <mergeCell ref="V10:X10"/>
    <mergeCell ref="Y10:AA10"/>
    <mergeCell ref="S8:U8"/>
    <mergeCell ref="S9:U9"/>
    <mergeCell ref="J4:L4"/>
    <mergeCell ref="M4:O4"/>
    <mergeCell ref="P4:R4"/>
    <mergeCell ref="BH4:BK4"/>
    <mergeCell ref="BR4:BS4"/>
    <mergeCell ref="BT4:BU4"/>
    <mergeCell ref="AK4:AL4"/>
    <mergeCell ref="AM4:AN4"/>
    <mergeCell ref="AQ4:AR4"/>
    <mergeCell ref="AS4:AT4"/>
    <mergeCell ref="AU4:AV4"/>
    <mergeCell ref="AW4:AX4"/>
    <mergeCell ref="V11:X11"/>
    <mergeCell ref="Y11:AA11"/>
    <mergeCell ref="AN13:BB13"/>
    <mergeCell ref="BF13:BG13"/>
    <mergeCell ref="BH13:BK13"/>
    <mergeCell ref="V12:X12"/>
    <mergeCell ref="Y12:AA12"/>
    <mergeCell ref="V13:X13"/>
    <mergeCell ref="Y13:AA13"/>
  </mergeCells>
  <phoneticPr fontId="2"/>
  <conditionalFormatting sqref="G15:U15">
    <cfRule type="cellIs" dxfId="51" priority="24" operator="lessThan">
      <formula>700000</formula>
    </cfRule>
  </conditionalFormatting>
  <conditionalFormatting sqref="G20:X20">
    <cfRule type="cellIs" dxfId="50" priority="22" operator="between">
      <formula>0.95</formula>
      <formula>0.9</formula>
    </cfRule>
    <cfRule type="cellIs" dxfId="49" priority="23" operator="lessThan">
      <formula>0.9</formula>
    </cfRule>
  </conditionalFormatting>
  <conditionalFormatting sqref="G22:X22">
    <cfRule type="cellIs" dxfId="48" priority="9" operator="between">
      <formula>0.95</formula>
      <formula>0.9</formula>
    </cfRule>
    <cfRule type="cellIs" dxfId="47" priority="10" operator="lessThan">
      <formula>0.9</formula>
    </cfRule>
  </conditionalFormatting>
  <conditionalFormatting sqref="G24:X24">
    <cfRule type="cellIs" dxfId="46" priority="19" operator="lessThan">
      <formula>0.4</formula>
    </cfRule>
    <cfRule type="cellIs" dxfId="45" priority="20" operator="lessThan">
      <formula>0.5</formula>
    </cfRule>
  </conditionalFormatting>
  <conditionalFormatting sqref="G6:AA6">
    <cfRule type="cellIs" dxfId="44" priority="1" operator="between">
      <formula>0.95</formula>
      <formula>0.9</formula>
    </cfRule>
    <cfRule type="cellIs" dxfId="43" priority="6" operator="lessThan">
      <formula>0.9</formula>
    </cfRule>
  </conditionalFormatting>
  <conditionalFormatting sqref="G8:AA8">
    <cfRule type="cellIs" dxfId="42" priority="4" operator="lessThan">
      <formula>0.4</formula>
    </cfRule>
    <cfRule type="cellIs" dxfId="41" priority="5" operator="lessThan">
      <formula>0.5</formula>
    </cfRule>
  </conditionalFormatting>
  <conditionalFormatting sqref="G10:AA10">
    <cfRule type="cellIs" dxfId="40" priority="3" operator="lessThan">
      <formula>0.9</formula>
    </cfRule>
  </conditionalFormatting>
  <conditionalFormatting sqref="G12:AA12">
    <cfRule type="expression" dxfId="39" priority="2">
      <formula>AND(G12&lt;&gt;"",G12&gt;0.3)</formula>
    </cfRule>
  </conditionalFormatting>
  <conditionalFormatting sqref="G14:AA14">
    <cfRule type="containsBlanks" dxfId="38" priority="7">
      <formula>LEN(TRIM(G14))=0</formula>
    </cfRule>
  </conditionalFormatting>
  <conditionalFormatting sqref="J27:AA31">
    <cfRule type="containsBlanks" dxfId="37" priority="8">
      <formula>LEN(TRIM(J27))=0</formula>
    </cfRule>
  </conditionalFormatting>
  <conditionalFormatting sqref="M21:X21">
    <cfRule type="cellIs" dxfId="36" priority="11" operator="between">
      <formula>0.95</formula>
      <formula>0.9</formula>
    </cfRule>
    <cfRule type="cellIs" dxfId="35" priority="12" operator="lessThan">
      <formula>0.9</formula>
    </cfRule>
  </conditionalFormatting>
  <conditionalFormatting sqref="P75:AA75">
    <cfRule type="cellIs" dxfId="34" priority="33" operator="equal">
      <formula>"完"</formula>
    </cfRule>
  </conditionalFormatting>
  <conditionalFormatting sqref="AH35:AJ35">
    <cfRule type="cellIs" dxfId="33" priority="31" operator="equal">
      <formula>"Ⅱ算定済"</formula>
    </cfRule>
    <cfRule type="cellIs" dxfId="32" priority="32" operator="equal">
      <formula>"Ⅰ算定済"</formula>
    </cfRule>
  </conditionalFormatting>
  <conditionalFormatting sqref="BF3:BU32 P75:AA75 AH35:AJ35 AC5:AN5 AQ5:BB5 AC8:AN8 AQ8:BB8 AC11:BB14 AK17:BB21 AE27:BB29 AE32:BB32 BK37:BP42 D37:AJ66 AL38:BI38 AL42:BI42 BW45:CH49 AL46:BI46 AL50:BI50 AL54:BI54 AL58:BI58 AL62:BI62 AL66:BI66 P70:S71 P72 S72 X72 AA72 P73:S73 X73:AA73 X76:AA76 P76:S78 X78:AA78 L79:AA79 B83:G84 L83:AA84">
    <cfRule type="containsBlanks" dxfId="31" priority="35">
      <formula>LEN(TRIM(B3))=0</formula>
    </cfRule>
  </conditionalFormatting>
  <conditionalFormatting sqref="BL3:BQ32">
    <cfRule type="cellIs" dxfId="30" priority="34" operator="equal">
      <formula>"完"</formula>
    </cfRule>
  </conditionalFormatting>
  <dataValidations count="23">
    <dataValidation type="list" allowBlank="1" showInputMessage="1" showErrorMessage="1" sqref="BL3:BQ32" xr:uid="{6CC7E977-2F25-4772-A1D4-3B0F40BF6BD3}">
      <formula1>"完"</formula1>
    </dataValidation>
    <dataValidation type="list" allowBlank="1" showInputMessage="1" showErrorMessage="1" sqref="B83:D84" xr:uid="{74ED9FE8-31DD-4194-950E-4250546B2373}">
      <formula1>"Ⅰ,Ⅱ,Ⅲ"</formula1>
    </dataValidation>
    <dataValidation type="list" allowBlank="1" showInputMessage="1" showErrorMessage="1" sqref="AD37:AE66" xr:uid="{71C36E1F-492E-4AB3-9614-B7990E8202D0}">
      <formula1>"済"</formula1>
    </dataValidation>
    <dataValidation type="list" allowBlank="1" showInputMessage="1" showErrorMessage="1" sqref="AM11:AM14" xr:uid="{B17A4402-C50E-4E3F-86A4-7DCD2F241D3D}">
      <formula1>"週,月"</formula1>
    </dataValidation>
    <dataValidation type="list" allowBlank="1" showInputMessage="1" showErrorMessage="1" sqref="BF3:BG32" xr:uid="{5B8FF55B-6F5B-4AB5-96CF-87BAB8DE7425}">
      <formula1>"時給,常時給,月給"</formula1>
    </dataValidation>
    <dataValidation type="list" allowBlank="1" showInputMessage="1" showErrorMessage="1" sqref="X78:AA78 BT3:BT32 P70:S71 P72 S72 P73:S74 X73:AA74 AA72 X72 X70:AA71 X76:AA76 P76:S78 BR3:BR32" xr:uid="{A5325FF1-56CF-4AF5-B723-827AAF701A45}">
      <formula1>"●"</formula1>
    </dataValidation>
    <dataValidation type="list" allowBlank="1" showInputMessage="1" showErrorMessage="1" sqref="P75" xr:uid="{234293A5-84FB-4028-8903-6499088DE2A4}">
      <formula1>"1,完"</formula1>
    </dataValidation>
    <dataValidation type="list" allowBlank="1" showInputMessage="1" showErrorMessage="1" sqref="Q75" xr:uid="{2AD5A68C-B839-4F9A-AFC9-7925D4A02D74}">
      <formula1>"2,完"</formula1>
    </dataValidation>
    <dataValidation type="list" allowBlank="1" showInputMessage="1" showErrorMessage="1" sqref="R75" xr:uid="{2448E498-4CF6-4B94-B0BD-9546E57CC646}">
      <formula1>"3,完"</formula1>
    </dataValidation>
    <dataValidation type="list" allowBlank="1" showInputMessage="1" showErrorMessage="1" sqref="S75" xr:uid="{3C54C05C-CB99-4596-9006-94860F27E3EA}">
      <formula1>"4,完"</formula1>
    </dataValidation>
    <dataValidation type="list" allowBlank="1" showInputMessage="1" showErrorMessage="1" sqref="T75" xr:uid="{E17C3D8B-BBBE-4D6D-8A15-46AD835F9D7A}">
      <formula1>"5,完"</formula1>
    </dataValidation>
    <dataValidation type="list" allowBlank="1" showInputMessage="1" showErrorMessage="1" sqref="U75" xr:uid="{062E598C-E188-4A0A-9356-1618CE54649B}">
      <formula1>"6,完"</formula1>
    </dataValidation>
    <dataValidation type="list" allowBlank="1" showInputMessage="1" showErrorMessage="1" sqref="V75" xr:uid="{62B53A92-232D-4C61-9DBB-CAEABC7453D1}">
      <formula1>"7,完"</formula1>
    </dataValidation>
    <dataValidation type="list" allowBlank="1" showInputMessage="1" showErrorMessage="1" sqref="W75" xr:uid="{E5DCDBED-8FC5-4F82-B3E1-971A0E47DAC3}">
      <formula1>"8,完"</formula1>
    </dataValidation>
    <dataValidation type="list" allowBlank="1" showInputMessage="1" showErrorMessage="1" sqref="X75" xr:uid="{8E0795B0-78BF-4CBA-A249-92FAA66E74DD}">
      <formula1>"9,完"</formula1>
    </dataValidation>
    <dataValidation type="list" allowBlank="1" showInputMessage="1" showErrorMessage="1" sqref="Y75" xr:uid="{CEC7691E-4AA8-41C0-A686-3F0D7C9D5CFF}">
      <formula1>"10,完"</formula1>
    </dataValidation>
    <dataValidation type="list" allowBlank="1" showInputMessage="1" showErrorMessage="1" sqref="Z75" xr:uid="{48A23723-2667-49BB-837B-640B9EC1EAB0}">
      <formula1>"11,完"</formula1>
    </dataValidation>
    <dataValidation type="list" allowBlank="1" showInputMessage="1" showErrorMessage="1" sqref="AA75" xr:uid="{83DE2A0D-7351-4863-9381-ADD6ECA7B1E8}">
      <formula1>"12,完"</formula1>
    </dataValidation>
    <dataValidation type="list" allowBlank="1" showInputMessage="1" showErrorMessage="1" sqref="J37:K66" xr:uid="{AFA93141-A005-434F-BEDB-CC2CE49856F3}">
      <formula1>"6,5,4,3,2,1,なし"</formula1>
    </dataValidation>
    <dataValidation type="list" allowBlank="1" showInputMessage="1" showErrorMessage="1" sqref="S37:S66" xr:uid="{E05A3292-759E-4BD2-8432-E0FF6304C5E7}">
      <formula1>"◎,○,△,➡"</formula1>
    </dataValidation>
    <dataValidation type="list" allowBlank="1" showInputMessage="1" showErrorMessage="1" sqref="AH35:AJ35" xr:uid="{C5145DF9-3698-4053-B628-301D615CF170}">
      <formula1>"Ⅰ算定済,Ⅱ算定済"</formula1>
    </dataValidation>
    <dataValidation type="list" allowBlank="1" showInputMessage="1" showErrorMessage="1" sqref="BK37:BP42" xr:uid="{59EF1665-061D-415B-ADF8-87C4DFDB6982}">
      <formula1>"転倒・転落,誤嚥・窒息,誤薬,行方不明,他害,利用者同士トラブル,自傷,入浴事故,医療急変,その他"</formula1>
    </dataValidation>
    <dataValidation type="list" allowBlank="1" showInputMessage="1" showErrorMessage="1" sqref="Y37:AC66" xr:uid="{DE49CC5A-53B3-4DDF-8BE5-5B2652F84081}">
      <formula1>"重度支援Ⅰ,重度支援Ⅱ"</formula1>
    </dataValidation>
  </dataValidations>
  <hyperlinks>
    <hyperlink ref="BX6" r:id="rId1" xr:uid="{0CF927FD-F9F9-4E1E-AAD1-AE04EA96133F}"/>
    <hyperlink ref="B19:F19" r:id="rId2" display="利用日数" xr:uid="{5F600514-BD66-4E6C-A574-EC8A3E4832B8}"/>
    <hyperlink ref="B21:F21" r:id="rId3" display="利用日数" xr:uid="{607DE97F-4E16-429A-A67D-47395FE3B119}"/>
    <hyperlink ref="B9:F9" r:id="rId4" display="..\04.サビ管_ラシエル\03. ご入居者利用状況一覧\萩丘ⅱ⑤.xlsx" xr:uid="{16C48A46-D422-4DF3-BB2C-7DE9512D2EFE}"/>
    <hyperlink ref="B30:E31" r:id="rId5" display="派遣時間数" xr:uid="{9D1979DF-CD7D-4104-A4D3-B40D3764807A}"/>
  </hyperlinks>
  <printOptions horizontalCentered="1" verticalCentered="1"/>
  <pageMargins left="0.11811023622047245" right="0.11811023622047245" top="0.15748031496062992" bottom="0.15748031496062992" header="0" footer="0"/>
  <pageSetup paperSize="9" scale="29" orientation="landscape" r:id="rId6"/>
  <drawing r:id="rId7"/>
  <legacyDrawing r:id="rId8"/>
  <mc:AlternateContent xmlns:mc="http://schemas.openxmlformats.org/markup-compatibility/2006">
    <mc:Choice Requires="x14">
      <controls>
        <mc:AlternateContent xmlns:mc="http://schemas.openxmlformats.org/markup-compatibility/2006">
          <mc:Choice Requires="x14">
            <control shapeId="68611" r:id="rId9" name="TaskCheck_BW3">
              <controlPr defaultSize="0" autoFill="0" autoLine="0" autoPict="0">
                <anchor moveWithCells="1">
                  <from>
                    <xdr:col>74</xdr:col>
                    <xdr:colOff>19050</xdr:colOff>
                    <xdr:row>2</xdr:row>
                    <xdr:rowOff>12700</xdr:rowOff>
                  </from>
                  <to>
                    <xdr:col>75</xdr:col>
                    <xdr:colOff>50800</xdr:colOff>
                    <xdr:row>2</xdr:row>
                    <xdr:rowOff>273050</xdr:rowOff>
                  </to>
                </anchor>
              </controlPr>
            </control>
          </mc:Choice>
        </mc:AlternateContent>
        <mc:AlternateContent xmlns:mc="http://schemas.openxmlformats.org/markup-compatibility/2006">
          <mc:Choice Requires="x14">
            <control shapeId="68612" r:id="rId10" name="TaskCheck_BW4">
              <controlPr defaultSize="0" autoFill="0" autoLine="0" autoPict="0">
                <anchor moveWithCells="1">
                  <from>
                    <xdr:col>74</xdr:col>
                    <xdr:colOff>19050</xdr:colOff>
                    <xdr:row>3</xdr:row>
                    <xdr:rowOff>12700</xdr:rowOff>
                  </from>
                  <to>
                    <xdr:col>75</xdr:col>
                    <xdr:colOff>50800</xdr:colOff>
                    <xdr:row>3</xdr:row>
                    <xdr:rowOff>273050</xdr:rowOff>
                  </to>
                </anchor>
              </controlPr>
            </control>
          </mc:Choice>
        </mc:AlternateContent>
        <mc:AlternateContent xmlns:mc="http://schemas.openxmlformats.org/markup-compatibility/2006">
          <mc:Choice Requires="x14">
            <control shapeId="68613" r:id="rId11" name="TaskCheck_BW5">
              <controlPr defaultSize="0" autoFill="0" autoLine="0" autoPict="0">
                <anchor moveWithCells="1">
                  <from>
                    <xdr:col>74</xdr:col>
                    <xdr:colOff>19050</xdr:colOff>
                    <xdr:row>4</xdr:row>
                    <xdr:rowOff>12700</xdr:rowOff>
                  </from>
                  <to>
                    <xdr:col>75</xdr:col>
                    <xdr:colOff>50800</xdr:colOff>
                    <xdr:row>4</xdr:row>
                    <xdr:rowOff>273050</xdr:rowOff>
                  </to>
                </anchor>
              </controlPr>
            </control>
          </mc:Choice>
        </mc:AlternateContent>
        <mc:AlternateContent xmlns:mc="http://schemas.openxmlformats.org/markup-compatibility/2006">
          <mc:Choice Requires="x14">
            <control shapeId="68614" r:id="rId12" name="TaskCheck_BW6">
              <controlPr defaultSize="0" autoFill="0" autoLine="0" autoPict="0">
                <anchor moveWithCells="1">
                  <from>
                    <xdr:col>74</xdr:col>
                    <xdr:colOff>19050</xdr:colOff>
                    <xdr:row>5</xdr:row>
                    <xdr:rowOff>12700</xdr:rowOff>
                  </from>
                  <to>
                    <xdr:col>75</xdr:col>
                    <xdr:colOff>50800</xdr:colOff>
                    <xdr:row>5</xdr:row>
                    <xdr:rowOff>273050</xdr:rowOff>
                  </to>
                </anchor>
              </controlPr>
            </control>
          </mc:Choice>
        </mc:AlternateContent>
        <mc:AlternateContent xmlns:mc="http://schemas.openxmlformats.org/markup-compatibility/2006">
          <mc:Choice Requires="x14">
            <control shapeId="68615" r:id="rId13" name="TaskCheck_BW7">
              <controlPr defaultSize="0" autoFill="0" autoLine="0" autoPict="0">
                <anchor moveWithCells="1">
                  <from>
                    <xdr:col>74</xdr:col>
                    <xdr:colOff>19050</xdr:colOff>
                    <xdr:row>6</xdr:row>
                    <xdr:rowOff>12700</xdr:rowOff>
                  </from>
                  <to>
                    <xdr:col>75</xdr:col>
                    <xdr:colOff>50800</xdr:colOff>
                    <xdr:row>6</xdr:row>
                    <xdr:rowOff>273050</xdr:rowOff>
                  </to>
                </anchor>
              </controlPr>
            </control>
          </mc:Choice>
        </mc:AlternateContent>
        <mc:AlternateContent xmlns:mc="http://schemas.openxmlformats.org/markup-compatibility/2006">
          <mc:Choice Requires="x14">
            <control shapeId="68616" r:id="rId14" name="TaskCheck_BW8">
              <controlPr defaultSize="0" autoFill="0" autoLine="0" autoPict="0">
                <anchor moveWithCells="1">
                  <from>
                    <xdr:col>74</xdr:col>
                    <xdr:colOff>19050</xdr:colOff>
                    <xdr:row>7</xdr:row>
                    <xdr:rowOff>12700</xdr:rowOff>
                  </from>
                  <to>
                    <xdr:col>75</xdr:col>
                    <xdr:colOff>50800</xdr:colOff>
                    <xdr:row>7</xdr:row>
                    <xdr:rowOff>273050</xdr:rowOff>
                  </to>
                </anchor>
              </controlPr>
            </control>
          </mc:Choice>
        </mc:AlternateContent>
        <mc:AlternateContent xmlns:mc="http://schemas.openxmlformats.org/markup-compatibility/2006">
          <mc:Choice Requires="x14">
            <control shapeId="68617" r:id="rId15" name="TaskCheck_BW9">
              <controlPr defaultSize="0" autoFill="0" autoLine="0" autoPict="0">
                <anchor moveWithCells="1">
                  <from>
                    <xdr:col>74</xdr:col>
                    <xdr:colOff>19050</xdr:colOff>
                    <xdr:row>8</xdr:row>
                    <xdr:rowOff>12700</xdr:rowOff>
                  </from>
                  <to>
                    <xdr:col>75</xdr:col>
                    <xdr:colOff>50800</xdr:colOff>
                    <xdr:row>8</xdr:row>
                    <xdr:rowOff>273050</xdr:rowOff>
                  </to>
                </anchor>
              </controlPr>
            </control>
          </mc:Choice>
        </mc:AlternateContent>
        <mc:AlternateContent xmlns:mc="http://schemas.openxmlformats.org/markup-compatibility/2006">
          <mc:Choice Requires="x14">
            <control shapeId="68618" r:id="rId16" name="TaskCheck_BW10">
              <controlPr defaultSize="0" autoFill="0" autoLine="0" autoPict="0">
                <anchor moveWithCells="1">
                  <from>
                    <xdr:col>74</xdr:col>
                    <xdr:colOff>19050</xdr:colOff>
                    <xdr:row>9</xdr:row>
                    <xdr:rowOff>12700</xdr:rowOff>
                  </from>
                  <to>
                    <xdr:col>75</xdr:col>
                    <xdr:colOff>50800</xdr:colOff>
                    <xdr:row>9</xdr:row>
                    <xdr:rowOff>273050</xdr:rowOff>
                  </to>
                </anchor>
              </controlPr>
            </control>
          </mc:Choice>
        </mc:AlternateContent>
        <mc:AlternateContent xmlns:mc="http://schemas.openxmlformats.org/markup-compatibility/2006">
          <mc:Choice Requires="x14">
            <control shapeId="68619" r:id="rId17" name="TaskCheck_BW11">
              <controlPr defaultSize="0" autoFill="0" autoLine="0" autoPict="0">
                <anchor moveWithCells="1">
                  <from>
                    <xdr:col>74</xdr:col>
                    <xdr:colOff>19050</xdr:colOff>
                    <xdr:row>10</xdr:row>
                    <xdr:rowOff>12700</xdr:rowOff>
                  </from>
                  <to>
                    <xdr:col>75</xdr:col>
                    <xdr:colOff>50800</xdr:colOff>
                    <xdr:row>10</xdr:row>
                    <xdr:rowOff>273050</xdr:rowOff>
                  </to>
                </anchor>
              </controlPr>
            </control>
          </mc:Choice>
        </mc:AlternateContent>
        <mc:AlternateContent xmlns:mc="http://schemas.openxmlformats.org/markup-compatibility/2006">
          <mc:Choice Requires="x14">
            <control shapeId="68620" r:id="rId18" name="TaskCheck_BW12">
              <controlPr defaultSize="0" autoFill="0" autoLine="0" autoPict="0">
                <anchor moveWithCells="1">
                  <from>
                    <xdr:col>74</xdr:col>
                    <xdr:colOff>19050</xdr:colOff>
                    <xdr:row>11</xdr:row>
                    <xdr:rowOff>12700</xdr:rowOff>
                  </from>
                  <to>
                    <xdr:col>75</xdr:col>
                    <xdr:colOff>50800</xdr:colOff>
                    <xdr:row>11</xdr:row>
                    <xdr:rowOff>273050</xdr:rowOff>
                  </to>
                </anchor>
              </controlPr>
            </control>
          </mc:Choice>
        </mc:AlternateContent>
        <mc:AlternateContent xmlns:mc="http://schemas.openxmlformats.org/markup-compatibility/2006">
          <mc:Choice Requires="x14">
            <control shapeId="68621" r:id="rId19" name="TaskCheck_BW13">
              <controlPr defaultSize="0" autoFill="0" autoLine="0" autoPict="0">
                <anchor moveWithCells="1">
                  <from>
                    <xdr:col>74</xdr:col>
                    <xdr:colOff>19050</xdr:colOff>
                    <xdr:row>12</xdr:row>
                    <xdr:rowOff>12700</xdr:rowOff>
                  </from>
                  <to>
                    <xdr:col>75</xdr:col>
                    <xdr:colOff>50800</xdr:colOff>
                    <xdr:row>12</xdr:row>
                    <xdr:rowOff>273050</xdr:rowOff>
                  </to>
                </anchor>
              </controlPr>
            </control>
          </mc:Choice>
        </mc:AlternateContent>
        <mc:AlternateContent xmlns:mc="http://schemas.openxmlformats.org/markup-compatibility/2006">
          <mc:Choice Requires="x14">
            <control shapeId="68622" r:id="rId20" name="TaskCheck_BW14">
              <controlPr defaultSize="0" autoFill="0" autoLine="0" autoPict="0">
                <anchor moveWithCells="1">
                  <from>
                    <xdr:col>74</xdr:col>
                    <xdr:colOff>19050</xdr:colOff>
                    <xdr:row>13</xdr:row>
                    <xdr:rowOff>12700</xdr:rowOff>
                  </from>
                  <to>
                    <xdr:col>75</xdr:col>
                    <xdr:colOff>50800</xdr:colOff>
                    <xdr:row>13</xdr:row>
                    <xdr:rowOff>273050</xdr:rowOff>
                  </to>
                </anchor>
              </controlPr>
            </control>
          </mc:Choice>
        </mc:AlternateContent>
        <mc:AlternateContent xmlns:mc="http://schemas.openxmlformats.org/markup-compatibility/2006">
          <mc:Choice Requires="x14">
            <control shapeId="68623" r:id="rId21" name="TaskCheck_BW15">
              <controlPr defaultSize="0" autoFill="0" autoLine="0" autoPict="0">
                <anchor moveWithCells="1">
                  <from>
                    <xdr:col>74</xdr:col>
                    <xdr:colOff>19050</xdr:colOff>
                    <xdr:row>14</xdr:row>
                    <xdr:rowOff>12700</xdr:rowOff>
                  </from>
                  <to>
                    <xdr:col>75</xdr:col>
                    <xdr:colOff>50800</xdr:colOff>
                    <xdr:row>14</xdr:row>
                    <xdr:rowOff>273050</xdr:rowOff>
                  </to>
                </anchor>
              </controlPr>
            </control>
          </mc:Choice>
        </mc:AlternateContent>
        <mc:AlternateContent xmlns:mc="http://schemas.openxmlformats.org/markup-compatibility/2006">
          <mc:Choice Requires="x14">
            <control shapeId="68624" r:id="rId22" name="TaskCheck_BW16">
              <controlPr defaultSize="0" autoFill="0" autoLine="0" autoPict="0">
                <anchor moveWithCells="1">
                  <from>
                    <xdr:col>74</xdr:col>
                    <xdr:colOff>19050</xdr:colOff>
                    <xdr:row>15</xdr:row>
                    <xdr:rowOff>12700</xdr:rowOff>
                  </from>
                  <to>
                    <xdr:col>75</xdr:col>
                    <xdr:colOff>50800</xdr:colOff>
                    <xdr:row>15</xdr:row>
                    <xdr:rowOff>273050</xdr:rowOff>
                  </to>
                </anchor>
              </controlPr>
            </control>
          </mc:Choice>
        </mc:AlternateContent>
        <mc:AlternateContent xmlns:mc="http://schemas.openxmlformats.org/markup-compatibility/2006">
          <mc:Choice Requires="x14">
            <control shapeId="68625" r:id="rId23" name="TaskCheck_BW19">
              <controlPr defaultSize="0" autoFill="0" autoLine="0" autoPict="0">
                <anchor moveWithCells="1">
                  <from>
                    <xdr:col>74</xdr:col>
                    <xdr:colOff>19050</xdr:colOff>
                    <xdr:row>18</xdr:row>
                    <xdr:rowOff>12700</xdr:rowOff>
                  </from>
                  <to>
                    <xdr:col>75</xdr:col>
                    <xdr:colOff>50800</xdr:colOff>
                    <xdr:row>18</xdr:row>
                    <xdr:rowOff>273050</xdr:rowOff>
                  </to>
                </anchor>
              </controlPr>
            </control>
          </mc:Choice>
        </mc:AlternateContent>
        <mc:AlternateContent xmlns:mc="http://schemas.openxmlformats.org/markup-compatibility/2006">
          <mc:Choice Requires="x14">
            <control shapeId="68626" r:id="rId24" name="TaskCheck_BW20">
              <controlPr defaultSize="0" autoFill="0" autoLine="0" autoPict="0">
                <anchor moveWithCells="1">
                  <from>
                    <xdr:col>74</xdr:col>
                    <xdr:colOff>19050</xdr:colOff>
                    <xdr:row>19</xdr:row>
                    <xdr:rowOff>12700</xdr:rowOff>
                  </from>
                  <to>
                    <xdr:col>75</xdr:col>
                    <xdr:colOff>50800</xdr:colOff>
                    <xdr:row>19</xdr:row>
                    <xdr:rowOff>273050</xdr:rowOff>
                  </to>
                </anchor>
              </controlPr>
            </control>
          </mc:Choice>
        </mc:AlternateContent>
        <mc:AlternateContent xmlns:mc="http://schemas.openxmlformats.org/markup-compatibility/2006">
          <mc:Choice Requires="x14">
            <control shapeId="68627" r:id="rId25" name="TaskCheck_BW21">
              <controlPr defaultSize="0" autoFill="0" autoLine="0" autoPict="0">
                <anchor moveWithCells="1">
                  <from>
                    <xdr:col>74</xdr:col>
                    <xdr:colOff>19050</xdr:colOff>
                    <xdr:row>20</xdr:row>
                    <xdr:rowOff>12700</xdr:rowOff>
                  </from>
                  <to>
                    <xdr:col>75</xdr:col>
                    <xdr:colOff>50800</xdr:colOff>
                    <xdr:row>20</xdr:row>
                    <xdr:rowOff>273050</xdr:rowOff>
                  </to>
                </anchor>
              </controlPr>
            </control>
          </mc:Choice>
        </mc:AlternateContent>
        <mc:AlternateContent xmlns:mc="http://schemas.openxmlformats.org/markup-compatibility/2006">
          <mc:Choice Requires="x14">
            <control shapeId="68628" r:id="rId26" name="TaskCheck_BW22">
              <controlPr defaultSize="0" autoFill="0" autoLine="0" autoPict="0">
                <anchor moveWithCells="1">
                  <from>
                    <xdr:col>74</xdr:col>
                    <xdr:colOff>19050</xdr:colOff>
                    <xdr:row>21</xdr:row>
                    <xdr:rowOff>12700</xdr:rowOff>
                  </from>
                  <to>
                    <xdr:col>75</xdr:col>
                    <xdr:colOff>50800</xdr:colOff>
                    <xdr:row>21</xdr:row>
                    <xdr:rowOff>273050</xdr:rowOff>
                  </to>
                </anchor>
              </controlPr>
            </control>
          </mc:Choice>
        </mc:AlternateContent>
        <mc:AlternateContent xmlns:mc="http://schemas.openxmlformats.org/markup-compatibility/2006">
          <mc:Choice Requires="x14">
            <control shapeId="68629" r:id="rId27" name="TaskCheck_BW23">
              <controlPr defaultSize="0" autoFill="0" autoLine="0" autoPict="0">
                <anchor moveWithCells="1">
                  <from>
                    <xdr:col>74</xdr:col>
                    <xdr:colOff>19050</xdr:colOff>
                    <xdr:row>22</xdr:row>
                    <xdr:rowOff>12700</xdr:rowOff>
                  </from>
                  <to>
                    <xdr:col>75</xdr:col>
                    <xdr:colOff>50800</xdr:colOff>
                    <xdr:row>22</xdr:row>
                    <xdr:rowOff>273050</xdr:rowOff>
                  </to>
                </anchor>
              </controlPr>
            </control>
          </mc:Choice>
        </mc:AlternateContent>
        <mc:AlternateContent xmlns:mc="http://schemas.openxmlformats.org/markup-compatibility/2006">
          <mc:Choice Requires="x14">
            <control shapeId="68630" r:id="rId28" name="TaskCheck_BW24">
              <controlPr defaultSize="0" autoFill="0" autoLine="0" autoPict="0">
                <anchor moveWithCells="1">
                  <from>
                    <xdr:col>74</xdr:col>
                    <xdr:colOff>19050</xdr:colOff>
                    <xdr:row>23</xdr:row>
                    <xdr:rowOff>12700</xdr:rowOff>
                  </from>
                  <to>
                    <xdr:col>75</xdr:col>
                    <xdr:colOff>50800</xdr:colOff>
                    <xdr:row>23</xdr:row>
                    <xdr:rowOff>273050</xdr:rowOff>
                  </to>
                </anchor>
              </controlPr>
            </control>
          </mc:Choice>
        </mc:AlternateContent>
        <mc:AlternateContent xmlns:mc="http://schemas.openxmlformats.org/markup-compatibility/2006">
          <mc:Choice Requires="x14">
            <control shapeId="68631" r:id="rId29" name="TaskCheck_BW25">
              <controlPr defaultSize="0" autoFill="0" autoLine="0" autoPict="0">
                <anchor moveWithCells="1">
                  <from>
                    <xdr:col>74</xdr:col>
                    <xdr:colOff>19050</xdr:colOff>
                    <xdr:row>24</xdr:row>
                    <xdr:rowOff>12700</xdr:rowOff>
                  </from>
                  <to>
                    <xdr:col>75</xdr:col>
                    <xdr:colOff>50800</xdr:colOff>
                    <xdr:row>24</xdr:row>
                    <xdr:rowOff>273050</xdr:rowOff>
                  </to>
                </anchor>
              </controlPr>
            </control>
          </mc:Choice>
        </mc:AlternateContent>
        <mc:AlternateContent xmlns:mc="http://schemas.openxmlformats.org/markup-compatibility/2006">
          <mc:Choice Requires="x14">
            <control shapeId="68632" r:id="rId30" name="TaskCheck_BW26">
              <controlPr defaultSize="0" autoFill="0" autoLine="0" autoPict="0">
                <anchor moveWithCells="1">
                  <from>
                    <xdr:col>74</xdr:col>
                    <xdr:colOff>19050</xdr:colOff>
                    <xdr:row>25</xdr:row>
                    <xdr:rowOff>12700</xdr:rowOff>
                  </from>
                  <to>
                    <xdr:col>75</xdr:col>
                    <xdr:colOff>50800</xdr:colOff>
                    <xdr:row>25</xdr:row>
                    <xdr:rowOff>273050</xdr:rowOff>
                  </to>
                </anchor>
              </controlPr>
            </control>
          </mc:Choice>
        </mc:AlternateContent>
        <mc:AlternateContent xmlns:mc="http://schemas.openxmlformats.org/markup-compatibility/2006">
          <mc:Choice Requires="x14">
            <control shapeId="68633" r:id="rId31" name="TaskCheck_BW27">
              <controlPr defaultSize="0" autoFill="0" autoLine="0" autoPict="0">
                <anchor moveWithCells="1">
                  <from>
                    <xdr:col>74</xdr:col>
                    <xdr:colOff>19050</xdr:colOff>
                    <xdr:row>26</xdr:row>
                    <xdr:rowOff>12700</xdr:rowOff>
                  </from>
                  <to>
                    <xdr:col>75</xdr:col>
                    <xdr:colOff>50800</xdr:colOff>
                    <xdr:row>26</xdr:row>
                    <xdr:rowOff>273050</xdr:rowOff>
                  </to>
                </anchor>
              </controlPr>
            </control>
          </mc:Choice>
        </mc:AlternateContent>
        <mc:AlternateContent xmlns:mc="http://schemas.openxmlformats.org/markup-compatibility/2006">
          <mc:Choice Requires="x14">
            <control shapeId="68634" r:id="rId32" name="TaskCheck_BW28">
              <controlPr defaultSize="0" autoFill="0" autoLine="0" autoPict="0">
                <anchor moveWithCells="1">
                  <from>
                    <xdr:col>74</xdr:col>
                    <xdr:colOff>19050</xdr:colOff>
                    <xdr:row>27</xdr:row>
                    <xdr:rowOff>12700</xdr:rowOff>
                  </from>
                  <to>
                    <xdr:col>75</xdr:col>
                    <xdr:colOff>50800</xdr:colOff>
                    <xdr:row>27</xdr:row>
                    <xdr:rowOff>273050</xdr:rowOff>
                  </to>
                </anchor>
              </controlPr>
            </control>
          </mc:Choice>
        </mc:AlternateContent>
        <mc:AlternateContent xmlns:mc="http://schemas.openxmlformats.org/markup-compatibility/2006">
          <mc:Choice Requires="x14">
            <control shapeId="68635" r:id="rId33" name="TaskCheck_BW29">
              <controlPr defaultSize="0" autoFill="0" autoLine="0" autoPict="0">
                <anchor moveWithCells="1">
                  <from>
                    <xdr:col>74</xdr:col>
                    <xdr:colOff>19050</xdr:colOff>
                    <xdr:row>28</xdr:row>
                    <xdr:rowOff>12700</xdr:rowOff>
                  </from>
                  <to>
                    <xdr:col>75</xdr:col>
                    <xdr:colOff>50800</xdr:colOff>
                    <xdr:row>28</xdr:row>
                    <xdr:rowOff>273050</xdr:rowOff>
                  </to>
                </anchor>
              </controlPr>
            </control>
          </mc:Choice>
        </mc:AlternateContent>
        <mc:AlternateContent xmlns:mc="http://schemas.openxmlformats.org/markup-compatibility/2006">
          <mc:Choice Requires="x14">
            <control shapeId="68636" r:id="rId34" name="TaskCheck_BW30">
              <controlPr defaultSize="0" autoFill="0" autoLine="0" autoPict="0">
                <anchor moveWithCells="1">
                  <from>
                    <xdr:col>74</xdr:col>
                    <xdr:colOff>19050</xdr:colOff>
                    <xdr:row>29</xdr:row>
                    <xdr:rowOff>12700</xdr:rowOff>
                  </from>
                  <to>
                    <xdr:col>75</xdr:col>
                    <xdr:colOff>50800</xdr:colOff>
                    <xdr:row>29</xdr:row>
                    <xdr:rowOff>273050</xdr:rowOff>
                  </to>
                </anchor>
              </controlPr>
            </control>
          </mc:Choice>
        </mc:AlternateContent>
        <mc:AlternateContent xmlns:mc="http://schemas.openxmlformats.org/markup-compatibility/2006">
          <mc:Choice Requires="x14">
            <control shapeId="68637" r:id="rId35" name="TaskCheck_BW31">
              <controlPr defaultSize="0" autoFill="0" autoLine="0" autoPict="0">
                <anchor moveWithCells="1">
                  <from>
                    <xdr:col>74</xdr:col>
                    <xdr:colOff>19050</xdr:colOff>
                    <xdr:row>30</xdr:row>
                    <xdr:rowOff>12700</xdr:rowOff>
                  </from>
                  <to>
                    <xdr:col>75</xdr:col>
                    <xdr:colOff>50800</xdr:colOff>
                    <xdr:row>30</xdr:row>
                    <xdr:rowOff>273050</xdr:rowOff>
                  </to>
                </anchor>
              </controlPr>
            </control>
          </mc:Choice>
        </mc:AlternateContent>
        <mc:AlternateContent xmlns:mc="http://schemas.openxmlformats.org/markup-compatibility/2006">
          <mc:Choice Requires="x14">
            <control shapeId="68638" r:id="rId36" name="TaskCheck_BW32">
              <controlPr defaultSize="0" autoFill="0" autoLine="0" autoPict="0">
                <anchor moveWithCells="1">
                  <from>
                    <xdr:col>74</xdr:col>
                    <xdr:colOff>19050</xdr:colOff>
                    <xdr:row>31</xdr:row>
                    <xdr:rowOff>12700</xdr:rowOff>
                  </from>
                  <to>
                    <xdr:col>75</xdr:col>
                    <xdr:colOff>50800</xdr:colOff>
                    <xdr:row>31</xdr:row>
                    <xdr:rowOff>273050</xdr:rowOff>
                  </to>
                </anchor>
              </controlPr>
            </control>
          </mc:Choice>
        </mc:AlternateContent>
        <mc:AlternateContent xmlns:mc="http://schemas.openxmlformats.org/markup-compatibility/2006">
          <mc:Choice Requires="x14">
            <control shapeId="68639" r:id="rId37" name="TaskCheck_BW33">
              <controlPr defaultSize="0" autoFill="0" autoLine="0" autoPict="0">
                <anchor moveWithCells="1">
                  <from>
                    <xdr:col>74</xdr:col>
                    <xdr:colOff>19050</xdr:colOff>
                    <xdr:row>32</xdr:row>
                    <xdr:rowOff>12700</xdr:rowOff>
                  </from>
                  <to>
                    <xdr:col>75</xdr:col>
                    <xdr:colOff>50800</xdr:colOff>
                    <xdr:row>32</xdr:row>
                    <xdr:rowOff>273050</xdr:rowOff>
                  </to>
                </anchor>
              </controlPr>
            </control>
          </mc:Choice>
        </mc:AlternateContent>
        <mc:AlternateContent xmlns:mc="http://schemas.openxmlformats.org/markup-compatibility/2006">
          <mc:Choice Requires="x14">
            <control shapeId="68640" r:id="rId38" name="TaskCheck_BW36">
              <controlPr defaultSize="0" autoFill="0" autoLine="0" autoPict="0">
                <anchor moveWithCells="1">
                  <from>
                    <xdr:col>74</xdr:col>
                    <xdr:colOff>19050</xdr:colOff>
                    <xdr:row>35</xdr:row>
                    <xdr:rowOff>12700</xdr:rowOff>
                  </from>
                  <to>
                    <xdr:col>75</xdr:col>
                    <xdr:colOff>50800</xdr:colOff>
                    <xdr:row>35</xdr:row>
                    <xdr:rowOff>273050</xdr:rowOff>
                  </to>
                </anchor>
              </controlPr>
            </control>
          </mc:Choice>
        </mc:AlternateContent>
        <mc:AlternateContent xmlns:mc="http://schemas.openxmlformats.org/markup-compatibility/2006">
          <mc:Choice Requires="x14">
            <control shapeId="68641" r:id="rId39" name="TaskCheck_BQ37">
              <controlPr defaultSize="0" autoFill="0" autoLine="0" autoPict="0">
                <anchor moveWithCells="1">
                  <from>
                    <xdr:col>68</xdr:col>
                    <xdr:colOff>19050</xdr:colOff>
                    <xdr:row>36</xdr:row>
                    <xdr:rowOff>12700</xdr:rowOff>
                  </from>
                  <to>
                    <xdr:col>69</xdr:col>
                    <xdr:colOff>50800</xdr:colOff>
                    <xdr:row>36</xdr:row>
                    <xdr:rowOff>273050</xdr:rowOff>
                  </to>
                </anchor>
              </controlPr>
            </control>
          </mc:Choice>
        </mc:AlternateContent>
        <mc:AlternateContent xmlns:mc="http://schemas.openxmlformats.org/markup-compatibility/2006">
          <mc:Choice Requires="x14">
            <control shapeId="68642" r:id="rId40" name="TaskCheck_BW37">
              <controlPr defaultSize="0" autoFill="0" autoLine="0" autoPict="0">
                <anchor moveWithCells="1">
                  <from>
                    <xdr:col>74</xdr:col>
                    <xdr:colOff>19050</xdr:colOff>
                    <xdr:row>36</xdr:row>
                    <xdr:rowOff>12700</xdr:rowOff>
                  </from>
                  <to>
                    <xdr:col>75</xdr:col>
                    <xdr:colOff>50800</xdr:colOff>
                    <xdr:row>36</xdr:row>
                    <xdr:rowOff>273050</xdr:rowOff>
                  </to>
                </anchor>
              </controlPr>
            </control>
          </mc:Choice>
        </mc:AlternateContent>
        <mc:AlternateContent xmlns:mc="http://schemas.openxmlformats.org/markup-compatibility/2006">
          <mc:Choice Requires="x14">
            <control shapeId="68643" r:id="rId41" name="TaskCheck_BQ38">
              <controlPr defaultSize="0" autoFill="0" autoLine="0" autoPict="0">
                <anchor moveWithCells="1">
                  <from>
                    <xdr:col>68</xdr:col>
                    <xdr:colOff>19050</xdr:colOff>
                    <xdr:row>37</xdr:row>
                    <xdr:rowOff>12700</xdr:rowOff>
                  </from>
                  <to>
                    <xdr:col>69</xdr:col>
                    <xdr:colOff>50800</xdr:colOff>
                    <xdr:row>37</xdr:row>
                    <xdr:rowOff>273050</xdr:rowOff>
                  </to>
                </anchor>
              </controlPr>
            </control>
          </mc:Choice>
        </mc:AlternateContent>
        <mc:AlternateContent xmlns:mc="http://schemas.openxmlformats.org/markup-compatibility/2006">
          <mc:Choice Requires="x14">
            <control shapeId="68644" r:id="rId42" name="TaskCheck_BW38">
              <controlPr defaultSize="0" autoFill="0" autoLine="0" autoPict="0">
                <anchor moveWithCells="1">
                  <from>
                    <xdr:col>74</xdr:col>
                    <xdr:colOff>19050</xdr:colOff>
                    <xdr:row>37</xdr:row>
                    <xdr:rowOff>12700</xdr:rowOff>
                  </from>
                  <to>
                    <xdr:col>75</xdr:col>
                    <xdr:colOff>50800</xdr:colOff>
                    <xdr:row>37</xdr:row>
                    <xdr:rowOff>273050</xdr:rowOff>
                  </to>
                </anchor>
              </controlPr>
            </control>
          </mc:Choice>
        </mc:AlternateContent>
        <mc:AlternateContent xmlns:mc="http://schemas.openxmlformats.org/markup-compatibility/2006">
          <mc:Choice Requires="x14">
            <control shapeId="68645" r:id="rId43" name="TaskCheck_BQ39">
              <controlPr defaultSize="0" autoFill="0" autoLine="0" autoPict="0">
                <anchor moveWithCells="1">
                  <from>
                    <xdr:col>68</xdr:col>
                    <xdr:colOff>19050</xdr:colOff>
                    <xdr:row>38</xdr:row>
                    <xdr:rowOff>12700</xdr:rowOff>
                  </from>
                  <to>
                    <xdr:col>69</xdr:col>
                    <xdr:colOff>50800</xdr:colOff>
                    <xdr:row>38</xdr:row>
                    <xdr:rowOff>273050</xdr:rowOff>
                  </to>
                </anchor>
              </controlPr>
            </control>
          </mc:Choice>
        </mc:AlternateContent>
        <mc:AlternateContent xmlns:mc="http://schemas.openxmlformats.org/markup-compatibility/2006">
          <mc:Choice Requires="x14">
            <control shapeId="68646" r:id="rId44" name="TaskCheck_BW39">
              <controlPr defaultSize="0" autoFill="0" autoLine="0" autoPict="0">
                <anchor moveWithCells="1">
                  <from>
                    <xdr:col>74</xdr:col>
                    <xdr:colOff>19050</xdr:colOff>
                    <xdr:row>38</xdr:row>
                    <xdr:rowOff>12700</xdr:rowOff>
                  </from>
                  <to>
                    <xdr:col>75</xdr:col>
                    <xdr:colOff>50800</xdr:colOff>
                    <xdr:row>38</xdr:row>
                    <xdr:rowOff>273050</xdr:rowOff>
                  </to>
                </anchor>
              </controlPr>
            </control>
          </mc:Choice>
        </mc:AlternateContent>
        <mc:AlternateContent xmlns:mc="http://schemas.openxmlformats.org/markup-compatibility/2006">
          <mc:Choice Requires="x14">
            <control shapeId="68647" r:id="rId45" name="TaskCheck_BQ40">
              <controlPr defaultSize="0" autoFill="0" autoLine="0" autoPict="0">
                <anchor moveWithCells="1">
                  <from>
                    <xdr:col>68</xdr:col>
                    <xdr:colOff>19050</xdr:colOff>
                    <xdr:row>39</xdr:row>
                    <xdr:rowOff>12700</xdr:rowOff>
                  </from>
                  <to>
                    <xdr:col>69</xdr:col>
                    <xdr:colOff>50800</xdr:colOff>
                    <xdr:row>39</xdr:row>
                    <xdr:rowOff>273050</xdr:rowOff>
                  </to>
                </anchor>
              </controlPr>
            </control>
          </mc:Choice>
        </mc:AlternateContent>
        <mc:AlternateContent xmlns:mc="http://schemas.openxmlformats.org/markup-compatibility/2006">
          <mc:Choice Requires="x14">
            <control shapeId="68648" r:id="rId46" name="TaskCheck_BW40">
              <controlPr defaultSize="0" autoFill="0" autoLine="0" autoPict="0">
                <anchor moveWithCells="1">
                  <from>
                    <xdr:col>74</xdr:col>
                    <xdr:colOff>19050</xdr:colOff>
                    <xdr:row>39</xdr:row>
                    <xdr:rowOff>12700</xdr:rowOff>
                  </from>
                  <to>
                    <xdr:col>75</xdr:col>
                    <xdr:colOff>50800</xdr:colOff>
                    <xdr:row>39</xdr:row>
                    <xdr:rowOff>273050</xdr:rowOff>
                  </to>
                </anchor>
              </controlPr>
            </control>
          </mc:Choice>
        </mc:AlternateContent>
        <mc:AlternateContent xmlns:mc="http://schemas.openxmlformats.org/markup-compatibility/2006">
          <mc:Choice Requires="x14">
            <control shapeId="68649" r:id="rId47" name="TaskCheck_BQ41">
              <controlPr defaultSize="0" autoFill="0" autoLine="0" autoPict="0">
                <anchor moveWithCells="1">
                  <from>
                    <xdr:col>68</xdr:col>
                    <xdr:colOff>19050</xdr:colOff>
                    <xdr:row>40</xdr:row>
                    <xdr:rowOff>12700</xdr:rowOff>
                  </from>
                  <to>
                    <xdr:col>69</xdr:col>
                    <xdr:colOff>50800</xdr:colOff>
                    <xdr:row>40</xdr:row>
                    <xdr:rowOff>273050</xdr:rowOff>
                  </to>
                </anchor>
              </controlPr>
            </control>
          </mc:Choice>
        </mc:AlternateContent>
        <mc:AlternateContent xmlns:mc="http://schemas.openxmlformats.org/markup-compatibility/2006">
          <mc:Choice Requires="x14">
            <control shapeId="68650" r:id="rId48" name="TaskCheck_BW41">
              <controlPr defaultSize="0" autoFill="0" autoLine="0" autoPict="0">
                <anchor moveWithCells="1">
                  <from>
                    <xdr:col>74</xdr:col>
                    <xdr:colOff>19050</xdr:colOff>
                    <xdr:row>40</xdr:row>
                    <xdr:rowOff>12700</xdr:rowOff>
                  </from>
                  <to>
                    <xdr:col>75</xdr:col>
                    <xdr:colOff>50800</xdr:colOff>
                    <xdr:row>40</xdr:row>
                    <xdr:rowOff>273050</xdr:rowOff>
                  </to>
                </anchor>
              </controlPr>
            </control>
          </mc:Choice>
        </mc:AlternateContent>
        <mc:AlternateContent xmlns:mc="http://schemas.openxmlformats.org/markup-compatibility/2006">
          <mc:Choice Requires="x14">
            <control shapeId="68651" r:id="rId49" name="TaskCheck_BQ42">
              <controlPr defaultSize="0" autoFill="0" autoLine="0" autoPict="0">
                <anchor moveWithCells="1">
                  <from>
                    <xdr:col>68</xdr:col>
                    <xdr:colOff>19050</xdr:colOff>
                    <xdr:row>41</xdr:row>
                    <xdr:rowOff>12700</xdr:rowOff>
                  </from>
                  <to>
                    <xdr:col>69</xdr:col>
                    <xdr:colOff>50800</xdr:colOff>
                    <xdr:row>41</xdr:row>
                    <xdr:rowOff>273050</xdr:rowOff>
                  </to>
                </anchor>
              </controlPr>
            </control>
          </mc:Choice>
        </mc:AlternateContent>
        <mc:AlternateContent xmlns:mc="http://schemas.openxmlformats.org/markup-compatibility/2006">
          <mc:Choice Requires="x14">
            <control shapeId="68652" r:id="rId50" name="TaskCheck_BW42">
              <controlPr defaultSize="0" autoFill="0" autoLine="0" autoPict="0">
                <anchor moveWithCells="1">
                  <from>
                    <xdr:col>74</xdr:col>
                    <xdr:colOff>19050</xdr:colOff>
                    <xdr:row>41</xdr:row>
                    <xdr:rowOff>12700</xdr:rowOff>
                  </from>
                  <to>
                    <xdr:col>75</xdr:col>
                    <xdr:colOff>50800</xdr:colOff>
                    <xdr:row>41</xdr:row>
                    <xdr:rowOff>273050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F0C39-BF5F-4869-BD27-2E95309A21CF}">
  <sheetPr codeName="Sheet17">
    <tabColor rgb="FF0070C0"/>
    <pageSetUpPr fitToPage="1"/>
  </sheetPr>
  <dimension ref="A1:CQ94"/>
  <sheetViews>
    <sheetView showGridLines="0" zoomScale="50" zoomScaleNormal="50" workbookViewId="0">
      <selection activeCell="BF77" sqref="BF77"/>
    </sheetView>
  </sheetViews>
  <sheetFormatPr defaultColWidth="3.83203125" defaultRowHeight="22.5" customHeight="1"/>
  <cols>
    <col min="1" max="19" width="3.83203125" style="161"/>
    <col min="20" max="20" width="3.83203125" style="161" customWidth="1"/>
    <col min="21" max="33" width="3.83203125" style="161"/>
    <col min="34" max="34" width="3.83203125" style="161" customWidth="1"/>
    <col min="35" max="89" width="3.83203125" style="161"/>
    <col min="90" max="90" width="13.83203125" style="164" bestFit="1" customWidth="1"/>
    <col min="91" max="91" width="9.83203125" style="164" bestFit="1" customWidth="1"/>
    <col min="92" max="92" width="4.25" style="164" bestFit="1" customWidth="1"/>
    <col min="93" max="93" width="4.5" style="164" bestFit="1" customWidth="1"/>
    <col min="94" max="94" width="3.58203125" style="164" bestFit="1" customWidth="1"/>
    <col min="95" max="95" width="4.5" style="164" bestFit="1" customWidth="1"/>
    <col min="96" max="16384" width="3.83203125" style="161"/>
  </cols>
  <sheetData>
    <row r="1" spans="1:95" s="160" customFormat="1" ht="22.5" customHeight="1" thickTop="1" thickBot="1">
      <c r="A1" s="306" t="s">
        <v>66</v>
      </c>
      <c r="B1" s="306"/>
      <c r="C1" s="306"/>
      <c r="D1" s="158" t="s">
        <v>378</v>
      </c>
      <c r="E1" s="158"/>
      <c r="F1" s="158"/>
      <c r="G1" s="307">
        <v>30</v>
      </c>
      <c r="H1" s="307"/>
      <c r="I1" s="158" t="s">
        <v>691</v>
      </c>
      <c r="J1" s="158"/>
      <c r="K1" s="158"/>
      <c r="L1" s="158"/>
      <c r="M1" s="158"/>
      <c r="N1" s="158"/>
      <c r="O1" s="158"/>
      <c r="P1" s="158"/>
      <c r="Q1" s="158"/>
      <c r="R1" s="159"/>
      <c r="S1" s="159"/>
      <c r="T1" s="159"/>
      <c r="U1" s="159"/>
      <c r="V1" s="221" t="s">
        <v>734</v>
      </c>
      <c r="W1" s="158"/>
      <c r="X1" s="158"/>
      <c r="Y1" s="158"/>
      <c r="Z1" s="158"/>
      <c r="AA1" s="308">
        <v>2</v>
      </c>
      <c r="AB1" s="308"/>
      <c r="AC1" s="199" t="s">
        <v>105</v>
      </c>
      <c r="AD1" s="158"/>
      <c r="AE1" s="200" t="s">
        <v>585</v>
      </c>
      <c r="AF1" s="158"/>
      <c r="AG1" s="158"/>
      <c r="AH1" s="159"/>
      <c r="AI1" s="199" t="s">
        <v>106</v>
      </c>
      <c r="AJ1" s="159"/>
      <c r="AK1" s="200" t="s">
        <v>585</v>
      </c>
      <c r="AL1" s="159"/>
      <c r="AM1" s="159"/>
      <c r="AN1" s="159"/>
      <c r="AO1" s="199" t="s">
        <v>106</v>
      </c>
      <c r="AP1" s="159"/>
      <c r="AQ1" s="200"/>
      <c r="AR1" s="159"/>
      <c r="AS1" s="159"/>
      <c r="AT1" s="159"/>
      <c r="AU1" s="199" t="s">
        <v>237</v>
      </c>
      <c r="AV1" s="159"/>
      <c r="AW1" s="200"/>
      <c r="AX1" s="159"/>
      <c r="AY1" s="159"/>
      <c r="AZ1" s="159"/>
      <c r="BA1" s="309" t="s">
        <v>261</v>
      </c>
      <c r="BB1" s="310"/>
      <c r="BC1" s="311">
        <v>46196</v>
      </c>
      <c r="BD1" s="312"/>
      <c r="BE1" s="313"/>
      <c r="BF1" s="314" t="str">
        <f ca="1">IF(BC1="","",(TODAY()-BC1)&amp;"日未更新")</f>
        <v>6日未更新</v>
      </c>
      <c r="BG1" s="315"/>
      <c r="BH1" s="315"/>
      <c r="BI1" s="315"/>
      <c r="BJ1" s="316"/>
      <c r="BK1" s="159"/>
      <c r="BL1" s="159"/>
      <c r="BM1" s="159"/>
      <c r="BN1" s="159"/>
      <c r="BO1" s="158"/>
      <c r="BP1" s="159"/>
      <c r="BQ1" s="159"/>
      <c r="BR1" s="159"/>
      <c r="BS1" s="159"/>
      <c r="BT1" s="159"/>
      <c r="BU1" s="159"/>
      <c r="BV1" s="159"/>
      <c r="BW1" s="159"/>
      <c r="BX1" s="159"/>
      <c r="BY1" s="159"/>
      <c r="BZ1" s="158"/>
      <c r="CA1" s="323" t="s">
        <v>238</v>
      </c>
      <c r="CB1" s="323"/>
      <c r="CC1" s="323"/>
      <c r="CD1" s="323"/>
      <c r="CE1" s="323"/>
      <c r="CF1" s="323"/>
      <c r="CG1" s="323"/>
      <c r="CH1" s="323"/>
      <c r="CL1" s="260"/>
      <c r="CM1" s="260"/>
      <c r="CN1" s="260"/>
      <c r="CO1" s="260"/>
      <c r="CP1" s="260"/>
      <c r="CQ1" s="260"/>
    </row>
    <row r="2" spans="1:95" ht="22.5" customHeight="1" thickTop="1">
      <c r="B2" s="175" t="s">
        <v>229</v>
      </c>
      <c r="C2" s="176"/>
      <c r="D2" s="176"/>
      <c r="E2" s="176"/>
      <c r="F2" s="176"/>
      <c r="G2" s="176"/>
      <c r="H2" s="176"/>
      <c r="I2" s="176"/>
      <c r="J2" s="176"/>
      <c r="K2" s="176"/>
      <c r="L2" s="176"/>
      <c r="M2" s="176"/>
      <c r="N2" s="176"/>
      <c r="O2" s="176"/>
      <c r="P2" s="176"/>
      <c r="Q2" s="176"/>
      <c r="R2" s="176"/>
      <c r="S2" s="176"/>
      <c r="T2" s="176"/>
      <c r="U2" s="176"/>
      <c r="V2" s="176"/>
      <c r="W2" s="176"/>
      <c r="X2" s="176"/>
      <c r="Y2" s="176"/>
      <c r="Z2" s="176"/>
      <c r="AA2" s="176"/>
      <c r="AC2" s="177" t="s">
        <v>110</v>
      </c>
      <c r="AD2" s="178"/>
      <c r="AE2" s="178"/>
      <c r="AF2" s="178"/>
      <c r="AG2" s="178"/>
      <c r="AH2" s="178"/>
      <c r="AI2" s="178"/>
      <c r="AJ2" s="178"/>
      <c r="AK2" s="178"/>
      <c r="AL2" s="178"/>
      <c r="AM2" s="178"/>
      <c r="AN2" s="178"/>
      <c r="AO2" s="178"/>
      <c r="AP2" s="178"/>
      <c r="AQ2" s="178"/>
      <c r="AR2" s="178"/>
      <c r="AS2" s="178"/>
      <c r="AT2" s="178"/>
      <c r="AU2" s="178"/>
      <c r="AV2" s="178"/>
      <c r="AW2" s="178"/>
      <c r="AX2" s="178"/>
      <c r="AY2" s="178"/>
      <c r="AZ2" s="178"/>
      <c r="BA2" s="178"/>
      <c r="BB2" s="178"/>
      <c r="BE2" s="324" t="s">
        <v>127</v>
      </c>
      <c r="BF2" s="325"/>
      <c r="BG2" s="325"/>
      <c r="BH2" s="325"/>
      <c r="BI2" s="325"/>
      <c r="BJ2" s="325"/>
      <c r="BK2" s="326"/>
      <c r="BL2" s="189" t="s">
        <v>52</v>
      </c>
      <c r="BM2" s="190" t="s">
        <v>53</v>
      </c>
      <c r="BN2" s="197" t="s">
        <v>54</v>
      </c>
      <c r="BO2" s="198" t="s">
        <v>55</v>
      </c>
      <c r="BP2" s="190" t="s">
        <v>56</v>
      </c>
      <c r="BQ2" s="191" t="s">
        <v>57</v>
      </c>
      <c r="BR2" s="327" t="s">
        <v>112</v>
      </c>
      <c r="BS2" s="328"/>
      <c r="BT2" s="328" t="s">
        <v>115</v>
      </c>
      <c r="BU2" s="329"/>
      <c r="BW2" s="181" t="s">
        <v>948</v>
      </c>
      <c r="BX2" s="179"/>
      <c r="BY2" s="179"/>
      <c r="BZ2" s="179"/>
      <c r="CA2" s="179"/>
      <c r="CB2" s="179"/>
      <c r="CC2" s="179"/>
      <c r="CD2" s="179"/>
      <c r="CE2" s="179"/>
      <c r="CF2" s="179"/>
      <c r="CG2" s="179"/>
      <c r="CH2" s="179"/>
      <c r="CL2" s="266" t="s">
        <v>918</v>
      </c>
      <c r="CM2" s="267">
        <v>46113</v>
      </c>
      <c r="CN2" s="266">
        <v>6</v>
      </c>
      <c r="CO2" s="266">
        <v>60</v>
      </c>
      <c r="CP2" s="266">
        <v>0</v>
      </c>
      <c r="CQ2" s="266">
        <v>60</v>
      </c>
    </row>
    <row r="3" spans="1:95" ht="22.5" customHeight="1">
      <c r="B3" s="300" t="s">
        <v>263</v>
      </c>
      <c r="C3" s="301"/>
      <c r="D3" s="301"/>
      <c r="E3" s="301"/>
      <c r="F3" s="302"/>
      <c r="G3" s="303" t="s">
        <v>254</v>
      </c>
      <c r="H3" s="304"/>
      <c r="I3" s="305"/>
      <c r="J3" s="303" t="s">
        <v>27</v>
      </c>
      <c r="K3" s="304"/>
      <c r="L3" s="305"/>
      <c r="M3" s="303" t="s">
        <v>226</v>
      </c>
      <c r="N3" s="304"/>
      <c r="O3" s="305"/>
      <c r="P3" s="303" t="s">
        <v>15</v>
      </c>
      <c r="Q3" s="304"/>
      <c r="R3" s="305"/>
      <c r="S3" s="303" t="s">
        <v>22</v>
      </c>
      <c r="T3" s="304"/>
      <c r="U3" s="305"/>
      <c r="V3" s="303" t="s">
        <v>1</v>
      </c>
      <c r="W3" s="304"/>
      <c r="X3" s="305"/>
      <c r="Y3" s="303" t="s">
        <v>18</v>
      </c>
      <c r="Z3" s="304"/>
      <c r="AA3" s="305"/>
      <c r="AC3" s="179" t="s">
        <v>61</v>
      </c>
      <c r="AD3" s="179"/>
      <c r="AE3" s="179"/>
      <c r="AF3" s="179"/>
      <c r="AG3" s="179"/>
      <c r="AH3" s="179"/>
      <c r="AI3" s="179"/>
      <c r="AJ3" s="179"/>
      <c r="AK3" s="179"/>
      <c r="AL3" s="179"/>
      <c r="AM3" s="179"/>
      <c r="AN3" s="179"/>
      <c r="AO3" s="178"/>
      <c r="AP3" s="178"/>
      <c r="AQ3" s="179" t="s">
        <v>62</v>
      </c>
      <c r="AR3" s="179"/>
      <c r="AS3" s="179"/>
      <c r="AT3" s="179"/>
      <c r="AU3" s="179"/>
      <c r="AV3" s="179"/>
      <c r="AW3" s="179"/>
      <c r="AX3" s="179"/>
      <c r="AY3" s="179"/>
      <c r="AZ3" s="179"/>
      <c r="BA3" s="179"/>
      <c r="BB3" s="179"/>
      <c r="BE3" s="187">
        <v>1</v>
      </c>
      <c r="BF3" s="317" t="s">
        <v>594</v>
      </c>
      <c r="BG3" s="317"/>
      <c r="BH3" s="317" t="s">
        <v>618</v>
      </c>
      <c r="BI3" s="317"/>
      <c r="BJ3" s="317"/>
      <c r="BK3" s="318"/>
      <c r="BL3" s="215" t="s">
        <v>724</v>
      </c>
      <c r="BM3" s="209" t="s">
        <v>724</v>
      </c>
      <c r="BN3" s="209" t="s">
        <v>724</v>
      </c>
      <c r="BO3" s="209"/>
      <c r="BP3" s="209"/>
      <c r="BQ3" s="210"/>
      <c r="BR3" s="319"/>
      <c r="BS3" s="317"/>
      <c r="BT3" s="317"/>
      <c r="BU3" s="320"/>
      <c r="BW3" s="285" t="b">
        <v>0</v>
      </c>
      <c r="BX3" s="178" t="s">
        <v>97</v>
      </c>
      <c r="BY3" s="178"/>
      <c r="BZ3" s="178"/>
      <c r="CA3" s="178"/>
      <c r="CB3" s="178"/>
      <c r="CC3" s="178"/>
      <c r="CD3" s="178"/>
      <c r="CE3" s="178"/>
      <c r="CF3" s="178"/>
      <c r="CG3" s="178"/>
      <c r="CH3" s="178"/>
      <c r="CL3" s="266" t="s">
        <v>918</v>
      </c>
      <c r="CM3" s="267">
        <v>46113</v>
      </c>
      <c r="CN3" s="266">
        <v>5</v>
      </c>
      <c r="CO3" s="266">
        <v>120</v>
      </c>
      <c r="CP3" s="266">
        <v>8</v>
      </c>
      <c r="CQ3" s="266">
        <v>128</v>
      </c>
    </row>
    <row r="4" spans="1:95" ht="22.5" customHeight="1">
      <c r="B4" s="335" t="s">
        <v>32</v>
      </c>
      <c r="C4" s="336"/>
      <c r="D4" s="336"/>
      <c r="E4" s="336"/>
      <c r="F4" s="337"/>
      <c r="G4" s="321">
        <f ca="1">IFERROR(INDEX(INDIRECT("'"&amp;G$3&amp;"'!J:J"),MATCH($D$1,INDIRECT("'"&amp;G$3&amp;"'!A:A"),0)),"")</f>
        <v>29</v>
      </c>
      <c r="H4" s="321"/>
      <c r="I4" s="321"/>
      <c r="J4" s="321">
        <v>30</v>
      </c>
      <c r="K4" s="321"/>
      <c r="L4" s="321"/>
      <c r="M4" s="321">
        <v>30</v>
      </c>
      <c r="N4" s="321"/>
      <c r="O4" s="321"/>
      <c r="P4" s="321" t="str">
        <f ca="1">IFERROR(INDEX(INDIRECT("'"&amp;P$3&amp;"'!J:J"),MATCH($D$1,INDIRECT("'"&amp;P$3&amp;"'!A:A"),0)),"")</f>
        <v/>
      </c>
      <c r="Q4" s="321"/>
      <c r="R4" s="321"/>
      <c r="S4" s="321" t="str">
        <f ca="1">IFERROR(INDEX(INDIRECT("'"&amp;S$3&amp;"'!J:J"),MATCH($D$1,INDIRECT("'"&amp;S$3&amp;"'!A:A"),0)),"")</f>
        <v/>
      </c>
      <c r="T4" s="321"/>
      <c r="U4" s="321"/>
      <c r="V4" s="321" t="str">
        <f t="shared" ref="V4" ca="1" si="0">IFERROR(INDEX(INDIRECT("'"&amp;V$3&amp;"'!J:J"),MATCH($D$1,INDIRECT("'"&amp;V$3&amp;"'!A:A"),0)),"")</f>
        <v/>
      </c>
      <c r="W4" s="321"/>
      <c r="X4" s="321"/>
      <c r="Y4" s="321" t="str">
        <f t="shared" ref="Y4" ca="1" si="1">IFERROR(INDEX(INDIRECT("'"&amp;Y$3&amp;"'!J:J"),MATCH($D$1,INDIRECT("'"&amp;Y$3&amp;"'!A:A"),0)),"")</f>
        <v/>
      </c>
      <c r="Z4" s="321"/>
      <c r="AA4" s="321"/>
      <c r="AC4" s="322" t="s">
        <v>254</v>
      </c>
      <c r="AD4" s="322"/>
      <c r="AE4" s="322" t="s">
        <v>27</v>
      </c>
      <c r="AF4" s="322"/>
      <c r="AG4" s="322" t="s">
        <v>226</v>
      </c>
      <c r="AH4" s="322"/>
      <c r="AI4" s="322" t="s">
        <v>15</v>
      </c>
      <c r="AJ4" s="322"/>
      <c r="AK4" s="322" t="s">
        <v>23</v>
      </c>
      <c r="AL4" s="322"/>
      <c r="AM4" s="322" t="s">
        <v>256</v>
      </c>
      <c r="AN4" s="322"/>
      <c r="AQ4" s="322" t="s">
        <v>254</v>
      </c>
      <c r="AR4" s="322"/>
      <c r="AS4" s="322" t="s">
        <v>27</v>
      </c>
      <c r="AT4" s="322"/>
      <c r="AU4" s="322" t="s">
        <v>226</v>
      </c>
      <c r="AV4" s="322"/>
      <c r="AW4" s="322" t="s">
        <v>15</v>
      </c>
      <c r="AX4" s="322"/>
      <c r="AY4" s="322" t="s">
        <v>23</v>
      </c>
      <c r="AZ4" s="322"/>
      <c r="BA4" s="322" t="s">
        <v>256</v>
      </c>
      <c r="BB4" s="322"/>
      <c r="BE4" s="187">
        <v>2</v>
      </c>
      <c r="BF4" s="317" t="s">
        <v>268</v>
      </c>
      <c r="BG4" s="317"/>
      <c r="BH4" s="906" t="s">
        <v>619</v>
      </c>
      <c r="BI4" s="906"/>
      <c r="BJ4" s="906"/>
      <c r="BK4" s="907"/>
      <c r="BL4" s="215" t="s">
        <v>724</v>
      </c>
      <c r="BM4" s="209" t="s">
        <v>724</v>
      </c>
      <c r="BN4" s="209"/>
      <c r="BO4" s="209"/>
      <c r="BP4" s="209"/>
      <c r="BQ4" s="210"/>
      <c r="BR4" s="319"/>
      <c r="BS4" s="317"/>
      <c r="BT4" s="317"/>
      <c r="BU4" s="320"/>
      <c r="BW4" s="285" t="b">
        <v>0</v>
      </c>
      <c r="BX4" s="192" t="s">
        <v>69</v>
      </c>
      <c r="BY4" s="178"/>
      <c r="BZ4" s="178"/>
      <c r="CA4" s="178"/>
      <c r="CB4" s="178"/>
      <c r="CC4" s="178"/>
      <c r="CD4" s="178"/>
      <c r="CE4" s="178"/>
      <c r="CF4" s="178"/>
      <c r="CG4" s="178"/>
      <c r="CH4" s="178"/>
      <c r="CL4" s="266" t="s">
        <v>918</v>
      </c>
      <c r="CM4" s="267">
        <v>46113</v>
      </c>
      <c r="CN4" s="266">
        <v>4</v>
      </c>
      <c r="CO4" s="266">
        <v>144</v>
      </c>
      <c r="CP4" s="266">
        <v>6</v>
      </c>
      <c r="CQ4" s="266">
        <v>150</v>
      </c>
    </row>
    <row r="5" spans="1:95" ht="22.5" customHeight="1">
      <c r="B5" s="331" t="s">
        <v>225</v>
      </c>
      <c r="C5" s="332"/>
      <c r="D5" s="332"/>
      <c r="E5" s="332"/>
      <c r="F5" s="333"/>
      <c r="G5" s="334">
        <f ca="1">IFERROR(INDEX(INDIRECT("'"&amp;G$3&amp;"'!Ｉ:Ｉ"),MATCH($D$1,INDIRECT("'"&amp;G$3&amp;"'!A:A"),0)),"")</f>
        <v>880</v>
      </c>
      <c r="H5" s="334"/>
      <c r="I5" s="334"/>
      <c r="J5" s="321">
        <v>812</v>
      </c>
      <c r="K5" s="321"/>
      <c r="L5" s="321"/>
      <c r="M5" s="334">
        <v>828</v>
      </c>
      <c r="N5" s="334"/>
      <c r="O5" s="334"/>
      <c r="P5" s="334" t="str">
        <f ca="1">IFERROR(INDEX(INDIRECT("'"&amp;P$3&amp;"'!Ｉ:Ｉ"),MATCH($D$1,INDIRECT("'"&amp;P$3&amp;"'!A:A"),0)),"")</f>
        <v/>
      </c>
      <c r="Q5" s="334"/>
      <c r="R5" s="334"/>
      <c r="S5" s="334" t="str">
        <f ca="1">IFERROR(INDEX(INDIRECT("'"&amp;S$3&amp;"'!Ｉ:Ｉ"),MATCH($D$1,INDIRECT("'"&amp;S$3&amp;"'!A:A"),0)),"")</f>
        <v/>
      </c>
      <c r="T5" s="334"/>
      <c r="U5" s="334"/>
      <c r="V5" s="334" t="str">
        <f t="shared" ref="V5" ca="1" si="2">IFERROR(INDEX(INDIRECT("'"&amp;V$3&amp;"'!Ｉ:Ｉ"),MATCH($D$1,INDIRECT("'"&amp;V$3&amp;"'!A:A"),0)),"")</f>
        <v/>
      </c>
      <c r="W5" s="334"/>
      <c r="X5" s="334"/>
      <c r="Y5" s="334" t="str">
        <f t="shared" ref="Y5" ca="1" si="3">IFERROR(INDEX(INDIRECT("'"&amp;Y$3&amp;"'!Ｉ:Ｉ"),MATCH($D$1,INDIRECT("'"&amp;Y$3&amp;"'!A:A"),0)),"")</f>
        <v/>
      </c>
      <c r="Z5" s="334"/>
      <c r="AA5" s="334"/>
      <c r="AC5" s="330">
        <v>1</v>
      </c>
      <c r="AD5" s="330"/>
      <c r="AE5" s="330">
        <v>2</v>
      </c>
      <c r="AF5" s="330"/>
      <c r="AG5" s="330">
        <v>3</v>
      </c>
      <c r="AH5" s="330"/>
      <c r="AI5" s="330">
        <v>1</v>
      </c>
      <c r="AJ5" s="330"/>
      <c r="AK5" s="330"/>
      <c r="AL5" s="330"/>
      <c r="AM5" s="330"/>
      <c r="AN5" s="330"/>
      <c r="AQ5" s="330">
        <v>2</v>
      </c>
      <c r="AR5" s="330"/>
      <c r="AS5" s="330">
        <v>2</v>
      </c>
      <c r="AT5" s="330"/>
      <c r="AU5" s="330">
        <v>3</v>
      </c>
      <c r="AV5" s="330"/>
      <c r="AW5" s="330">
        <v>1</v>
      </c>
      <c r="AX5" s="330"/>
      <c r="AY5" s="330"/>
      <c r="AZ5" s="330"/>
      <c r="BA5" s="330"/>
      <c r="BB5" s="330"/>
      <c r="BE5" s="187">
        <v>3</v>
      </c>
      <c r="BF5" s="317" t="s">
        <v>268</v>
      </c>
      <c r="BG5" s="317"/>
      <c r="BH5" s="906" t="s">
        <v>634</v>
      </c>
      <c r="BI5" s="906"/>
      <c r="BJ5" s="906"/>
      <c r="BK5" s="907"/>
      <c r="BL5" s="215" t="s">
        <v>724</v>
      </c>
      <c r="BM5" s="209" t="s">
        <v>724</v>
      </c>
      <c r="BN5" s="209"/>
      <c r="BO5" s="209"/>
      <c r="BP5" s="209"/>
      <c r="BQ5" s="210"/>
      <c r="BR5" s="319" t="s">
        <v>267</v>
      </c>
      <c r="BS5" s="317"/>
      <c r="BT5" s="317"/>
      <c r="BU5" s="320"/>
      <c r="BW5" s="285" t="b">
        <v>0</v>
      </c>
      <c r="BX5" s="192" t="s">
        <v>70</v>
      </c>
      <c r="BY5" s="178"/>
      <c r="BZ5" s="178"/>
      <c r="CA5" s="178"/>
      <c r="CB5" s="178"/>
      <c r="CC5" s="193"/>
      <c r="CD5" s="193"/>
      <c r="CE5" s="193"/>
      <c r="CF5" s="178"/>
      <c r="CG5" s="178"/>
      <c r="CH5" s="178"/>
      <c r="CL5" s="266" t="s">
        <v>918</v>
      </c>
      <c r="CM5" s="267">
        <v>46113</v>
      </c>
      <c r="CN5" s="266">
        <v>3</v>
      </c>
      <c r="CO5" s="266">
        <v>219</v>
      </c>
      <c r="CP5" s="266">
        <v>7</v>
      </c>
      <c r="CQ5" s="266">
        <v>226</v>
      </c>
    </row>
    <row r="6" spans="1:95" ht="22.5" customHeight="1">
      <c r="B6" s="338" t="s">
        <v>33</v>
      </c>
      <c r="C6" s="339"/>
      <c r="D6" s="339"/>
      <c r="E6" s="339"/>
      <c r="F6" s="340"/>
      <c r="G6" s="341">
        <f ca="1">IFERROR(G5/(G1*DAY(EOMONTH(DATE(2024,LEFT(G3,LEN(G3)-1),1),0))),"")</f>
        <v>0.94623655913978499</v>
      </c>
      <c r="H6" s="341"/>
      <c r="I6" s="341"/>
      <c r="J6" s="341">
        <f>J5/900</f>
        <v>0.90222222222222226</v>
      </c>
      <c r="K6" s="341"/>
      <c r="L6" s="341"/>
      <c r="M6" s="341">
        <f>M5/920</f>
        <v>0.9</v>
      </c>
      <c r="N6" s="341"/>
      <c r="O6" s="341"/>
      <c r="P6" s="341" t="str">
        <f ca="1">IFERROR(P5/(P1*DAY(EOMONTH(DATE(2024,LEFT(P3,LEN(P3)-1),1),0))),"")</f>
        <v/>
      </c>
      <c r="Q6" s="341"/>
      <c r="R6" s="341"/>
      <c r="S6" s="341" t="str">
        <f ca="1">IFERROR(S5/(S1*DAY(EOMONTH(DATE(2024,LEFT(S3,LEN(S3)-1),1),0))),"")</f>
        <v/>
      </c>
      <c r="T6" s="341"/>
      <c r="U6" s="341"/>
      <c r="V6" s="341" t="str">
        <f t="shared" ref="V6" ca="1" si="4">IFERROR(V5/(V1*DAY(EOMONTH(DATE(2024,LEFT(V3,LEN(V3)-1),1),0))),"")</f>
        <v/>
      </c>
      <c r="W6" s="341"/>
      <c r="X6" s="341"/>
      <c r="Y6" s="341" t="str">
        <f t="shared" ref="Y6" ca="1" si="5">IFERROR(Y5/(Y1*DAY(EOMONTH(DATE(2024,LEFT(Y3,LEN(Y3)-1),1),0))),"")</f>
        <v/>
      </c>
      <c r="Z6" s="341"/>
      <c r="AA6" s="341"/>
      <c r="AC6" s="179" t="s">
        <v>60</v>
      </c>
      <c r="AD6" s="179"/>
      <c r="AE6" s="179"/>
      <c r="AF6" s="179"/>
      <c r="AG6" s="179"/>
      <c r="AH6" s="179"/>
      <c r="AI6" s="179"/>
      <c r="AJ6" s="179"/>
      <c r="AK6" s="179"/>
      <c r="AL6" s="179"/>
      <c r="AM6" s="179"/>
      <c r="AN6" s="179"/>
      <c r="AO6" s="178"/>
      <c r="AP6" s="178"/>
      <c r="AQ6" s="179" t="s">
        <v>109</v>
      </c>
      <c r="AR6" s="179"/>
      <c r="AS6" s="179"/>
      <c r="AT6" s="179"/>
      <c r="AU6" s="179"/>
      <c r="AV6" s="179"/>
      <c r="AW6" s="179"/>
      <c r="AX6" s="179"/>
      <c r="AY6" s="179"/>
      <c r="AZ6" s="179"/>
      <c r="BA6" s="179"/>
      <c r="BB6" s="179"/>
      <c r="BE6" s="187">
        <v>4</v>
      </c>
      <c r="BF6" s="317" t="s">
        <v>268</v>
      </c>
      <c r="BG6" s="317"/>
      <c r="BH6" s="906" t="s">
        <v>636</v>
      </c>
      <c r="BI6" s="906"/>
      <c r="BJ6" s="906"/>
      <c r="BK6" s="907"/>
      <c r="BL6" s="215"/>
      <c r="BM6" s="209"/>
      <c r="BN6" s="209"/>
      <c r="BO6" s="209"/>
      <c r="BP6" s="209"/>
      <c r="BQ6" s="210"/>
      <c r="BR6" s="319"/>
      <c r="BS6" s="317"/>
      <c r="BT6" s="317"/>
      <c r="BU6" s="320"/>
      <c r="BW6" s="285" t="b">
        <v>0</v>
      </c>
      <c r="BX6" s="192" t="s">
        <v>71</v>
      </c>
      <c r="BY6" s="178"/>
      <c r="BZ6" s="178"/>
      <c r="CA6" s="178"/>
      <c r="CB6" s="178"/>
      <c r="CC6" s="193"/>
      <c r="CD6" s="193"/>
      <c r="CE6" s="193"/>
      <c r="CF6" s="178"/>
      <c r="CG6" s="178"/>
      <c r="CH6" s="178"/>
      <c r="CL6" s="266" t="s">
        <v>918</v>
      </c>
      <c r="CM6" s="267">
        <v>46113</v>
      </c>
      <c r="CN6" s="266">
        <v>2</v>
      </c>
      <c r="CO6" s="266">
        <v>0</v>
      </c>
      <c r="CP6" s="266">
        <v>2</v>
      </c>
      <c r="CQ6" s="266">
        <v>2</v>
      </c>
    </row>
    <row r="7" spans="1:95" ht="22.5" customHeight="1">
      <c r="B7" s="735" t="s">
        <v>224</v>
      </c>
      <c r="C7" s="736"/>
      <c r="D7" s="736"/>
      <c r="E7" s="736"/>
      <c r="F7" s="737"/>
      <c r="G7" s="321">
        <f ca="1">IFERROR(INDEX(INDIRECT("'"&amp;G$3&amp;"'!L:L"),MATCH($D$1,INDIRECT("'"&amp;G$3&amp;"'!A:A"),0)),"")</f>
        <v>34</v>
      </c>
      <c r="H7" s="321"/>
      <c r="I7" s="321"/>
      <c r="J7" s="321">
        <v>31</v>
      </c>
      <c r="K7" s="321"/>
      <c r="L7" s="321"/>
      <c r="M7" s="321">
        <v>33</v>
      </c>
      <c r="N7" s="321"/>
      <c r="O7" s="321"/>
      <c r="P7" s="321" t="str">
        <f ca="1">IFERROR(INDEX(INDIRECT("'"&amp;P$3&amp;"'!L:L"),MATCH($D$1,INDIRECT("'"&amp;P$3&amp;"'!A:A"),0)),"")</f>
        <v/>
      </c>
      <c r="Q7" s="321"/>
      <c r="R7" s="321"/>
      <c r="S7" s="321" t="str">
        <f ca="1">IFERROR(INDEX(INDIRECT("'"&amp;S$3&amp;"'!L:L"),MATCH($D$1,INDIRECT("'"&amp;S$3&amp;"'!A:A"),0)),"")</f>
        <v/>
      </c>
      <c r="T7" s="321"/>
      <c r="U7" s="321"/>
      <c r="V7" s="321" t="str">
        <f t="shared" ref="V7" ca="1" si="6">IFERROR(INDEX(INDIRECT("'"&amp;V$3&amp;"'!L:L"),MATCH($D$1,INDIRECT("'"&amp;V$3&amp;"'!A:A"),0)),"")</f>
        <v/>
      </c>
      <c r="W7" s="321"/>
      <c r="X7" s="321"/>
      <c r="Y7" s="321" t="str">
        <f t="shared" ref="Y7" ca="1" si="7">IFERROR(INDEX(INDIRECT("'"&amp;Y$3&amp;"'!L:L"),MATCH($D$1,INDIRECT("'"&amp;Y$3&amp;"'!A:A"),0)),"")</f>
        <v/>
      </c>
      <c r="Z7" s="321"/>
      <c r="AA7" s="321"/>
      <c r="AC7" s="322" t="s">
        <v>254</v>
      </c>
      <c r="AD7" s="322"/>
      <c r="AE7" s="322" t="s">
        <v>27</v>
      </c>
      <c r="AF7" s="322"/>
      <c r="AG7" s="322" t="s">
        <v>226</v>
      </c>
      <c r="AH7" s="322"/>
      <c r="AI7" s="322" t="s">
        <v>15</v>
      </c>
      <c r="AJ7" s="322"/>
      <c r="AK7" s="322" t="s">
        <v>23</v>
      </c>
      <c r="AL7" s="322"/>
      <c r="AM7" s="322" t="s">
        <v>256</v>
      </c>
      <c r="AN7" s="322"/>
      <c r="AQ7" s="322" t="s">
        <v>254</v>
      </c>
      <c r="AR7" s="322"/>
      <c r="AS7" s="322" t="s">
        <v>27</v>
      </c>
      <c r="AT7" s="322"/>
      <c r="AU7" s="322" t="s">
        <v>226</v>
      </c>
      <c r="AV7" s="322"/>
      <c r="AW7" s="322" t="s">
        <v>15</v>
      </c>
      <c r="AX7" s="322"/>
      <c r="AY7" s="322" t="s">
        <v>23</v>
      </c>
      <c r="AZ7" s="322"/>
      <c r="BA7" s="322" t="s">
        <v>256</v>
      </c>
      <c r="BB7" s="322"/>
      <c r="BE7" s="187">
        <v>5</v>
      </c>
      <c r="BF7" s="317" t="s">
        <v>597</v>
      </c>
      <c r="BG7" s="317"/>
      <c r="BH7" s="317" t="s">
        <v>621</v>
      </c>
      <c r="BI7" s="317"/>
      <c r="BJ7" s="317"/>
      <c r="BK7" s="318"/>
      <c r="BL7" s="215"/>
      <c r="BM7" s="209"/>
      <c r="BN7" s="209"/>
      <c r="BO7" s="209"/>
      <c r="BP7" s="209"/>
      <c r="BQ7" s="210"/>
      <c r="BR7" s="319"/>
      <c r="BS7" s="317"/>
      <c r="BT7" s="317"/>
      <c r="BU7" s="320"/>
      <c r="BW7" s="285" t="b">
        <v>0</v>
      </c>
      <c r="BX7" s="192" t="s">
        <v>74</v>
      </c>
      <c r="BY7" s="178"/>
      <c r="BZ7" s="178"/>
      <c r="CA7" s="178"/>
      <c r="CB7" s="178"/>
      <c r="CC7" s="193"/>
      <c r="CD7" s="193"/>
      <c r="CE7" s="193"/>
      <c r="CF7" s="178"/>
      <c r="CG7" s="178"/>
      <c r="CH7" s="178"/>
      <c r="CL7" s="266" t="s">
        <v>918</v>
      </c>
      <c r="CM7" s="267">
        <v>46113</v>
      </c>
      <c r="CN7" s="266">
        <v>1</v>
      </c>
      <c r="CO7" s="266">
        <v>0</v>
      </c>
      <c r="CP7" s="266">
        <v>0</v>
      </c>
      <c r="CQ7" s="266">
        <v>0</v>
      </c>
    </row>
    <row r="8" spans="1:95" ht="22.5" customHeight="1">
      <c r="B8" s="338" t="s">
        <v>34</v>
      </c>
      <c r="C8" s="339"/>
      <c r="D8" s="339"/>
      <c r="E8" s="339"/>
      <c r="F8" s="340"/>
      <c r="G8" s="341">
        <f>34/62</f>
        <v>0.54838709677419351</v>
      </c>
      <c r="H8" s="341"/>
      <c r="I8" s="341"/>
      <c r="J8" s="341">
        <f>31/60</f>
        <v>0.51666666666666672</v>
      </c>
      <c r="K8" s="341"/>
      <c r="L8" s="341"/>
      <c r="M8" s="341">
        <f>M7/62</f>
        <v>0.532258064516129</v>
      </c>
      <c r="N8" s="341"/>
      <c r="O8" s="341"/>
      <c r="P8" s="341" t="str">
        <f ca="1">IFERROR(P7/(P1*DAY(EOMONTH(DATE(2024,LEFT(P3,LEN(P3)-1),1),0))),"")</f>
        <v/>
      </c>
      <c r="Q8" s="341"/>
      <c r="R8" s="341"/>
      <c r="S8" s="341" t="str">
        <f ca="1">IFERROR(S7/(S1*DAY(EOMONTH(DATE(2024,LEFT(S3,LEN(S3)-1),1),0))),"")</f>
        <v/>
      </c>
      <c r="T8" s="341"/>
      <c r="U8" s="341"/>
      <c r="V8" s="341" t="str">
        <f t="shared" ref="V8" ca="1" si="8">IFERROR(V7/(V1*DAY(EOMONTH(DATE(2024,LEFT(V3,LEN(V3)-1),1),0))),"")</f>
        <v/>
      </c>
      <c r="W8" s="341"/>
      <c r="X8" s="341"/>
      <c r="Y8" s="341" t="str">
        <f t="shared" ref="Y8" ca="1" si="9">IFERROR(Y7/(Y1*DAY(EOMONTH(DATE(2024,LEFT(Y3,LEN(Y3)-1),1),0))),"")</f>
        <v/>
      </c>
      <c r="Z8" s="341"/>
      <c r="AA8" s="341"/>
      <c r="AC8" s="330">
        <v>0</v>
      </c>
      <c r="AD8" s="330"/>
      <c r="AE8" s="330">
        <v>0</v>
      </c>
      <c r="AF8" s="330"/>
      <c r="AG8" s="330">
        <v>1</v>
      </c>
      <c r="AH8" s="330"/>
      <c r="AI8" s="330">
        <v>1</v>
      </c>
      <c r="AJ8" s="330"/>
      <c r="AK8" s="330"/>
      <c r="AL8" s="330"/>
      <c r="AM8" s="330"/>
      <c r="AN8" s="330"/>
      <c r="AQ8" s="330">
        <v>1</v>
      </c>
      <c r="AR8" s="330"/>
      <c r="AS8" s="330">
        <v>3</v>
      </c>
      <c r="AT8" s="330"/>
      <c r="AU8" s="330">
        <v>1</v>
      </c>
      <c r="AV8" s="330"/>
      <c r="AW8" s="330">
        <v>1</v>
      </c>
      <c r="AX8" s="330"/>
      <c r="AY8" s="330"/>
      <c r="AZ8" s="330"/>
      <c r="BA8" s="330"/>
      <c r="BB8" s="330"/>
      <c r="BE8" s="187">
        <v>6</v>
      </c>
      <c r="BF8" s="317" t="s">
        <v>596</v>
      </c>
      <c r="BG8" s="317"/>
      <c r="BH8" s="317" t="s">
        <v>622</v>
      </c>
      <c r="BI8" s="317"/>
      <c r="BJ8" s="317"/>
      <c r="BK8" s="318"/>
      <c r="BL8" s="215"/>
      <c r="BM8" s="209"/>
      <c r="BN8" s="209"/>
      <c r="BO8" s="209"/>
      <c r="BP8" s="209"/>
      <c r="BQ8" s="210"/>
      <c r="BR8" s="319"/>
      <c r="BS8" s="317"/>
      <c r="BT8" s="317"/>
      <c r="BU8" s="320"/>
      <c r="BW8" s="285" t="b">
        <v>0</v>
      </c>
      <c r="BX8" s="192" t="s">
        <v>72</v>
      </c>
      <c r="BY8" s="178"/>
      <c r="BZ8" s="178"/>
      <c r="CA8" s="178"/>
      <c r="CB8" s="178"/>
      <c r="CC8" s="193"/>
      <c r="CD8" s="193"/>
      <c r="CE8" s="193"/>
      <c r="CF8" s="178"/>
      <c r="CG8" s="178"/>
      <c r="CH8" s="178"/>
      <c r="CL8" s="266" t="s">
        <v>918</v>
      </c>
      <c r="CM8" s="267">
        <v>46113</v>
      </c>
      <c r="CN8" s="266" t="s">
        <v>904</v>
      </c>
      <c r="CO8" s="266">
        <v>0</v>
      </c>
      <c r="CP8" s="266">
        <v>0</v>
      </c>
      <c r="CQ8" s="266">
        <v>0</v>
      </c>
    </row>
    <row r="9" spans="1:95" ht="22.5" customHeight="1">
      <c r="B9" s="735" t="s">
        <v>175</v>
      </c>
      <c r="C9" s="736"/>
      <c r="D9" s="736"/>
      <c r="E9" s="736"/>
      <c r="F9" s="737"/>
      <c r="G9" s="321">
        <f ca="1">IFERROR(INDEX(INDIRECT("'"&amp;G$3&amp;"'!O:O"),MATCH($D$1,INDIRECT("'"&amp;G$3&amp;"'!A:A"),0)),"")</f>
        <v>867</v>
      </c>
      <c r="H9" s="321"/>
      <c r="I9" s="321"/>
      <c r="J9" s="321">
        <v>804</v>
      </c>
      <c r="K9" s="321"/>
      <c r="L9" s="321"/>
      <c r="M9" s="321">
        <v>771</v>
      </c>
      <c r="N9" s="321"/>
      <c r="O9" s="321"/>
      <c r="P9" s="321" t="str">
        <f ca="1">IFERROR(INDEX(INDIRECT("'"&amp;P$3&amp;"'!O:O"),MATCH($D$1,INDIRECT("'"&amp;P$3&amp;"'!A:A"),0)),"")</f>
        <v/>
      </c>
      <c r="Q9" s="321"/>
      <c r="R9" s="321"/>
      <c r="S9" s="321" t="str">
        <f ca="1">IFERROR(INDEX(INDIRECT("'"&amp;S$3&amp;"'!O:O"),MATCH($D$1,INDIRECT("'"&amp;S$3&amp;"'!A:A"),0)),"")</f>
        <v/>
      </c>
      <c r="T9" s="321"/>
      <c r="U9" s="321"/>
      <c r="V9" s="321" t="str">
        <f t="shared" ref="V9" ca="1" si="10">IFERROR(INDEX(INDIRECT("'"&amp;V$3&amp;"'!O:O"),MATCH($D$1,INDIRECT("'"&amp;V$3&amp;"'!A:A"),0)),"")</f>
        <v/>
      </c>
      <c r="W9" s="321"/>
      <c r="X9" s="321"/>
      <c r="Y9" s="321" t="str">
        <f t="shared" ref="Y9" ca="1" si="11">IFERROR(INDEX(INDIRECT("'"&amp;Y$3&amp;"'!O:O"),MATCH($D$1,INDIRECT("'"&amp;Y$3&amp;"'!A:A"),0)),"")</f>
        <v/>
      </c>
      <c r="Z9" s="321"/>
      <c r="AA9" s="321"/>
      <c r="AC9" s="179" t="s">
        <v>250</v>
      </c>
      <c r="AD9" s="179"/>
      <c r="AE9" s="179"/>
      <c r="AF9" s="179"/>
      <c r="AG9" s="179"/>
      <c r="AH9" s="179"/>
      <c r="AI9" s="179"/>
      <c r="AJ9" s="179"/>
      <c r="AK9" s="179"/>
      <c r="AL9" s="179"/>
      <c r="AM9" s="179"/>
      <c r="AN9" s="179"/>
      <c r="AO9" s="179"/>
      <c r="AP9" s="179"/>
      <c r="AQ9" s="180"/>
      <c r="AR9" s="179"/>
      <c r="AS9" s="179"/>
      <c r="AT9" s="179"/>
      <c r="AU9" s="179"/>
      <c r="AV9" s="179"/>
      <c r="AW9" s="179"/>
      <c r="AX9" s="179"/>
      <c r="AY9" s="179"/>
      <c r="AZ9" s="179"/>
      <c r="BA9" s="179"/>
      <c r="BB9" s="179"/>
      <c r="BE9" s="187">
        <v>7</v>
      </c>
      <c r="BF9" s="317" t="s">
        <v>596</v>
      </c>
      <c r="BG9" s="317"/>
      <c r="BH9" s="317" t="s">
        <v>623</v>
      </c>
      <c r="BI9" s="317"/>
      <c r="BJ9" s="317"/>
      <c r="BK9" s="318"/>
      <c r="BL9" s="215"/>
      <c r="BM9" s="209"/>
      <c r="BN9" s="209"/>
      <c r="BO9" s="209"/>
      <c r="BP9" s="209"/>
      <c r="BQ9" s="210"/>
      <c r="BR9" s="319"/>
      <c r="BS9" s="317"/>
      <c r="BT9" s="317"/>
      <c r="BU9" s="320"/>
      <c r="BW9" s="285" t="b">
        <v>0</v>
      </c>
      <c r="BX9" s="192" t="s">
        <v>73</v>
      </c>
      <c r="BY9" s="178"/>
      <c r="BZ9" s="178"/>
      <c r="CA9" s="178"/>
      <c r="CB9" s="178"/>
      <c r="CC9" s="193"/>
      <c r="CD9" s="193"/>
      <c r="CE9" s="193"/>
      <c r="CF9" s="178"/>
      <c r="CG9" s="178"/>
      <c r="CH9" s="178"/>
      <c r="CJ9" s="164"/>
      <c r="CL9" s="266" t="s">
        <v>919</v>
      </c>
      <c r="CM9" s="267">
        <v>46113</v>
      </c>
      <c r="CN9" s="266">
        <v>5</v>
      </c>
      <c r="CO9" s="266">
        <v>0</v>
      </c>
      <c r="CP9" s="266">
        <v>0</v>
      </c>
      <c r="CQ9" s="266">
        <v>0</v>
      </c>
    </row>
    <row r="10" spans="1:95" ht="22.5" customHeight="1">
      <c r="B10" s="338" t="s">
        <v>35</v>
      </c>
      <c r="C10" s="339"/>
      <c r="D10" s="339"/>
      <c r="E10" s="339"/>
      <c r="F10" s="340"/>
      <c r="G10" s="341">
        <f ca="1">IFERROR(G9/G5,"")</f>
        <v>0.98522727272727273</v>
      </c>
      <c r="H10" s="341"/>
      <c r="I10" s="341"/>
      <c r="J10" s="341">
        <f>IFERROR(J9/J5,"")</f>
        <v>0.99014778325123154</v>
      </c>
      <c r="K10" s="341"/>
      <c r="L10" s="341"/>
      <c r="M10" s="341">
        <f>IFERROR(M9/M5,"")</f>
        <v>0.9311594202898551</v>
      </c>
      <c r="N10" s="341"/>
      <c r="O10" s="341"/>
      <c r="P10" s="341" t="str">
        <f ca="1">IFERROR(P9/P5,"")</f>
        <v/>
      </c>
      <c r="Q10" s="341"/>
      <c r="R10" s="341"/>
      <c r="S10" s="341" t="str">
        <f ca="1">IFERROR(S9/S5,"")</f>
        <v/>
      </c>
      <c r="T10" s="341"/>
      <c r="U10" s="341"/>
      <c r="V10" s="341" t="str">
        <f t="shared" ref="V10" ca="1" si="12">IFERROR(V9/V5,"")</f>
        <v/>
      </c>
      <c r="W10" s="341"/>
      <c r="X10" s="341"/>
      <c r="Y10" s="341" t="str">
        <f t="shared" ref="Y10" ca="1" si="13">IFERROR(Y9/Y5,"")</f>
        <v/>
      </c>
      <c r="Z10" s="341"/>
      <c r="AA10" s="341"/>
      <c r="AC10" s="342" t="s">
        <v>249</v>
      </c>
      <c r="AD10" s="343"/>
      <c r="AE10" s="343"/>
      <c r="AF10" s="343"/>
      <c r="AG10" s="343"/>
      <c r="AH10" s="343"/>
      <c r="AI10" s="343"/>
      <c r="AJ10" s="344"/>
      <c r="AK10" s="342" t="s">
        <v>63</v>
      </c>
      <c r="AL10" s="343"/>
      <c r="AM10" s="345"/>
      <c r="AN10" s="346" t="s">
        <v>111</v>
      </c>
      <c r="AO10" s="343"/>
      <c r="AP10" s="343"/>
      <c r="AQ10" s="343"/>
      <c r="AR10" s="343"/>
      <c r="AS10" s="343"/>
      <c r="AT10" s="343"/>
      <c r="AU10" s="343"/>
      <c r="AV10" s="343"/>
      <c r="AW10" s="343"/>
      <c r="AX10" s="343"/>
      <c r="AY10" s="343"/>
      <c r="AZ10" s="343"/>
      <c r="BA10" s="343"/>
      <c r="BB10" s="345"/>
      <c r="BE10" s="187">
        <v>8</v>
      </c>
      <c r="BF10" s="317" t="s">
        <v>596</v>
      </c>
      <c r="BG10" s="317"/>
      <c r="BH10" s="317" t="s">
        <v>624</v>
      </c>
      <c r="BI10" s="317"/>
      <c r="BJ10" s="317"/>
      <c r="BK10" s="318"/>
      <c r="BL10" s="215"/>
      <c r="BM10" s="209"/>
      <c r="BN10" s="209"/>
      <c r="BO10" s="209"/>
      <c r="BP10" s="209"/>
      <c r="BQ10" s="210"/>
      <c r="BR10" s="319"/>
      <c r="BS10" s="317"/>
      <c r="BT10" s="317"/>
      <c r="BU10" s="320"/>
      <c r="BW10" s="285" t="b">
        <v>0</v>
      </c>
      <c r="BX10" s="192" t="s">
        <v>76</v>
      </c>
      <c r="BY10" s="178"/>
      <c r="BZ10" s="178"/>
      <c r="CA10" s="178"/>
      <c r="CB10" s="178"/>
      <c r="CC10" s="193"/>
      <c r="CD10" s="193"/>
      <c r="CE10" s="193"/>
      <c r="CF10" s="178"/>
      <c r="CG10" s="178"/>
      <c r="CH10" s="178"/>
      <c r="CL10" s="266" t="s">
        <v>919</v>
      </c>
      <c r="CM10" s="267">
        <v>46113</v>
      </c>
      <c r="CN10" s="266">
        <v>4</v>
      </c>
      <c r="CO10" s="266">
        <v>0</v>
      </c>
      <c r="CP10" s="266">
        <v>0</v>
      </c>
      <c r="CQ10" s="266">
        <v>0</v>
      </c>
    </row>
    <row r="11" spans="1:95" ht="22.5" customHeight="1">
      <c r="B11" s="335" t="s">
        <v>179</v>
      </c>
      <c r="C11" s="336"/>
      <c r="D11" s="336"/>
      <c r="E11" s="336"/>
      <c r="F11" s="337"/>
      <c r="G11" s="321">
        <f ca="1">IFERROR(INDEX(INDIRECT("'"&amp;G$3&amp;"'!R:R"),MATCH($D$1,INDIRECT("'"&amp;G$3&amp;"'!A:A"),0)),"")</f>
        <v>98</v>
      </c>
      <c r="H11" s="321"/>
      <c r="I11" s="321"/>
      <c r="J11" s="321">
        <v>88</v>
      </c>
      <c r="K11" s="321"/>
      <c r="L11" s="321"/>
      <c r="M11" s="321">
        <v>113</v>
      </c>
      <c r="N11" s="321"/>
      <c r="O11" s="321"/>
      <c r="P11" s="321" t="str">
        <f ca="1">IFERROR(INDEX(INDIRECT("'"&amp;P$3&amp;"'!R:R"),MATCH($D$1,INDIRECT("'"&amp;P$3&amp;"'!A:A"),0)),"")</f>
        <v/>
      </c>
      <c r="Q11" s="321"/>
      <c r="R11" s="321"/>
      <c r="S11" s="321" t="str">
        <f ca="1">IFERROR(INDEX(INDIRECT("'"&amp;S$3&amp;"'!R:R"),MATCH($D$1,INDIRECT("'"&amp;S$3&amp;"'!A:A"),0)),"")</f>
        <v/>
      </c>
      <c r="T11" s="321"/>
      <c r="U11" s="321"/>
      <c r="V11" s="321" t="str">
        <f t="shared" ref="V11" ca="1" si="14">IFERROR(INDEX(INDIRECT("'"&amp;V$3&amp;"'!R:R"),MATCH($D$1,INDIRECT("'"&amp;V$3&amp;"'!A:A"),0)),"")</f>
        <v/>
      </c>
      <c r="W11" s="321"/>
      <c r="X11" s="321"/>
      <c r="Y11" s="321" t="str">
        <f t="shared" ref="Y11" ca="1" si="15">IFERROR(INDEX(INDIRECT("'"&amp;Y$3&amp;"'!R:R"),MATCH($D$1,INDIRECT("'"&amp;Y$3&amp;"'!A:A"),0)),"")</f>
        <v/>
      </c>
      <c r="Z11" s="321"/>
      <c r="AA11" s="321"/>
      <c r="AC11" s="354"/>
      <c r="AD11" s="355"/>
      <c r="AE11" s="355"/>
      <c r="AF11" s="355"/>
      <c r="AG11" s="355"/>
      <c r="AH11" s="355"/>
      <c r="AI11" s="355"/>
      <c r="AJ11" s="356"/>
      <c r="AK11" s="357"/>
      <c r="AL11" s="358"/>
      <c r="AM11" s="203"/>
      <c r="AN11" s="359"/>
      <c r="AO11" s="355"/>
      <c r="AP11" s="355"/>
      <c r="AQ11" s="355"/>
      <c r="AR11" s="355"/>
      <c r="AS11" s="355"/>
      <c r="AT11" s="355"/>
      <c r="AU11" s="355"/>
      <c r="AV11" s="355"/>
      <c r="AW11" s="355"/>
      <c r="AX11" s="355"/>
      <c r="AY11" s="355"/>
      <c r="AZ11" s="355"/>
      <c r="BA11" s="355"/>
      <c r="BB11" s="360"/>
      <c r="BE11" s="187">
        <v>9</v>
      </c>
      <c r="BF11" s="317" t="s">
        <v>596</v>
      </c>
      <c r="BG11" s="317"/>
      <c r="BH11" s="317" t="s">
        <v>625</v>
      </c>
      <c r="BI11" s="317"/>
      <c r="BJ11" s="317"/>
      <c r="BK11" s="318"/>
      <c r="BL11" s="215"/>
      <c r="BM11" s="209"/>
      <c r="BN11" s="209"/>
      <c r="BO11" s="209"/>
      <c r="BP11" s="209"/>
      <c r="BQ11" s="210"/>
      <c r="BR11" s="319"/>
      <c r="BS11" s="317"/>
      <c r="BT11" s="317"/>
      <c r="BU11" s="320"/>
      <c r="BW11" s="285" t="b">
        <v>0</v>
      </c>
      <c r="BX11" s="192" t="s">
        <v>239</v>
      </c>
      <c r="BY11" s="178"/>
      <c r="BZ11" s="178"/>
      <c r="CA11" s="178"/>
      <c r="CB11" s="178"/>
      <c r="CC11" s="193"/>
      <c r="CD11" s="193"/>
      <c r="CE11" s="193"/>
      <c r="CF11" s="178"/>
      <c r="CG11" s="178"/>
      <c r="CH11" s="178"/>
      <c r="CL11" s="266" t="s">
        <v>919</v>
      </c>
      <c r="CM11" s="267">
        <v>46113</v>
      </c>
      <c r="CN11" s="266">
        <v>3</v>
      </c>
      <c r="CO11" s="266">
        <v>0</v>
      </c>
      <c r="CP11" s="266">
        <v>16</v>
      </c>
      <c r="CQ11" s="266">
        <v>16</v>
      </c>
    </row>
    <row r="12" spans="1:95" ht="22.5" customHeight="1">
      <c r="B12" s="338" t="s">
        <v>218</v>
      </c>
      <c r="C12" s="339"/>
      <c r="D12" s="339"/>
      <c r="E12" s="339"/>
      <c r="F12" s="340"/>
      <c r="G12" s="341">
        <f ca="1">IFERROR(G11/G5,"")</f>
        <v>0.11136363636363636</v>
      </c>
      <c r="H12" s="341"/>
      <c r="I12" s="341"/>
      <c r="J12" s="341">
        <f>IFERROR(J11/J5,"")</f>
        <v>0.10837438423645321</v>
      </c>
      <c r="K12" s="341"/>
      <c r="L12" s="341"/>
      <c r="M12" s="341">
        <f>IFERROR(M11/M5,"")</f>
        <v>0.13647342995169082</v>
      </c>
      <c r="N12" s="341"/>
      <c r="O12" s="341"/>
      <c r="P12" s="341" t="str">
        <f ca="1">IFERROR(P11/P5,"")</f>
        <v/>
      </c>
      <c r="Q12" s="341"/>
      <c r="R12" s="341"/>
      <c r="S12" s="341" t="str">
        <f ca="1">IFERROR(S11/S5,"")</f>
        <v/>
      </c>
      <c r="T12" s="341"/>
      <c r="U12" s="341"/>
      <c r="V12" s="341" t="str">
        <f t="shared" ref="V12" ca="1" si="16">IFERROR(V11/V5,"")</f>
        <v/>
      </c>
      <c r="W12" s="341"/>
      <c r="X12" s="341"/>
      <c r="Y12" s="341" t="str">
        <f t="shared" ref="Y12" ca="1" si="17">IFERROR(Y11/Y5,"")</f>
        <v/>
      </c>
      <c r="Z12" s="341"/>
      <c r="AA12" s="341"/>
      <c r="AC12" s="347"/>
      <c r="AD12" s="348"/>
      <c r="AE12" s="348"/>
      <c r="AF12" s="348"/>
      <c r="AG12" s="348"/>
      <c r="AH12" s="348"/>
      <c r="AI12" s="348"/>
      <c r="AJ12" s="349"/>
      <c r="AK12" s="350"/>
      <c r="AL12" s="351"/>
      <c r="AM12" s="202"/>
      <c r="AN12" s="352"/>
      <c r="AO12" s="348"/>
      <c r="AP12" s="348"/>
      <c r="AQ12" s="348"/>
      <c r="AR12" s="348"/>
      <c r="AS12" s="348"/>
      <c r="AT12" s="348"/>
      <c r="AU12" s="348"/>
      <c r="AV12" s="348"/>
      <c r="AW12" s="348"/>
      <c r="AX12" s="348"/>
      <c r="AY12" s="348"/>
      <c r="AZ12" s="348"/>
      <c r="BA12" s="348"/>
      <c r="BB12" s="353"/>
      <c r="BE12" s="187">
        <v>10</v>
      </c>
      <c r="BF12" s="317" t="s">
        <v>596</v>
      </c>
      <c r="BG12" s="317"/>
      <c r="BH12" s="317" t="s">
        <v>626</v>
      </c>
      <c r="BI12" s="317"/>
      <c r="BJ12" s="317"/>
      <c r="BK12" s="318"/>
      <c r="BL12" s="215"/>
      <c r="BM12" s="209"/>
      <c r="BN12" s="209"/>
      <c r="BO12" s="209"/>
      <c r="BP12" s="209"/>
      <c r="BQ12" s="210"/>
      <c r="BR12" s="319"/>
      <c r="BS12" s="317"/>
      <c r="BT12" s="317"/>
      <c r="BU12" s="320"/>
      <c r="BW12" s="285" t="b">
        <v>0</v>
      </c>
      <c r="BX12" s="192" t="s">
        <v>77</v>
      </c>
      <c r="BY12" s="178"/>
      <c r="BZ12" s="178"/>
      <c r="CA12" s="178"/>
      <c r="CB12" s="178"/>
      <c r="CC12" s="193"/>
      <c r="CD12" s="193"/>
      <c r="CE12" s="193"/>
      <c r="CF12" s="178"/>
      <c r="CG12" s="178"/>
      <c r="CH12" s="178"/>
      <c r="CL12" s="266" t="s">
        <v>919</v>
      </c>
      <c r="CM12" s="267">
        <v>46113</v>
      </c>
      <c r="CN12" s="266">
        <v>2</v>
      </c>
      <c r="CO12" s="266">
        <v>0</v>
      </c>
      <c r="CP12" s="266">
        <v>0</v>
      </c>
      <c r="CQ12" s="266">
        <v>0</v>
      </c>
    </row>
    <row r="13" spans="1:95" ht="22.5" customHeight="1">
      <c r="B13" s="335" t="s">
        <v>47</v>
      </c>
      <c r="C13" s="336"/>
      <c r="D13" s="336"/>
      <c r="E13" s="336"/>
      <c r="F13" s="337"/>
      <c r="G13" s="361">
        <f ca="1">IFERROR(INDEX(INDIRECT("'"&amp;G$3&amp;"'!M:M"),MATCH($D$1,INDIRECT("'"&amp;G$3&amp;"'!A:A"),0)),"")</f>
        <v>1</v>
      </c>
      <c r="H13" s="361"/>
      <c r="I13" s="361"/>
      <c r="J13" s="361">
        <v>0</v>
      </c>
      <c r="K13" s="361"/>
      <c r="L13" s="361"/>
      <c r="M13" s="361">
        <v>1</v>
      </c>
      <c r="N13" s="361"/>
      <c r="O13" s="361"/>
      <c r="P13" s="361" t="str">
        <f ca="1">IFERROR(INDEX(INDIRECT("'"&amp;P$3&amp;"'!M:M"),MATCH($D$1,INDIRECT("'"&amp;P$3&amp;"'!A:A"),0)),"")</f>
        <v/>
      </c>
      <c r="Q13" s="361"/>
      <c r="R13" s="361"/>
      <c r="S13" s="361" t="str">
        <f ca="1">IFERROR(INDEX(INDIRECT("'"&amp;S$3&amp;"'!M:M"),MATCH($D$1,INDIRECT("'"&amp;S$3&amp;"'!A:A"),0)),"")</f>
        <v/>
      </c>
      <c r="T13" s="361"/>
      <c r="U13" s="361"/>
      <c r="V13" s="361" t="str">
        <f t="shared" ref="V13" ca="1" si="18">IFERROR(INDEX(INDIRECT("'"&amp;V$3&amp;"'!M:M"),MATCH($D$1,INDIRECT("'"&amp;V$3&amp;"'!A:A"),0)),"")</f>
        <v/>
      </c>
      <c r="W13" s="361"/>
      <c r="X13" s="361"/>
      <c r="Y13" s="361" t="str">
        <f t="shared" ref="Y13" ca="1" si="19">IFERROR(INDEX(INDIRECT("'"&amp;Y$3&amp;"'!M:M"),MATCH($D$1,INDIRECT("'"&amp;Y$3&amp;"'!A:A"),0)),"")</f>
        <v/>
      </c>
      <c r="Z13" s="361"/>
      <c r="AA13" s="361"/>
      <c r="AC13" s="367"/>
      <c r="AD13" s="368"/>
      <c r="AE13" s="368"/>
      <c r="AF13" s="368"/>
      <c r="AG13" s="368"/>
      <c r="AH13" s="368"/>
      <c r="AI13" s="368"/>
      <c r="AJ13" s="369"/>
      <c r="AK13" s="370"/>
      <c r="AL13" s="371"/>
      <c r="AM13" s="204"/>
      <c r="AN13" s="372"/>
      <c r="AO13" s="368"/>
      <c r="AP13" s="368"/>
      <c r="AQ13" s="368"/>
      <c r="AR13" s="368"/>
      <c r="AS13" s="368"/>
      <c r="AT13" s="368"/>
      <c r="AU13" s="368"/>
      <c r="AV13" s="368"/>
      <c r="AW13" s="368"/>
      <c r="AX13" s="368"/>
      <c r="AY13" s="368"/>
      <c r="AZ13" s="368"/>
      <c r="BA13" s="368"/>
      <c r="BB13" s="373"/>
      <c r="BE13" s="187">
        <v>11</v>
      </c>
      <c r="BF13" s="317" t="s">
        <v>596</v>
      </c>
      <c r="BG13" s="317"/>
      <c r="BH13" s="317" t="s">
        <v>627</v>
      </c>
      <c r="BI13" s="317"/>
      <c r="BJ13" s="317"/>
      <c r="BK13" s="318"/>
      <c r="BL13" s="215"/>
      <c r="BM13" s="209"/>
      <c r="BN13" s="209"/>
      <c r="BO13" s="209"/>
      <c r="BP13" s="209"/>
      <c r="BQ13" s="210"/>
      <c r="BR13" s="362"/>
      <c r="BS13" s="319"/>
      <c r="BT13" s="317"/>
      <c r="BU13" s="320"/>
      <c r="BW13" s="285" t="b">
        <v>0</v>
      </c>
      <c r="BX13" s="192" t="s">
        <v>78</v>
      </c>
      <c r="BY13" s="178"/>
      <c r="BZ13" s="178"/>
      <c r="CA13" s="178"/>
      <c r="CB13" s="178"/>
      <c r="CC13" s="193"/>
      <c r="CD13" s="193"/>
      <c r="CE13" s="193"/>
      <c r="CF13" s="178"/>
      <c r="CG13" s="178"/>
      <c r="CH13" s="178"/>
      <c r="CL13" s="266" t="s">
        <v>919</v>
      </c>
      <c r="CM13" s="267">
        <v>46113</v>
      </c>
      <c r="CN13" s="266">
        <v>1</v>
      </c>
      <c r="CO13" s="266">
        <v>0</v>
      </c>
      <c r="CP13" s="266">
        <v>0</v>
      </c>
      <c r="CQ13" s="266">
        <v>0</v>
      </c>
    </row>
    <row r="14" spans="1:95" ht="22.5" customHeight="1" thickBot="1">
      <c r="A14" s="201" t="s">
        <v>251</v>
      </c>
      <c r="B14" s="363" t="s">
        <v>227</v>
      </c>
      <c r="C14" s="364"/>
      <c r="D14" s="364"/>
      <c r="E14" s="364"/>
      <c r="F14" s="365"/>
      <c r="G14" s="366"/>
      <c r="H14" s="366"/>
      <c r="I14" s="366"/>
      <c r="J14" s="366"/>
      <c r="K14" s="366"/>
      <c r="L14" s="366"/>
      <c r="M14" s="366"/>
      <c r="N14" s="366"/>
      <c r="O14" s="366"/>
      <c r="P14" s="366"/>
      <c r="Q14" s="366"/>
      <c r="R14" s="366"/>
      <c r="S14" s="366"/>
      <c r="T14" s="366"/>
      <c r="U14" s="366"/>
      <c r="V14" s="366"/>
      <c r="W14" s="366"/>
      <c r="X14" s="366"/>
      <c r="Y14" s="366"/>
      <c r="Z14" s="366"/>
      <c r="AA14" s="366"/>
      <c r="AC14" s="367"/>
      <c r="AD14" s="368"/>
      <c r="AE14" s="368"/>
      <c r="AF14" s="368"/>
      <c r="AG14" s="368"/>
      <c r="AH14" s="368"/>
      <c r="AI14" s="368"/>
      <c r="AJ14" s="369"/>
      <c r="AK14" s="370"/>
      <c r="AL14" s="371"/>
      <c r="AM14" s="204"/>
      <c r="AN14" s="372"/>
      <c r="AO14" s="368"/>
      <c r="AP14" s="368"/>
      <c r="AQ14" s="368"/>
      <c r="AR14" s="368"/>
      <c r="AS14" s="368"/>
      <c r="AT14" s="368"/>
      <c r="AU14" s="368"/>
      <c r="AV14" s="368"/>
      <c r="AW14" s="368"/>
      <c r="AX14" s="368"/>
      <c r="AY14" s="368"/>
      <c r="AZ14" s="368"/>
      <c r="BA14" s="368"/>
      <c r="BB14" s="373"/>
      <c r="BE14" s="187">
        <v>12</v>
      </c>
      <c r="BF14" s="317" t="s">
        <v>596</v>
      </c>
      <c r="BG14" s="317"/>
      <c r="BH14" s="317" t="s">
        <v>628</v>
      </c>
      <c r="BI14" s="317"/>
      <c r="BJ14" s="317"/>
      <c r="BK14" s="318"/>
      <c r="BL14" s="215"/>
      <c r="BM14" s="209"/>
      <c r="BN14" s="209"/>
      <c r="BO14" s="209"/>
      <c r="BP14" s="209"/>
      <c r="BQ14" s="210"/>
      <c r="BR14" s="362"/>
      <c r="BS14" s="319"/>
      <c r="BT14" s="317"/>
      <c r="BU14" s="320"/>
      <c r="BW14" s="285" t="b">
        <v>0</v>
      </c>
      <c r="BX14" s="192" t="s">
        <v>79</v>
      </c>
      <c r="BY14" s="178"/>
      <c r="BZ14" s="178"/>
      <c r="CA14" s="178"/>
      <c r="CB14" s="178"/>
      <c r="CC14" s="178"/>
      <c r="CD14" s="178"/>
      <c r="CE14" s="178"/>
      <c r="CF14" s="178"/>
      <c r="CG14" s="178"/>
      <c r="CH14" s="178"/>
      <c r="CL14" s="266" t="s">
        <v>919</v>
      </c>
      <c r="CM14" s="267">
        <v>46113</v>
      </c>
      <c r="CN14" s="266" t="s">
        <v>904</v>
      </c>
      <c r="CO14" s="266">
        <v>0</v>
      </c>
      <c r="CP14" s="266">
        <v>0</v>
      </c>
      <c r="CQ14" s="266">
        <v>0</v>
      </c>
    </row>
    <row r="15" spans="1:95" ht="22.5" customHeight="1" thickTop="1">
      <c r="B15" s="739" t="s">
        <v>264</v>
      </c>
      <c r="C15" s="740"/>
      <c r="D15" s="740"/>
      <c r="E15" s="740"/>
      <c r="F15" s="741"/>
      <c r="G15" s="385">
        <v>914613</v>
      </c>
      <c r="H15" s="385"/>
      <c r="I15" s="385"/>
      <c r="J15" s="385">
        <v>914613</v>
      </c>
      <c r="K15" s="385"/>
      <c r="L15" s="385"/>
      <c r="M15" s="385">
        <v>925550</v>
      </c>
      <c r="N15" s="385"/>
      <c r="O15" s="385"/>
      <c r="P15" s="385" t="str">
        <f ca="1">IFERROR(INDEX(INDIRECT("'"&amp;P$3&amp;"'!X:X"),MATCH($D$1,INDIRECT("'"&amp;P$3&amp;"'!A:A"),0)),"")</f>
        <v/>
      </c>
      <c r="Q15" s="385"/>
      <c r="R15" s="385"/>
      <c r="S15" s="385" t="str">
        <f ca="1">IFERROR(INDEX(INDIRECT("'"&amp;S$3&amp;"'!X:X"),MATCH($D$1,INDIRECT("'"&amp;S$3&amp;"'!A:A"),0)),"")</f>
        <v/>
      </c>
      <c r="T15" s="385"/>
      <c r="U15" s="385"/>
      <c r="V15" s="386" t="s">
        <v>266</v>
      </c>
      <c r="W15" s="387"/>
      <c r="X15" s="388">
        <f ca="1">AVERAGE(G15:U15)</f>
        <v>918258.66666666663</v>
      </c>
      <c r="Y15" s="388"/>
      <c r="Z15" s="388"/>
      <c r="AA15" s="389"/>
      <c r="AB15" s="162"/>
      <c r="BE15" s="187">
        <v>13</v>
      </c>
      <c r="BF15" s="317" t="s">
        <v>596</v>
      </c>
      <c r="BG15" s="317"/>
      <c r="BH15" s="317" t="s">
        <v>629</v>
      </c>
      <c r="BI15" s="317"/>
      <c r="BJ15" s="317"/>
      <c r="BK15" s="318"/>
      <c r="BL15" s="215"/>
      <c r="BM15" s="209"/>
      <c r="BN15" s="209"/>
      <c r="BO15" s="209"/>
      <c r="BP15" s="209"/>
      <c r="BQ15" s="210"/>
      <c r="BR15" s="362" t="s">
        <v>595</v>
      </c>
      <c r="BS15" s="319"/>
      <c r="BT15" s="317"/>
      <c r="BU15" s="320"/>
      <c r="BW15" s="285" t="b">
        <v>0</v>
      </c>
      <c r="BX15" s="192" t="s">
        <v>80</v>
      </c>
      <c r="BY15" s="178"/>
      <c r="BZ15" s="178"/>
      <c r="CA15" s="178"/>
      <c r="CB15" s="178"/>
      <c r="CC15" s="178"/>
      <c r="CD15" s="178"/>
      <c r="CE15" s="178"/>
      <c r="CF15" s="178"/>
      <c r="CG15" s="178"/>
      <c r="CH15" s="178"/>
    </row>
    <row r="16" spans="1:95" s="164" customFormat="1" ht="22.5" customHeight="1">
      <c r="B16" s="164">
        <v>30</v>
      </c>
      <c r="V16" s="220"/>
      <c r="W16" s="220"/>
      <c r="X16" s="220"/>
      <c r="Y16" s="220"/>
      <c r="Z16" s="220"/>
      <c r="AA16" s="220"/>
      <c r="AB16" s="162"/>
      <c r="AC16" s="374" t="s">
        <v>236</v>
      </c>
      <c r="AD16" s="375"/>
      <c r="AE16" s="375"/>
      <c r="AF16" s="375"/>
      <c r="AG16" s="375"/>
      <c r="AH16" s="375"/>
      <c r="AI16" s="375"/>
      <c r="AJ16" s="376"/>
      <c r="AK16" s="377" t="s">
        <v>254</v>
      </c>
      <c r="AL16" s="378"/>
      <c r="AM16" s="379"/>
      <c r="AN16" s="380" t="s">
        <v>27</v>
      </c>
      <c r="AO16" s="378"/>
      <c r="AP16" s="381"/>
      <c r="AQ16" s="377" t="s">
        <v>226</v>
      </c>
      <c r="AR16" s="378"/>
      <c r="AS16" s="379"/>
      <c r="AT16" s="380" t="s">
        <v>14</v>
      </c>
      <c r="AU16" s="378"/>
      <c r="AV16" s="381"/>
      <c r="AW16" s="377" t="s">
        <v>22</v>
      </c>
      <c r="AX16" s="378"/>
      <c r="AY16" s="379"/>
      <c r="AZ16" s="380" t="s">
        <v>1</v>
      </c>
      <c r="BA16" s="378"/>
      <c r="BB16" s="379"/>
      <c r="BE16" s="187">
        <v>14</v>
      </c>
      <c r="BF16" s="317" t="s">
        <v>596</v>
      </c>
      <c r="BG16" s="317"/>
      <c r="BH16" s="317" t="s">
        <v>630</v>
      </c>
      <c r="BI16" s="317"/>
      <c r="BJ16" s="317"/>
      <c r="BK16" s="318"/>
      <c r="BL16" s="215"/>
      <c r="BM16" s="209"/>
      <c r="BN16" s="209"/>
      <c r="BO16" s="209"/>
      <c r="BP16" s="209"/>
      <c r="BQ16" s="210"/>
      <c r="BR16" s="319"/>
      <c r="BS16" s="317"/>
      <c r="BT16" s="317"/>
      <c r="BU16" s="320"/>
      <c r="BW16" s="285" t="b">
        <v>0</v>
      </c>
      <c r="BX16" s="192" t="s">
        <v>81</v>
      </c>
      <c r="BY16" s="194"/>
      <c r="BZ16" s="194"/>
      <c r="CA16" s="194"/>
      <c r="CB16" s="194"/>
      <c r="CC16" s="194"/>
      <c r="CD16" s="194"/>
      <c r="CE16" s="194"/>
      <c r="CF16" s="194"/>
      <c r="CG16" s="194"/>
      <c r="CH16" s="194"/>
      <c r="CJ16" s="161"/>
    </row>
    <row r="17" spans="2:86" ht="22.5" customHeight="1">
      <c r="B17" s="850">
        <f ca="1">NOW()</f>
        <v>46202.751855324073</v>
      </c>
      <c r="C17" s="851"/>
      <c r="D17" s="851"/>
      <c r="E17" s="851"/>
      <c r="F17" s="852"/>
      <c r="G17" s="303" t="s">
        <v>777</v>
      </c>
      <c r="H17" s="304"/>
      <c r="I17" s="305"/>
      <c r="J17" s="303" t="s">
        <v>778</v>
      </c>
      <c r="K17" s="304"/>
      <c r="L17" s="305"/>
      <c r="M17" s="303" t="s">
        <v>779</v>
      </c>
      <c r="N17" s="304"/>
      <c r="O17" s="305"/>
      <c r="P17" s="303" t="s">
        <v>780</v>
      </c>
      <c r="Q17" s="304"/>
      <c r="R17" s="305"/>
      <c r="S17" s="303" t="s">
        <v>781</v>
      </c>
      <c r="T17" s="304"/>
      <c r="U17" s="305"/>
      <c r="V17" s="303" t="s">
        <v>782</v>
      </c>
      <c r="W17" s="304"/>
      <c r="X17" s="305"/>
      <c r="AB17" s="165"/>
      <c r="AC17" s="392" t="s">
        <v>234</v>
      </c>
      <c r="AD17" s="393"/>
      <c r="AE17" s="393"/>
      <c r="AF17" s="394"/>
      <c r="AG17" s="398" t="s">
        <v>262</v>
      </c>
      <c r="AH17" s="399"/>
      <c r="AI17" s="399"/>
      <c r="AJ17" s="400"/>
      <c r="AK17" s="401">
        <v>14.8</v>
      </c>
      <c r="AL17" s="402"/>
      <c r="AM17" s="403"/>
      <c r="AN17" s="404"/>
      <c r="AO17" s="402"/>
      <c r="AP17" s="405"/>
      <c r="AQ17" s="401"/>
      <c r="AR17" s="402"/>
      <c r="AS17" s="403"/>
      <c r="AT17" s="404"/>
      <c r="AU17" s="402"/>
      <c r="AV17" s="405"/>
      <c r="AW17" s="401"/>
      <c r="AX17" s="402"/>
      <c r="AY17" s="403"/>
      <c r="AZ17" s="404"/>
      <c r="BA17" s="402"/>
      <c r="BB17" s="403"/>
      <c r="BE17" s="187">
        <v>15</v>
      </c>
      <c r="BF17" s="317" t="s">
        <v>594</v>
      </c>
      <c r="BG17" s="317"/>
      <c r="BH17" s="317" t="s">
        <v>719</v>
      </c>
      <c r="BI17" s="317"/>
      <c r="BJ17" s="317"/>
      <c r="BK17" s="318"/>
      <c r="BL17" s="215"/>
      <c r="BM17" s="209"/>
      <c r="BN17" s="209"/>
      <c r="BO17" s="209"/>
      <c r="BP17" s="209"/>
      <c r="BQ17" s="210"/>
      <c r="BR17" s="319"/>
      <c r="BS17" s="317"/>
      <c r="BT17" s="317"/>
      <c r="BU17" s="320"/>
      <c r="BX17" s="178"/>
      <c r="BY17" s="178"/>
      <c r="BZ17" s="178"/>
      <c r="CA17" s="178"/>
      <c r="CB17" s="178"/>
      <c r="CC17" s="178"/>
      <c r="CD17" s="178"/>
      <c r="CE17" s="178"/>
      <c r="CF17" s="178"/>
      <c r="CG17" s="178"/>
      <c r="CH17" s="178"/>
    </row>
    <row r="18" spans="2:86" ht="22.5" customHeight="1">
      <c r="B18" s="335" t="s">
        <v>32</v>
      </c>
      <c r="C18" s="336"/>
      <c r="D18" s="336"/>
      <c r="E18" s="336"/>
      <c r="F18" s="337"/>
      <c r="G18" s="321">
        <v>29</v>
      </c>
      <c r="H18" s="321"/>
      <c r="I18" s="321"/>
      <c r="J18" s="321">
        <v>29</v>
      </c>
      <c r="K18" s="321"/>
      <c r="L18" s="321"/>
      <c r="M18" s="321">
        <v>29</v>
      </c>
      <c r="N18" s="321"/>
      <c r="O18" s="321"/>
      <c r="P18" s="321"/>
      <c r="Q18" s="321"/>
      <c r="R18" s="321"/>
      <c r="S18" s="321"/>
      <c r="T18" s="321"/>
      <c r="U18" s="321"/>
      <c r="V18" s="782">
        <f>COUNTA([1]人員配置【入力用】!$C$13:$C$32)</f>
        <v>19</v>
      </c>
      <c r="W18" s="782"/>
      <c r="X18" s="782"/>
      <c r="AB18" s="162"/>
      <c r="AC18" s="395"/>
      <c r="AD18" s="396"/>
      <c r="AE18" s="396"/>
      <c r="AF18" s="397"/>
      <c r="AG18" s="407" t="s">
        <v>50</v>
      </c>
      <c r="AH18" s="408"/>
      <c r="AI18" s="408"/>
      <c r="AJ18" s="409"/>
      <c r="AK18" s="410">
        <f>72/166</f>
        <v>0.43373493975903615</v>
      </c>
      <c r="AL18" s="411"/>
      <c r="AM18" s="412"/>
      <c r="AN18" s="413"/>
      <c r="AO18" s="411"/>
      <c r="AP18" s="414"/>
      <c r="AQ18" s="410"/>
      <c r="AR18" s="411"/>
      <c r="AS18" s="412"/>
      <c r="AT18" s="413">
        <v>0.85</v>
      </c>
      <c r="AU18" s="411"/>
      <c r="AV18" s="414"/>
      <c r="AW18" s="410"/>
      <c r="AX18" s="411"/>
      <c r="AY18" s="412"/>
      <c r="AZ18" s="413"/>
      <c r="BA18" s="411"/>
      <c r="BB18" s="412"/>
      <c r="BE18" s="187">
        <v>16</v>
      </c>
      <c r="BF18" s="317" t="s">
        <v>594</v>
      </c>
      <c r="BG18" s="317"/>
      <c r="BH18" s="317" t="s">
        <v>720</v>
      </c>
      <c r="BI18" s="317"/>
      <c r="BJ18" s="317"/>
      <c r="BK18" s="318"/>
      <c r="BL18" s="215"/>
      <c r="BM18" s="209"/>
      <c r="BN18" s="209"/>
      <c r="BO18" s="209"/>
      <c r="BP18" s="209"/>
      <c r="BQ18" s="210"/>
      <c r="BR18" s="319"/>
      <c r="BS18" s="317"/>
      <c r="BT18" s="317"/>
      <c r="BU18" s="320"/>
      <c r="BW18" s="181" t="s">
        <v>949</v>
      </c>
      <c r="BX18" s="179"/>
      <c r="BY18" s="179"/>
      <c r="BZ18" s="179"/>
      <c r="CA18" s="179"/>
      <c r="CB18" s="179"/>
      <c r="CC18" s="179"/>
      <c r="CD18" s="179"/>
      <c r="CE18" s="179"/>
      <c r="CF18" s="179"/>
      <c r="CG18" s="179"/>
      <c r="CH18" s="179"/>
    </row>
    <row r="19" spans="2:86" ht="22.5" customHeight="1">
      <c r="B19" s="858" t="s">
        <v>225</v>
      </c>
      <c r="C19" s="775"/>
      <c r="D19" s="775"/>
      <c r="E19" s="775"/>
      <c r="F19" s="859"/>
      <c r="G19" s="334">
        <f>559+273</f>
        <v>832</v>
      </c>
      <c r="H19" s="334"/>
      <c r="I19" s="334"/>
      <c r="J19" s="334">
        <f>559+273</f>
        <v>832</v>
      </c>
      <c r="K19" s="334"/>
      <c r="L19" s="334"/>
      <c r="M19" s="334">
        <v>832</v>
      </c>
      <c r="N19" s="334"/>
      <c r="O19" s="334"/>
      <c r="P19" s="334"/>
      <c r="Q19" s="334"/>
      <c r="R19" s="334"/>
      <c r="S19" s="334"/>
      <c r="T19" s="334"/>
      <c r="U19" s="334"/>
      <c r="V19" s="784">
        <f>SUM([1]人員配置【入力用】!$E$13:$E$32)</f>
        <v>555</v>
      </c>
      <c r="W19" s="784"/>
      <c r="X19" s="784"/>
      <c r="AB19" s="162"/>
      <c r="AC19" s="446" t="s">
        <v>752</v>
      </c>
      <c r="AD19" s="447"/>
      <c r="AE19" s="447"/>
      <c r="AF19" s="448"/>
      <c r="AG19" s="452" t="s">
        <v>51</v>
      </c>
      <c r="AH19" s="453"/>
      <c r="AI19" s="453"/>
      <c r="AJ19" s="454"/>
      <c r="AK19" s="421">
        <f>234/166</f>
        <v>1.4096385542168675</v>
      </c>
      <c r="AL19" s="416"/>
      <c r="AM19" s="417"/>
      <c r="AN19" s="415"/>
      <c r="AO19" s="416"/>
      <c r="AP19" s="442"/>
      <c r="AQ19" s="421"/>
      <c r="AR19" s="416"/>
      <c r="AS19" s="417"/>
      <c r="AT19" s="415">
        <v>0</v>
      </c>
      <c r="AU19" s="416"/>
      <c r="AV19" s="442"/>
      <c r="AW19" s="421"/>
      <c r="AX19" s="416"/>
      <c r="AY19" s="417"/>
      <c r="AZ19" s="415"/>
      <c r="BA19" s="416"/>
      <c r="BB19" s="417"/>
      <c r="BE19" s="187">
        <v>17</v>
      </c>
      <c r="BF19" s="317" t="s">
        <v>594</v>
      </c>
      <c r="BG19" s="317"/>
      <c r="BH19" s="317" t="s">
        <v>721</v>
      </c>
      <c r="BI19" s="317"/>
      <c r="BJ19" s="317"/>
      <c r="BK19" s="318"/>
      <c r="BL19" s="215"/>
      <c r="BM19" s="209"/>
      <c r="BN19" s="209"/>
      <c r="BO19" s="209"/>
      <c r="BP19" s="209"/>
      <c r="BQ19" s="210"/>
      <c r="BR19" s="319"/>
      <c r="BS19" s="317"/>
      <c r="BT19" s="317"/>
      <c r="BU19" s="320"/>
      <c r="BW19" s="285" t="b">
        <v>0</v>
      </c>
      <c r="BX19" s="178" t="s">
        <v>100</v>
      </c>
      <c r="BY19" s="178"/>
      <c r="BZ19" s="178"/>
      <c r="CA19" s="178"/>
      <c r="CB19" s="178"/>
      <c r="CC19" s="178"/>
      <c r="CD19" s="178"/>
      <c r="CE19" s="178"/>
      <c r="CF19" s="178"/>
      <c r="CG19" s="178"/>
      <c r="CH19" s="178"/>
    </row>
    <row r="20" spans="2:86" ht="22.5" customHeight="1">
      <c r="B20" s="338" t="s">
        <v>33</v>
      </c>
      <c r="C20" s="339"/>
      <c r="D20" s="339"/>
      <c r="E20" s="339"/>
      <c r="F20" s="340"/>
      <c r="G20" s="341">
        <f>G19/(B16*30)</f>
        <v>0.9244444444444444</v>
      </c>
      <c r="H20" s="341"/>
      <c r="I20" s="341"/>
      <c r="J20" s="341">
        <f>J19/(B16*30)</f>
        <v>0.9244444444444444</v>
      </c>
      <c r="K20" s="341"/>
      <c r="L20" s="341"/>
      <c r="M20" s="341">
        <v>0.92400000000000004</v>
      </c>
      <c r="N20" s="341"/>
      <c r="O20" s="341"/>
      <c r="P20" s="341"/>
      <c r="Q20" s="341"/>
      <c r="R20" s="341"/>
      <c r="S20" s="341"/>
      <c r="T20" s="341"/>
      <c r="U20" s="341"/>
      <c r="V20" s="786">
        <f>V19/(B16*20)</f>
        <v>0.92500000000000004</v>
      </c>
      <c r="W20" s="786"/>
      <c r="X20" s="786"/>
      <c r="AB20" s="162"/>
      <c r="AC20" s="446"/>
      <c r="AD20" s="447"/>
      <c r="AE20" s="447"/>
      <c r="AF20" s="448"/>
      <c r="AG20" s="439" t="s">
        <v>232</v>
      </c>
      <c r="AH20" s="440"/>
      <c r="AI20" s="440"/>
      <c r="AJ20" s="441"/>
      <c r="AK20" s="410">
        <f>477/166</f>
        <v>2.8734939759036147</v>
      </c>
      <c r="AL20" s="411"/>
      <c r="AM20" s="412"/>
      <c r="AN20" s="413"/>
      <c r="AO20" s="411"/>
      <c r="AP20" s="414"/>
      <c r="AQ20" s="410"/>
      <c r="AR20" s="411"/>
      <c r="AS20" s="412"/>
      <c r="AT20" s="413"/>
      <c r="AU20" s="411"/>
      <c r="AV20" s="414"/>
      <c r="AW20" s="410"/>
      <c r="AX20" s="411"/>
      <c r="AY20" s="412"/>
      <c r="AZ20" s="413"/>
      <c r="BA20" s="411"/>
      <c r="BB20" s="412"/>
      <c r="BE20" s="187">
        <v>18</v>
      </c>
      <c r="BF20" s="317" t="s">
        <v>594</v>
      </c>
      <c r="BG20" s="317"/>
      <c r="BH20" s="317" t="s">
        <v>722</v>
      </c>
      <c r="BI20" s="317"/>
      <c r="BJ20" s="317"/>
      <c r="BK20" s="318"/>
      <c r="BL20" s="215"/>
      <c r="BM20" s="209"/>
      <c r="BN20" s="209"/>
      <c r="BO20" s="209"/>
      <c r="BP20" s="209"/>
      <c r="BQ20" s="210"/>
      <c r="BR20" s="319"/>
      <c r="BS20" s="317"/>
      <c r="BT20" s="317"/>
      <c r="BU20" s="320"/>
      <c r="BW20" s="285" t="b">
        <v>0</v>
      </c>
      <c r="BX20" s="178" t="s">
        <v>98</v>
      </c>
      <c r="BY20" s="178"/>
      <c r="BZ20" s="178"/>
      <c r="CA20" s="194"/>
      <c r="CB20" s="193"/>
      <c r="CC20" s="178"/>
      <c r="CD20" s="178"/>
      <c r="CE20" s="178"/>
      <c r="CF20" s="178"/>
      <c r="CG20" s="178"/>
      <c r="CH20" s="178"/>
    </row>
    <row r="21" spans="2:86" ht="22.5" customHeight="1" thickBot="1">
      <c r="B21" s="858" t="s">
        <v>783</v>
      </c>
      <c r="C21" s="775"/>
      <c r="D21" s="775"/>
      <c r="E21" s="775"/>
      <c r="F21" s="859"/>
      <c r="G21" s="860">
        <f>560+300</f>
        <v>860</v>
      </c>
      <c r="H21" s="860"/>
      <c r="I21" s="860"/>
      <c r="J21" s="860">
        <f>560+300</f>
        <v>860</v>
      </c>
      <c r="K21" s="860"/>
      <c r="L21" s="860"/>
      <c r="M21" s="860"/>
      <c r="N21" s="860"/>
      <c r="O21" s="860"/>
      <c r="P21" s="860"/>
      <c r="Q21" s="860"/>
      <c r="R21" s="860"/>
      <c r="S21" s="860"/>
      <c r="T21" s="860"/>
      <c r="U21" s="860"/>
      <c r="V21" s="786"/>
      <c r="W21" s="786"/>
      <c r="X21" s="786"/>
      <c r="AB21" s="162"/>
      <c r="AC21" s="446"/>
      <c r="AD21" s="447"/>
      <c r="AE21" s="447"/>
      <c r="AF21" s="448"/>
      <c r="AG21" s="443" t="s">
        <v>233</v>
      </c>
      <c r="AH21" s="444"/>
      <c r="AI21" s="444"/>
      <c r="AJ21" s="445"/>
      <c r="AK21" s="421">
        <f>234/166</f>
        <v>1.4096385542168675</v>
      </c>
      <c r="AL21" s="416"/>
      <c r="AM21" s="417"/>
      <c r="AN21" s="415"/>
      <c r="AO21" s="416"/>
      <c r="AP21" s="442"/>
      <c r="AQ21" s="421"/>
      <c r="AR21" s="416"/>
      <c r="AS21" s="417"/>
      <c r="AT21" s="415"/>
      <c r="AU21" s="416"/>
      <c r="AV21" s="442"/>
      <c r="AW21" s="421"/>
      <c r="AX21" s="416"/>
      <c r="AY21" s="417"/>
      <c r="AZ21" s="415"/>
      <c r="BA21" s="416"/>
      <c r="BB21" s="417"/>
      <c r="BE21" s="187">
        <v>19</v>
      </c>
      <c r="BF21" s="317" t="s">
        <v>596</v>
      </c>
      <c r="BG21" s="317"/>
      <c r="BH21" s="317" t="s">
        <v>631</v>
      </c>
      <c r="BI21" s="317"/>
      <c r="BJ21" s="317"/>
      <c r="BK21" s="318"/>
      <c r="BL21" s="215"/>
      <c r="BM21" s="209"/>
      <c r="BN21" s="209"/>
      <c r="BO21" s="209"/>
      <c r="BP21" s="209"/>
      <c r="BQ21" s="210"/>
      <c r="BR21" s="319"/>
      <c r="BS21" s="317"/>
      <c r="BT21" s="317"/>
      <c r="BU21" s="320"/>
      <c r="BW21" s="285" t="b">
        <v>0</v>
      </c>
      <c r="BX21" s="178" t="s">
        <v>99</v>
      </c>
      <c r="BY21" s="178"/>
      <c r="BZ21" s="178"/>
      <c r="CA21" s="194"/>
      <c r="CB21" s="193"/>
      <c r="CC21" s="178"/>
      <c r="CD21" s="178"/>
      <c r="CE21" s="178"/>
      <c r="CF21" s="178"/>
      <c r="CG21" s="178"/>
      <c r="CH21" s="178"/>
    </row>
    <row r="22" spans="2:86" ht="22.5" customHeight="1" thickTop="1">
      <c r="B22" s="338" t="s">
        <v>784</v>
      </c>
      <c r="C22" s="339"/>
      <c r="D22" s="339"/>
      <c r="E22" s="339"/>
      <c r="F22" s="340"/>
      <c r="G22" s="341">
        <f>G21/900</f>
        <v>0.9555555555555556</v>
      </c>
      <c r="H22" s="341"/>
      <c r="I22" s="341"/>
      <c r="J22" s="341">
        <f>J21/900</f>
        <v>0.9555555555555556</v>
      </c>
      <c r="K22" s="341"/>
      <c r="L22" s="341"/>
      <c r="M22" s="341"/>
      <c r="N22" s="341"/>
      <c r="O22" s="341"/>
      <c r="P22" s="341"/>
      <c r="Q22" s="341"/>
      <c r="R22" s="341"/>
      <c r="S22" s="341"/>
      <c r="T22" s="341"/>
      <c r="U22" s="341"/>
      <c r="V22" s="786"/>
      <c r="W22" s="786"/>
      <c r="X22" s="786"/>
      <c r="AB22" s="162"/>
      <c r="AC22" s="449"/>
      <c r="AD22" s="450"/>
      <c r="AE22" s="450"/>
      <c r="AF22" s="451"/>
      <c r="AG22" s="418" t="s">
        <v>235</v>
      </c>
      <c r="AH22" s="419"/>
      <c r="AI22" s="419"/>
      <c r="AJ22" s="420"/>
      <c r="AK22" s="462">
        <f>IFERROR((AK20+AK21)/AK17,"")</f>
        <v>0.28940084662976229</v>
      </c>
      <c r="AL22" s="463"/>
      <c r="AM22" s="464"/>
      <c r="AN22" s="462" t="str">
        <f>IFERROR((AN20+AN21)/AN17,"")</f>
        <v/>
      </c>
      <c r="AO22" s="463"/>
      <c r="AP22" s="464"/>
      <c r="AQ22" s="462" t="str">
        <f>IFERROR((AQ20+AQ21)/AQ17,"")</f>
        <v/>
      </c>
      <c r="AR22" s="463"/>
      <c r="AS22" s="464"/>
      <c r="AT22" s="462" t="str">
        <f>IFERROR((AT20+AT21)/AT17,"")</f>
        <v/>
      </c>
      <c r="AU22" s="463"/>
      <c r="AV22" s="464"/>
      <c r="AW22" s="462" t="str">
        <f>IFERROR((AW20+AW21)/AW17,"")</f>
        <v/>
      </c>
      <c r="AX22" s="463"/>
      <c r="AY22" s="464"/>
      <c r="AZ22" s="462" t="str">
        <f>IFERROR((AZ20+AZ21)/AZ17,"")</f>
        <v/>
      </c>
      <c r="BA22" s="463"/>
      <c r="BB22" s="464"/>
      <c r="BE22" s="187">
        <v>20</v>
      </c>
      <c r="BF22" s="317" t="s">
        <v>269</v>
      </c>
      <c r="BG22" s="317"/>
      <c r="BH22" s="317" t="s">
        <v>632</v>
      </c>
      <c r="BI22" s="317"/>
      <c r="BJ22" s="317"/>
      <c r="BK22" s="318"/>
      <c r="BL22" s="215"/>
      <c r="BM22" s="209"/>
      <c r="BN22" s="209"/>
      <c r="BO22" s="209"/>
      <c r="BP22" s="209"/>
      <c r="BQ22" s="210"/>
      <c r="BR22" s="319" t="s">
        <v>595</v>
      </c>
      <c r="BS22" s="317"/>
      <c r="BT22" s="317"/>
      <c r="BU22" s="320"/>
      <c r="BW22" s="285" t="b">
        <v>0</v>
      </c>
      <c r="BX22" s="192" t="s">
        <v>95</v>
      </c>
      <c r="BY22" s="178"/>
      <c r="BZ22" s="178"/>
      <c r="CA22" s="194"/>
      <c r="CB22" s="193"/>
      <c r="CC22" s="178"/>
      <c r="CD22" s="178"/>
      <c r="CE22" s="178"/>
      <c r="CF22" s="178"/>
      <c r="CG22" s="178"/>
      <c r="CH22" s="178"/>
    </row>
    <row r="23" spans="2:86" ht="22.5" customHeight="1">
      <c r="B23" s="735" t="s">
        <v>224</v>
      </c>
      <c r="C23" s="736"/>
      <c r="D23" s="736"/>
      <c r="E23" s="736"/>
      <c r="F23" s="737"/>
      <c r="G23" s="860">
        <v>32</v>
      </c>
      <c r="H23" s="860"/>
      <c r="I23" s="860"/>
      <c r="J23" s="860">
        <v>37</v>
      </c>
      <c r="K23" s="860"/>
      <c r="L23" s="860"/>
      <c r="M23" s="860">
        <v>37</v>
      </c>
      <c r="N23" s="860"/>
      <c r="O23" s="860"/>
      <c r="P23" s="860"/>
      <c r="Q23" s="860"/>
      <c r="R23" s="860"/>
      <c r="S23" s="860"/>
      <c r="T23" s="860"/>
      <c r="U23" s="860"/>
      <c r="V23" s="782" t="str">
        <f ca="1">IFERROR(INDEX(INDIRECT("'"&amp;#REF!&amp;"'!L:L"),MATCH($D$1,INDIRECT("'"&amp;#REF!&amp;"'!A:A"),0)),"")</f>
        <v/>
      </c>
      <c r="W23" s="782"/>
      <c r="X23" s="782"/>
      <c r="AB23" s="162"/>
      <c r="BE23" s="187">
        <v>21</v>
      </c>
      <c r="BF23" s="317" t="s">
        <v>382</v>
      </c>
      <c r="BG23" s="317"/>
      <c r="BH23" s="317" t="s">
        <v>633</v>
      </c>
      <c r="BI23" s="317"/>
      <c r="BJ23" s="317"/>
      <c r="BK23" s="318"/>
      <c r="BL23" s="215"/>
      <c r="BM23" s="209"/>
      <c r="BN23" s="209"/>
      <c r="BO23" s="209"/>
      <c r="BP23" s="209"/>
      <c r="BQ23" s="210"/>
      <c r="BR23" s="319"/>
      <c r="BS23" s="317"/>
      <c r="BT23" s="317"/>
      <c r="BU23" s="320"/>
      <c r="BW23" s="285" t="b">
        <v>0</v>
      </c>
      <c r="BX23" s="192" t="s">
        <v>94</v>
      </c>
      <c r="BY23" s="178"/>
      <c r="BZ23" s="178"/>
      <c r="CA23" s="194"/>
      <c r="CB23" s="193"/>
      <c r="CC23" s="178"/>
      <c r="CD23" s="178"/>
      <c r="CE23" s="178"/>
      <c r="CF23" s="178"/>
      <c r="CG23" s="178"/>
      <c r="CH23" s="178"/>
    </row>
    <row r="24" spans="2:86" ht="22.5" customHeight="1">
      <c r="B24" s="338" t="s">
        <v>34</v>
      </c>
      <c r="C24" s="339"/>
      <c r="D24" s="339"/>
      <c r="E24" s="339"/>
      <c r="F24" s="340"/>
      <c r="G24" s="341">
        <f>G23/60</f>
        <v>0.53333333333333333</v>
      </c>
      <c r="H24" s="341"/>
      <c r="I24" s="341"/>
      <c r="J24" s="341">
        <v>0.61699999999999999</v>
      </c>
      <c r="K24" s="341"/>
      <c r="L24" s="341"/>
      <c r="M24" s="341">
        <v>0.61699999999999999</v>
      </c>
      <c r="N24" s="341"/>
      <c r="O24" s="341"/>
      <c r="P24" s="341"/>
      <c r="Q24" s="341"/>
      <c r="R24" s="341"/>
      <c r="S24" s="341"/>
      <c r="T24" s="341"/>
      <c r="U24" s="341"/>
      <c r="V24" s="786"/>
      <c r="W24" s="786"/>
      <c r="X24" s="786"/>
      <c r="AC24" s="182" t="s">
        <v>240</v>
      </c>
      <c r="AD24" s="182"/>
      <c r="AE24" s="182"/>
      <c r="AF24" s="182"/>
      <c r="AG24" s="182"/>
      <c r="AH24" s="182"/>
      <c r="AI24" s="183"/>
      <c r="AJ24" s="183"/>
      <c r="AK24" s="183"/>
      <c r="AL24" s="183"/>
      <c r="AM24" s="183"/>
      <c r="AN24" s="183"/>
      <c r="AO24" s="184"/>
      <c r="AP24" s="184"/>
      <c r="AQ24" s="184"/>
      <c r="AR24" s="184"/>
      <c r="AS24" s="185"/>
      <c r="AT24" s="185"/>
      <c r="AU24" s="185"/>
      <c r="AV24" s="185"/>
      <c r="AW24" s="186"/>
      <c r="AX24" s="186"/>
      <c r="AY24" s="186"/>
      <c r="AZ24" s="186"/>
      <c r="BA24" s="179"/>
      <c r="BB24" s="179"/>
      <c r="BE24" s="187">
        <v>22</v>
      </c>
      <c r="BF24" s="317" t="s">
        <v>382</v>
      </c>
      <c r="BG24" s="317"/>
      <c r="BH24" s="317" t="s">
        <v>620</v>
      </c>
      <c r="BI24" s="317"/>
      <c r="BJ24" s="317"/>
      <c r="BK24" s="318"/>
      <c r="BL24" s="215"/>
      <c r="BM24" s="209"/>
      <c r="BN24" s="209"/>
      <c r="BO24" s="209"/>
      <c r="BP24" s="209"/>
      <c r="BQ24" s="210"/>
      <c r="BR24" s="319"/>
      <c r="BS24" s="317"/>
      <c r="BT24" s="317"/>
      <c r="BU24" s="320"/>
      <c r="BW24" s="285" t="b">
        <v>0</v>
      </c>
      <c r="BX24" s="192" t="s">
        <v>93</v>
      </c>
      <c r="BY24" s="178"/>
      <c r="BZ24" s="178"/>
      <c r="CA24" s="194"/>
      <c r="CB24" s="193"/>
      <c r="CC24" s="178"/>
      <c r="CD24" s="178"/>
      <c r="CE24" s="178"/>
      <c r="CF24" s="178"/>
      <c r="CG24" s="178"/>
      <c r="CH24" s="178"/>
    </row>
    <row r="25" spans="2:86" ht="22.5" customHeight="1">
      <c r="B25" s="779"/>
      <c r="C25" s="779"/>
      <c r="D25" s="779"/>
      <c r="E25" s="779"/>
      <c r="F25" s="779"/>
      <c r="G25" s="780"/>
      <c r="H25" s="780"/>
      <c r="I25" s="780"/>
      <c r="J25" s="780"/>
      <c r="K25" s="780"/>
      <c r="L25" s="780"/>
      <c r="M25" s="780"/>
      <c r="N25" s="780"/>
      <c r="O25" s="780"/>
      <c r="P25" s="780"/>
      <c r="Q25" s="780"/>
      <c r="R25" s="780"/>
      <c r="S25" s="780"/>
      <c r="T25" s="780"/>
      <c r="U25" s="780"/>
      <c r="V25" s="713"/>
      <c r="W25" s="713"/>
      <c r="X25" s="713"/>
      <c r="AB25" s="167"/>
      <c r="AC25" s="473"/>
      <c r="AD25" s="474"/>
      <c r="AE25" s="377" t="s">
        <v>254</v>
      </c>
      <c r="AF25" s="378"/>
      <c r="AG25" s="378"/>
      <c r="AH25" s="379"/>
      <c r="AI25" s="380" t="s">
        <v>255</v>
      </c>
      <c r="AJ25" s="378"/>
      <c r="AK25" s="378"/>
      <c r="AL25" s="381"/>
      <c r="AM25" s="377" t="s">
        <v>58</v>
      </c>
      <c r="AN25" s="378"/>
      <c r="AO25" s="378"/>
      <c r="AP25" s="379"/>
      <c r="AQ25" s="380" t="s">
        <v>14</v>
      </c>
      <c r="AR25" s="378"/>
      <c r="AS25" s="378"/>
      <c r="AT25" s="381"/>
      <c r="AU25" s="377" t="s">
        <v>22</v>
      </c>
      <c r="AV25" s="378"/>
      <c r="AW25" s="378"/>
      <c r="AX25" s="379"/>
      <c r="AY25" s="380" t="s">
        <v>1</v>
      </c>
      <c r="AZ25" s="378"/>
      <c r="BA25" s="378"/>
      <c r="BB25" s="379"/>
      <c r="BE25" s="187">
        <v>23</v>
      </c>
      <c r="BF25" s="317" t="s">
        <v>382</v>
      </c>
      <c r="BG25" s="317"/>
      <c r="BH25" s="317" t="s">
        <v>635</v>
      </c>
      <c r="BI25" s="317"/>
      <c r="BJ25" s="317"/>
      <c r="BK25" s="318"/>
      <c r="BL25" s="215"/>
      <c r="BM25" s="209"/>
      <c r="BN25" s="209"/>
      <c r="BO25" s="209"/>
      <c r="BP25" s="209"/>
      <c r="BQ25" s="210"/>
      <c r="BR25" s="319"/>
      <c r="BS25" s="317"/>
      <c r="BT25" s="317"/>
      <c r="BU25" s="320"/>
      <c r="BW25" s="285" t="b">
        <v>0</v>
      </c>
      <c r="BX25" s="192" t="s">
        <v>92</v>
      </c>
      <c r="BY25" s="178"/>
      <c r="BZ25" s="178"/>
      <c r="CA25" s="194"/>
      <c r="CB25" s="193"/>
      <c r="CC25" s="178"/>
      <c r="CD25" s="178"/>
      <c r="CE25" s="178"/>
      <c r="CF25" s="178"/>
      <c r="CG25" s="178"/>
      <c r="CH25" s="178"/>
    </row>
    <row r="26" spans="2:86" ht="22.5" customHeight="1">
      <c r="B26" s="374" t="s">
        <v>787</v>
      </c>
      <c r="C26" s="375"/>
      <c r="D26" s="375"/>
      <c r="E26" s="375"/>
      <c r="F26" s="375"/>
      <c r="G26" s="375"/>
      <c r="H26" s="375"/>
      <c r="I26" s="376"/>
      <c r="J26" s="377" t="s">
        <v>254</v>
      </c>
      <c r="K26" s="378"/>
      <c r="L26" s="379"/>
      <c r="M26" s="380" t="s">
        <v>27</v>
      </c>
      <c r="N26" s="378"/>
      <c r="O26" s="381"/>
      <c r="P26" s="377" t="s">
        <v>226</v>
      </c>
      <c r="Q26" s="378"/>
      <c r="R26" s="379"/>
      <c r="S26" s="380" t="s">
        <v>14</v>
      </c>
      <c r="T26" s="378"/>
      <c r="U26" s="381"/>
      <c r="V26" s="377" t="s">
        <v>22</v>
      </c>
      <c r="W26" s="378"/>
      <c r="X26" s="379"/>
      <c r="Y26" s="380" t="s">
        <v>1</v>
      </c>
      <c r="Z26" s="378"/>
      <c r="AA26" s="379"/>
      <c r="AB26" s="167"/>
      <c r="AC26" s="475"/>
      <c r="AD26" s="476"/>
      <c r="AE26" s="458" t="s">
        <v>120</v>
      </c>
      <c r="AF26" s="459"/>
      <c r="AG26" s="459" t="s">
        <v>121</v>
      </c>
      <c r="AH26" s="460"/>
      <c r="AI26" s="470" t="s">
        <v>120</v>
      </c>
      <c r="AJ26" s="459"/>
      <c r="AK26" s="459" t="s">
        <v>121</v>
      </c>
      <c r="AL26" s="471"/>
      <c r="AM26" s="458" t="s">
        <v>120</v>
      </c>
      <c r="AN26" s="459"/>
      <c r="AO26" s="459" t="s">
        <v>121</v>
      </c>
      <c r="AP26" s="460"/>
      <c r="AQ26" s="470" t="s">
        <v>120</v>
      </c>
      <c r="AR26" s="459"/>
      <c r="AS26" s="459" t="s">
        <v>121</v>
      </c>
      <c r="AT26" s="471"/>
      <c r="AU26" s="458" t="s">
        <v>120</v>
      </c>
      <c r="AV26" s="459"/>
      <c r="AW26" s="459" t="s">
        <v>121</v>
      </c>
      <c r="AX26" s="460"/>
      <c r="AY26" s="470" t="s">
        <v>120</v>
      </c>
      <c r="AZ26" s="459"/>
      <c r="BA26" s="459" t="s">
        <v>121</v>
      </c>
      <c r="BB26" s="460"/>
      <c r="BE26" s="187">
        <v>24</v>
      </c>
      <c r="BF26" s="317"/>
      <c r="BG26" s="317"/>
      <c r="BH26" s="317"/>
      <c r="BI26" s="317"/>
      <c r="BJ26" s="317"/>
      <c r="BK26" s="318"/>
      <c r="BL26" s="215"/>
      <c r="BM26" s="209"/>
      <c r="BN26" s="209"/>
      <c r="BO26" s="209"/>
      <c r="BP26" s="209"/>
      <c r="BQ26" s="210"/>
      <c r="BR26" s="319"/>
      <c r="BS26" s="317"/>
      <c r="BT26" s="317"/>
      <c r="BU26" s="320"/>
      <c r="BW26" s="285" t="b">
        <v>0</v>
      </c>
      <c r="BX26" s="192" t="s">
        <v>91</v>
      </c>
      <c r="BY26" s="178"/>
      <c r="BZ26" s="178"/>
      <c r="CA26" s="194"/>
      <c r="CB26" s="193"/>
      <c r="CC26" s="178"/>
      <c r="CD26" s="178"/>
      <c r="CE26" s="178"/>
      <c r="CF26" s="178"/>
      <c r="CG26" s="178"/>
      <c r="CH26" s="178"/>
    </row>
    <row r="27" spans="2:86" ht="22.5" customHeight="1">
      <c r="B27" s="819" t="s">
        <v>790</v>
      </c>
      <c r="C27" s="820"/>
      <c r="D27" s="820"/>
      <c r="E27" s="821"/>
      <c r="F27" s="808" t="s">
        <v>50</v>
      </c>
      <c r="G27" s="809"/>
      <c r="H27" s="809"/>
      <c r="I27" s="810"/>
      <c r="J27" s="798">
        <v>72</v>
      </c>
      <c r="K27" s="799"/>
      <c r="L27" s="800"/>
      <c r="M27" s="801">
        <v>224</v>
      </c>
      <c r="N27" s="802"/>
      <c r="O27" s="803"/>
      <c r="P27" s="801">
        <v>280</v>
      </c>
      <c r="Q27" s="802"/>
      <c r="R27" s="803"/>
      <c r="S27" s="804">
        <v>135</v>
      </c>
      <c r="T27" s="790"/>
      <c r="U27" s="805"/>
      <c r="V27" s="789"/>
      <c r="W27" s="790"/>
      <c r="X27" s="791"/>
      <c r="Y27" s="804"/>
      <c r="Z27" s="790"/>
      <c r="AA27" s="791"/>
      <c r="AB27" s="167"/>
      <c r="AC27" s="324" t="s">
        <v>117</v>
      </c>
      <c r="AD27" s="467"/>
      <c r="AE27" s="468">
        <v>7</v>
      </c>
      <c r="AF27" s="469"/>
      <c r="AG27" s="469">
        <v>0</v>
      </c>
      <c r="AH27" s="489"/>
      <c r="AI27" s="482">
        <v>15</v>
      </c>
      <c r="AJ27" s="469"/>
      <c r="AK27" s="469">
        <v>0</v>
      </c>
      <c r="AL27" s="488"/>
      <c r="AM27" s="468">
        <v>23</v>
      </c>
      <c r="AN27" s="469"/>
      <c r="AO27" s="469">
        <v>0</v>
      </c>
      <c r="AP27" s="489"/>
      <c r="AQ27" s="482"/>
      <c r="AR27" s="469"/>
      <c r="AS27" s="469"/>
      <c r="AT27" s="488"/>
      <c r="AU27" s="468"/>
      <c r="AV27" s="469"/>
      <c r="AW27" s="469"/>
      <c r="AX27" s="489"/>
      <c r="AY27" s="482"/>
      <c r="AZ27" s="469"/>
      <c r="BA27" s="469"/>
      <c r="BB27" s="489"/>
      <c r="BE27" s="187">
        <v>25</v>
      </c>
      <c r="BF27" s="317"/>
      <c r="BG27" s="317"/>
      <c r="BH27" s="317"/>
      <c r="BI27" s="317"/>
      <c r="BJ27" s="317"/>
      <c r="BK27" s="318"/>
      <c r="BL27" s="215"/>
      <c r="BM27" s="209"/>
      <c r="BN27" s="209"/>
      <c r="BO27" s="209"/>
      <c r="BP27" s="209"/>
      <c r="BQ27" s="210"/>
      <c r="BR27" s="319"/>
      <c r="BS27" s="317"/>
      <c r="BT27" s="317"/>
      <c r="BU27" s="320"/>
      <c r="BW27" s="285" t="b">
        <v>0</v>
      </c>
      <c r="BX27" s="178" t="s">
        <v>90</v>
      </c>
      <c r="BY27" s="178"/>
      <c r="BZ27" s="178"/>
      <c r="CA27" s="194"/>
      <c r="CB27" s="193"/>
      <c r="CC27" s="178"/>
      <c r="CD27" s="178"/>
      <c r="CE27" s="178"/>
      <c r="CF27" s="178"/>
      <c r="CG27" s="178"/>
      <c r="CH27" s="178"/>
    </row>
    <row r="28" spans="2:86" ht="22.5" customHeight="1">
      <c r="B28" s="822"/>
      <c r="C28" s="823"/>
      <c r="D28" s="823"/>
      <c r="E28" s="824"/>
      <c r="F28" s="808" t="s">
        <v>50</v>
      </c>
      <c r="G28" s="809"/>
      <c r="H28" s="809"/>
      <c r="I28" s="810"/>
      <c r="J28" s="801">
        <v>234</v>
      </c>
      <c r="K28" s="802"/>
      <c r="L28" s="803"/>
      <c r="M28" s="801">
        <v>298</v>
      </c>
      <c r="N28" s="802"/>
      <c r="O28" s="803"/>
      <c r="P28" s="801">
        <v>132</v>
      </c>
      <c r="Q28" s="802"/>
      <c r="R28" s="803"/>
      <c r="S28" s="806">
        <v>144</v>
      </c>
      <c r="T28" s="793"/>
      <c r="U28" s="807"/>
      <c r="V28" s="792"/>
      <c r="W28" s="793"/>
      <c r="X28" s="794"/>
      <c r="Y28" s="806"/>
      <c r="Z28" s="793"/>
      <c r="AA28" s="794"/>
      <c r="AC28" s="486" t="s">
        <v>118</v>
      </c>
      <c r="AD28" s="487"/>
      <c r="AE28" s="427">
        <v>0</v>
      </c>
      <c r="AF28" s="426"/>
      <c r="AG28" s="426">
        <v>0</v>
      </c>
      <c r="AH28" s="428"/>
      <c r="AI28" s="423">
        <v>0</v>
      </c>
      <c r="AJ28" s="426"/>
      <c r="AK28" s="426">
        <v>0</v>
      </c>
      <c r="AL28" s="424"/>
      <c r="AM28" s="427">
        <v>0</v>
      </c>
      <c r="AN28" s="426"/>
      <c r="AO28" s="426">
        <v>0</v>
      </c>
      <c r="AP28" s="428"/>
      <c r="AQ28" s="423"/>
      <c r="AR28" s="426"/>
      <c r="AS28" s="426"/>
      <c r="AT28" s="424"/>
      <c r="AU28" s="427"/>
      <c r="AV28" s="426"/>
      <c r="AW28" s="426"/>
      <c r="AX28" s="428"/>
      <c r="AY28" s="423"/>
      <c r="AZ28" s="426"/>
      <c r="BA28" s="426"/>
      <c r="BB28" s="428"/>
      <c r="BE28" s="187">
        <v>26</v>
      </c>
      <c r="BF28" s="317"/>
      <c r="BG28" s="317"/>
      <c r="BH28" s="317"/>
      <c r="BI28" s="317"/>
      <c r="BJ28" s="317"/>
      <c r="BK28" s="318"/>
      <c r="BL28" s="215"/>
      <c r="BM28" s="209"/>
      <c r="BN28" s="209"/>
      <c r="BO28" s="209"/>
      <c r="BP28" s="209"/>
      <c r="BQ28" s="210"/>
      <c r="BR28" s="319"/>
      <c r="BS28" s="317"/>
      <c r="BT28" s="317"/>
      <c r="BU28" s="320"/>
      <c r="BW28" s="285" t="b">
        <v>0</v>
      </c>
      <c r="BX28" s="192" t="s">
        <v>101</v>
      </c>
      <c r="BY28" s="178"/>
      <c r="BZ28" s="178"/>
      <c r="CA28" s="194"/>
      <c r="CB28" s="193"/>
      <c r="CC28" s="178"/>
      <c r="CD28" s="178"/>
      <c r="CE28" s="178"/>
      <c r="CF28" s="178"/>
      <c r="CG28" s="178"/>
      <c r="CH28" s="178"/>
    </row>
    <row r="29" spans="2:86" ht="22.5" customHeight="1" thickBot="1">
      <c r="B29" s="825"/>
      <c r="C29" s="826"/>
      <c r="D29" s="826"/>
      <c r="E29" s="827"/>
      <c r="F29" s="811" t="s">
        <v>789</v>
      </c>
      <c r="G29" s="812"/>
      <c r="H29" s="812"/>
      <c r="I29" s="813"/>
      <c r="J29" s="795">
        <v>306</v>
      </c>
      <c r="K29" s="796"/>
      <c r="L29" s="797"/>
      <c r="M29" s="795">
        <v>522</v>
      </c>
      <c r="N29" s="796"/>
      <c r="O29" s="797"/>
      <c r="P29" s="795">
        <v>412</v>
      </c>
      <c r="Q29" s="796"/>
      <c r="R29" s="797"/>
      <c r="S29" s="814">
        <f>SUM(S27:U28)</f>
        <v>279</v>
      </c>
      <c r="T29" s="796"/>
      <c r="U29" s="830"/>
      <c r="V29" s="795"/>
      <c r="W29" s="796"/>
      <c r="X29" s="797"/>
      <c r="Y29" s="814"/>
      <c r="Z29" s="796"/>
      <c r="AA29" s="797"/>
      <c r="AC29" s="508" t="s">
        <v>119</v>
      </c>
      <c r="AD29" s="509"/>
      <c r="AE29" s="507">
        <v>16</v>
      </c>
      <c r="AF29" s="499"/>
      <c r="AG29" s="499">
        <v>1</v>
      </c>
      <c r="AH29" s="500"/>
      <c r="AI29" s="505">
        <v>11</v>
      </c>
      <c r="AJ29" s="499"/>
      <c r="AK29" s="499">
        <v>1</v>
      </c>
      <c r="AL29" s="506"/>
      <c r="AM29" s="507">
        <v>11</v>
      </c>
      <c r="AN29" s="499"/>
      <c r="AO29" s="499">
        <v>1</v>
      </c>
      <c r="AP29" s="500"/>
      <c r="AQ29" s="505"/>
      <c r="AR29" s="499"/>
      <c r="AS29" s="499"/>
      <c r="AT29" s="506"/>
      <c r="AU29" s="507"/>
      <c r="AV29" s="499"/>
      <c r="AW29" s="499"/>
      <c r="AX29" s="500"/>
      <c r="AY29" s="505"/>
      <c r="AZ29" s="499"/>
      <c r="BA29" s="499"/>
      <c r="BB29" s="500"/>
      <c r="BE29" s="187">
        <v>27</v>
      </c>
      <c r="BF29" s="317"/>
      <c r="BG29" s="317"/>
      <c r="BH29" s="317"/>
      <c r="BI29" s="317"/>
      <c r="BJ29" s="317"/>
      <c r="BK29" s="318"/>
      <c r="BL29" s="215"/>
      <c r="BM29" s="209"/>
      <c r="BN29" s="209"/>
      <c r="BO29" s="209"/>
      <c r="BP29" s="209"/>
      <c r="BQ29" s="210"/>
      <c r="BR29" s="319"/>
      <c r="BS29" s="317"/>
      <c r="BT29" s="317"/>
      <c r="BU29" s="320"/>
      <c r="BW29" s="285" t="b">
        <v>0</v>
      </c>
      <c r="BX29" s="192" t="s">
        <v>83</v>
      </c>
      <c r="BY29" s="178"/>
      <c r="BZ29" s="178"/>
      <c r="CA29" s="178"/>
      <c r="CB29" s="178"/>
      <c r="CC29" s="178"/>
      <c r="CD29" s="178"/>
      <c r="CE29" s="178"/>
      <c r="CF29" s="178"/>
      <c r="CG29" s="178"/>
      <c r="CH29" s="178"/>
    </row>
    <row r="30" spans="2:86" ht="22.5" customHeight="1" thickTop="1" thickBot="1">
      <c r="B30" s="818" t="s">
        <v>788</v>
      </c>
      <c r="C30" s="818"/>
      <c r="D30" s="818"/>
      <c r="E30" s="818"/>
      <c r="F30" s="439" t="s">
        <v>785</v>
      </c>
      <c r="G30" s="440"/>
      <c r="H30" s="440"/>
      <c r="I30" s="441"/>
      <c r="J30" s="792">
        <v>711</v>
      </c>
      <c r="K30" s="793"/>
      <c r="L30" s="794"/>
      <c r="M30" s="806">
        <v>664</v>
      </c>
      <c r="N30" s="793"/>
      <c r="O30" s="807"/>
      <c r="P30" s="792">
        <v>644</v>
      </c>
      <c r="Q30" s="793"/>
      <c r="R30" s="794"/>
      <c r="S30" s="806">
        <v>650</v>
      </c>
      <c r="T30" s="793"/>
      <c r="U30" s="807"/>
      <c r="V30" s="792"/>
      <c r="W30" s="793"/>
      <c r="X30" s="794"/>
      <c r="Y30" s="806"/>
      <c r="Z30" s="793"/>
      <c r="AA30" s="794"/>
      <c r="AC30" s="501" t="s">
        <v>108</v>
      </c>
      <c r="AD30" s="502"/>
      <c r="AE30" s="497">
        <f>IF(SUM(AE27:AE29)=0,"",SUM(AE27:AE29))</f>
        <v>23</v>
      </c>
      <c r="AF30" s="495"/>
      <c r="AG30" s="495">
        <f>IF(SUM(AG27:AG29)=0,"",SUM(AG27:AG29))</f>
        <v>1</v>
      </c>
      <c r="AH30" s="498"/>
      <c r="AI30" s="497">
        <f>IF(SUM(AI27:AI29)=0,"",SUM(AI27:AI29))</f>
        <v>26</v>
      </c>
      <c r="AJ30" s="495"/>
      <c r="AK30" s="495">
        <f>IF(SUM(AK27:AK29)=0,"",SUM(AK27:AK29))</f>
        <v>1</v>
      </c>
      <c r="AL30" s="498"/>
      <c r="AM30" s="497">
        <f>IF(SUM(AM27:AM29)=0,"",SUM(AM27:AM29))</f>
        <v>34</v>
      </c>
      <c r="AN30" s="495"/>
      <c r="AO30" s="495">
        <f>IF(SUM(AO27:AO29)=0,"",SUM(AO27:AO29))</f>
        <v>1</v>
      </c>
      <c r="AP30" s="498"/>
      <c r="AQ30" s="494" t="str">
        <f>IF(SUM(AQ27:AQ29)=0,"",SUM(AQ27:AQ29))</f>
        <v/>
      </c>
      <c r="AR30" s="495"/>
      <c r="AS30" s="495" t="str">
        <f>IF(SUM(AS27:AS29)=0,"",SUM(AS27:AS29))</f>
        <v/>
      </c>
      <c r="AT30" s="496"/>
      <c r="AU30" s="497" t="str">
        <f>IF(SUM(AU27:AU29)=0,"",SUM(AU27:AU29))</f>
        <v/>
      </c>
      <c r="AV30" s="495"/>
      <c r="AW30" s="495" t="str">
        <f>IF(SUM(AW27:AW29)=0,"",SUM(AW27:AW29))</f>
        <v/>
      </c>
      <c r="AX30" s="498"/>
      <c r="AY30" s="494" t="str">
        <f>IF(SUM(AY27:AY29)=0,"",SUM(AY27:AY29))</f>
        <v/>
      </c>
      <c r="AZ30" s="495"/>
      <c r="BA30" s="495" t="str">
        <f>IF(SUM(BA27:BA29)=0,"",SUM(BA27:BA29))</f>
        <v/>
      </c>
      <c r="BB30" s="498"/>
      <c r="BE30" s="187">
        <v>28</v>
      </c>
      <c r="BF30" s="317"/>
      <c r="BG30" s="317"/>
      <c r="BH30" s="317"/>
      <c r="BI30" s="317"/>
      <c r="BJ30" s="317"/>
      <c r="BK30" s="318"/>
      <c r="BL30" s="215"/>
      <c r="BM30" s="209"/>
      <c r="BN30" s="209"/>
      <c r="BO30" s="209"/>
      <c r="BP30" s="209"/>
      <c r="BQ30" s="210"/>
      <c r="BR30" s="319"/>
      <c r="BS30" s="317"/>
      <c r="BT30" s="317"/>
      <c r="BU30" s="320"/>
      <c r="BW30" s="285" t="b">
        <v>0</v>
      </c>
      <c r="BX30" s="192" t="s">
        <v>84</v>
      </c>
      <c r="BY30" s="195"/>
      <c r="BZ30" s="196"/>
      <c r="CA30" s="196"/>
      <c r="CB30" s="196"/>
      <c r="CC30" s="196"/>
      <c r="CD30" s="196"/>
      <c r="CE30" s="196"/>
      <c r="CF30" s="196"/>
      <c r="CG30" s="196"/>
      <c r="CH30" s="178"/>
    </row>
    <row r="31" spans="2:86" ht="22.5" customHeight="1" thickBot="1">
      <c r="B31" s="818"/>
      <c r="C31" s="818"/>
      <c r="D31" s="818"/>
      <c r="E31" s="818"/>
      <c r="F31" s="443" t="s">
        <v>786</v>
      </c>
      <c r="G31" s="444"/>
      <c r="H31" s="444"/>
      <c r="I31" s="445"/>
      <c r="J31" s="828">
        <v>16</v>
      </c>
      <c r="K31" s="816"/>
      <c r="L31" s="817"/>
      <c r="M31" s="815">
        <v>20</v>
      </c>
      <c r="N31" s="816"/>
      <c r="O31" s="829"/>
      <c r="P31" s="828">
        <v>22</v>
      </c>
      <c r="Q31" s="816"/>
      <c r="R31" s="817"/>
      <c r="S31" s="815"/>
      <c r="T31" s="816"/>
      <c r="U31" s="829"/>
      <c r="V31" s="828"/>
      <c r="W31" s="816"/>
      <c r="X31" s="817"/>
      <c r="Y31" s="815"/>
      <c r="Z31" s="816"/>
      <c r="AA31" s="817"/>
      <c r="AC31" s="550" t="s">
        <v>122</v>
      </c>
      <c r="AD31" s="551"/>
      <c r="AE31" s="536">
        <f>IFERROR(AG30/AE30,"")</f>
        <v>4.3478260869565216E-2</v>
      </c>
      <c r="AF31" s="537"/>
      <c r="AG31" s="537"/>
      <c r="AH31" s="538"/>
      <c r="AI31" s="539">
        <f>IFERROR(AK30/AI30,"")</f>
        <v>3.8461538461538464E-2</v>
      </c>
      <c r="AJ31" s="537"/>
      <c r="AK31" s="537"/>
      <c r="AL31" s="540"/>
      <c r="AM31" s="536">
        <f t="shared" ref="AM31" si="20">IFERROR(AO30/AM30,"")</f>
        <v>2.9411764705882353E-2</v>
      </c>
      <c r="AN31" s="537"/>
      <c r="AO31" s="537"/>
      <c r="AP31" s="538"/>
      <c r="AQ31" s="539" t="str">
        <f>IFERROR(AS30/AQ30,"")</f>
        <v/>
      </c>
      <c r="AR31" s="537"/>
      <c r="AS31" s="537"/>
      <c r="AT31" s="540"/>
      <c r="AU31" s="536" t="str">
        <f t="shared" ref="AU31" si="21">IFERROR(AW30/AU30,"")</f>
        <v/>
      </c>
      <c r="AV31" s="537"/>
      <c r="AW31" s="537"/>
      <c r="AX31" s="538"/>
      <c r="AY31" s="539" t="str">
        <f t="shared" ref="AY31" si="22">IFERROR(BA30/AY30,"")</f>
        <v/>
      </c>
      <c r="AZ31" s="537"/>
      <c r="BA31" s="537"/>
      <c r="BB31" s="538"/>
      <c r="BE31" s="187">
        <v>29</v>
      </c>
      <c r="BF31" s="317"/>
      <c r="BG31" s="317"/>
      <c r="BH31" s="317"/>
      <c r="BI31" s="317"/>
      <c r="BJ31" s="317"/>
      <c r="BK31" s="318"/>
      <c r="BL31" s="215"/>
      <c r="BM31" s="209"/>
      <c r="BN31" s="209"/>
      <c r="BO31" s="209"/>
      <c r="BP31" s="209"/>
      <c r="BQ31" s="210"/>
      <c r="BR31" s="319"/>
      <c r="BS31" s="317"/>
      <c r="BT31" s="317"/>
      <c r="BU31" s="320"/>
      <c r="BW31" s="285" t="b">
        <v>0</v>
      </c>
      <c r="BX31" s="192" t="s">
        <v>85</v>
      </c>
      <c r="BY31" s="195"/>
      <c r="BZ31" s="196"/>
      <c r="CA31" s="196"/>
      <c r="CB31" s="196"/>
      <c r="CC31" s="196"/>
      <c r="CD31" s="196"/>
      <c r="CE31" s="196"/>
      <c r="CF31" s="196"/>
      <c r="CG31" s="196"/>
      <c r="CH31" s="178"/>
    </row>
    <row r="32" spans="2:86" ht="22.5" customHeight="1" thickTop="1">
      <c r="B32" s="257"/>
      <c r="C32" s="258"/>
      <c r="D32" s="258"/>
      <c r="E32" s="259"/>
      <c r="F32" s="418"/>
      <c r="G32" s="419"/>
      <c r="H32" s="419"/>
      <c r="I32" s="420"/>
      <c r="J32" s="462"/>
      <c r="K32" s="463"/>
      <c r="L32" s="464"/>
      <c r="M32" s="462"/>
      <c r="N32" s="463"/>
      <c r="O32" s="464"/>
      <c r="P32" s="462"/>
      <c r="Q32" s="463"/>
      <c r="R32" s="464"/>
      <c r="S32" s="462"/>
      <c r="T32" s="463"/>
      <c r="U32" s="464"/>
      <c r="V32" s="462"/>
      <c r="W32" s="463"/>
      <c r="X32" s="464"/>
      <c r="Y32" s="462"/>
      <c r="Z32" s="463"/>
      <c r="AA32" s="464"/>
      <c r="AC32" s="486" t="s">
        <v>124</v>
      </c>
      <c r="AD32" s="487"/>
      <c r="AE32" s="580">
        <v>1</v>
      </c>
      <c r="AF32" s="581"/>
      <c r="AG32" s="581"/>
      <c r="AH32" s="582"/>
      <c r="AI32" s="583"/>
      <c r="AJ32" s="581"/>
      <c r="AK32" s="581"/>
      <c r="AL32" s="584"/>
      <c r="AM32" s="580"/>
      <c r="AN32" s="581"/>
      <c r="AO32" s="581"/>
      <c r="AP32" s="582"/>
      <c r="AQ32" s="583"/>
      <c r="AR32" s="581"/>
      <c r="AS32" s="581"/>
      <c r="AT32" s="584"/>
      <c r="AU32" s="580"/>
      <c r="AV32" s="581"/>
      <c r="AW32" s="581"/>
      <c r="AX32" s="582"/>
      <c r="AY32" s="583"/>
      <c r="AZ32" s="581"/>
      <c r="BA32" s="581"/>
      <c r="BB32" s="582"/>
      <c r="BE32" s="188">
        <v>30</v>
      </c>
      <c r="BF32" s="534"/>
      <c r="BG32" s="534"/>
      <c r="BH32" s="534"/>
      <c r="BI32" s="534"/>
      <c r="BJ32" s="534"/>
      <c r="BK32" s="742"/>
      <c r="BL32" s="216"/>
      <c r="BM32" s="213"/>
      <c r="BN32" s="213"/>
      <c r="BO32" s="213"/>
      <c r="BP32" s="213"/>
      <c r="BQ32" s="214"/>
      <c r="BR32" s="707"/>
      <c r="BS32" s="534"/>
      <c r="BT32" s="534"/>
      <c r="BU32" s="535"/>
      <c r="BW32" s="285" t="b">
        <v>0</v>
      </c>
      <c r="BX32" s="178" t="s">
        <v>65</v>
      </c>
      <c r="BY32" s="195"/>
      <c r="BZ32" s="196"/>
      <c r="CA32" s="196"/>
      <c r="CB32" s="196"/>
      <c r="CC32" s="196"/>
      <c r="CD32" s="196"/>
      <c r="CE32" s="196"/>
      <c r="CF32" s="196"/>
      <c r="CG32" s="196"/>
      <c r="CH32" s="178"/>
    </row>
    <row r="33" spans="2:87" ht="22.5" customHeight="1">
      <c r="B33" s="178"/>
      <c r="C33" s="178"/>
      <c r="D33" s="178"/>
      <c r="E33" s="178"/>
      <c r="F33" s="178"/>
      <c r="G33" s="588"/>
      <c r="H33" s="588"/>
      <c r="I33" s="588"/>
      <c r="J33" s="588"/>
      <c r="K33" s="588"/>
      <c r="L33" s="588"/>
      <c r="M33" s="588"/>
      <c r="N33" s="588"/>
      <c r="O33" s="588"/>
      <c r="P33" s="588"/>
      <c r="Q33" s="588"/>
      <c r="R33" s="588"/>
      <c r="S33" s="588"/>
      <c r="T33" s="588"/>
      <c r="U33" s="588"/>
      <c r="V33" s="588"/>
      <c r="W33" s="588"/>
      <c r="X33" s="588"/>
      <c r="AC33" s="575" t="s">
        <v>123</v>
      </c>
      <c r="AD33" s="576"/>
      <c r="AE33" s="552">
        <f>IFERROR(AE32/AG30,"")</f>
        <v>1</v>
      </c>
      <c r="AF33" s="553"/>
      <c r="AG33" s="553"/>
      <c r="AH33" s="554"/>
      <c r="AI33" s="552">
        <f>IFERROR(AI32/AK30,"")</f>
        <v>0</v>
      </c>
      <c r="AJ33" s="553"/>
      <c r="AK33" s="553"/>
      <c r="AL33" s="554"/>
      <c r="AM33" s="552">
        <f>IFERROR(AM32/AO30,"")</f>
        <v>0</v>
      </c>
      <c r="AN33" s="553"/>
      <c r="AO33" s="553"/>
      <c r="AP33" s="554"/>
      <c r="AQ33" s="552" t="str">
        <f>IFERROR(AQ32/AS30,"")</f>
        <v/>
      </c>
      <c r="AR33" s="553"/>
      <c r="AS33" s="553"/>
      <c r="AT33" s="554"/>
      <c r="AU33" s="552" t="str">
        <f>IFERROR(AU32/AW30,"")</f>
        <v/>
      </c>
      <c r="AV33" s="553"/>
      <c r="AW33" s="553"/>
      <c r="AX33" s="554"/>
      <c r="AY33" s="552" t="str">
        <f>IFERROR(AY32/BA30,"")</f>
        <v/>
      </c>
      <c r="AZ33" s="553"/>
      <c r="BA33" s="553"/>
      <c r="BB33" s="554"/>
      <c r="BL33" s="589" t="s">
        <v>125</v>
      </c>
      <c r="BM33" s="590"/>
      <c r="BN33" s="591"/>
      <c r="BO33" s="555" t="str">
        <f>IF(COUNTA(BH3:BH32)=0,"",
IF(COUNTIF(BN3:BN32,"完")/COUNTA(BH3:BH32)&gt;=0.8,"A",
IF(COUNTIF(BN3:BN32,"完")/COUNTA(BH3:BH32)&gt;=0.5,"B",
IF(COUNTIF(BN3:BN32,"完")/COUNTA(BH3:BH32)&gt;=0.3,"C",
IF(COUNTIF(BN3:BN32,"完")/COUNTA(BH3:BH32)&gt;=0.1,"D","E")))))</f>
        <v>E</v>
      </c>
      <c r="BP33" s="556"/>
      <c r="BQ33" s="556"/>
      <c r="BR33" s="557"/>
      <c r="BS33" s="561">
        <f>IF(COUNTA(BH3:BH32)=0,"",COUNTIF(BN3:BN32,"完")/COUNTA(BH3:BH32))</f>
        <v>4.3478260869565216E-2</v>
      </c>
      <c r="BT33" s="562"/>
      <c r="BU33" s="563"/>
      <c r="BW33" s="285" t="b">
        <v>0</v>
      </c>
      <c r="BX33" s="178" t="s">
        <v>96</v>
      </c>
      <c r="BY33" s="178"/>
      <c r="BZ33" s="178"/>
      <c r="CA33" s="178"/>
      <c r="CB33" s="178"/>
      <c r="CC33" s="178"/>
      <c r="CD33" s="196"/>
      <c r="CE33" s="196"/>
      <c r="CF33" s="196"/>
      <c r="CG33" s="196"/>
      <c r="CH33" s="178"/>
    </row>
    <row r="34" spans="2:87" ht="22.5" customHeight="1">
      <c r="BL34" s="592"/>
      <c r="BM34" s="593"/>
      <c r="BN34" s="594"/>
      <c r="BO34" s="558"/>
      <c r="BP34" s="559"/>
      <c r="BQ34" s="559"/>
      <c r="BR34" s="560"/>
      <c r="BS34" s="564"/>
      <c r="BT34" s="565"/>
      <c r="BU34" s="566"/>
      <c r="BY34" s="178"/>
      <c r="BZ34" s="178"/>
      <c r="CA34" s="178"/>
      <c r="CB34" s="178"/>
      <c r="CC34" s="178"/>
      <c r="CD34" s="178"/>
      <c r="CE34" s="178"/>
      <c r="CF34" s="178"/>
      <c r="CG34" s="196"/>
      <c r="CH34" s="196"/>
      <c r="CI34" s="178"/>
    </row>
    <row r="35" spans="2:87" ht="22.5" customHeight="1">
      <c r="B35" s="908" t="s">
        <v>38</v>
      </c>
      <c r="C35" s="909"/>
      <c r="D35" s="909"/>
      <c r="E35" s="909"/>
      <c r="F35" s="909"/>
      <c r="G35" s="909"/>
      <c r="H35" s="909"/>
      <c r="I35" s="909"/>
      <c r="J35" s="909"/>
      <c r="K35" s="909"/>
      <c r="L35" s="909"/>
      <c r="M35" s="909"/>
      <c r="N35" s="909"/>
      <c r="O35" s="909"/>
      <c r="P35" s="909"/>
      <c r="Q35" s="909"/>
      <c r="R35" s="909"/>
      <c r="S35" s="909"/>
      <c r="T35" s="909"/>
      <c r="U35" s="910"/>
      <c r="V35" s="570">
        <f>IF(COUNT(J37:J66)=0,"",AVERAGE(J37:J66))</f>
        <v>4.0999999999999996</v>
      </c>
      <c r="W35" s="571"/>
      <c r="X35" s="572"/>
      <c r="Y35" s="573" t="s">
        <v>39</v>
      </c>
      <c r="Z35" s="568"/>
      <c r="AA35" s="568"/>
      <c r="AB35" s="568"/>
      <c r="AC35" s="568"/>
      <c r="AD35" s="568"/>
      <c r="AE35" s="568"/>
      <c r="AF35" s="568"/>
      <c r="AG35" s="569"/>
      <c r="AH35" s="574" t="s">
        <v>736</v>
      </c>
      <c r="AI35" s="436"/>
      <c r="AJ35" s="438"/>
      <c r="AL35" s="160" t="s">
        <v>59</v>
      </c>
      <c r="BW35" s="181" t="s">
        <v>950</v>
      </c>
      <c r="BX35" s="179"/>
      <c r="BY35" s="179"/>
      <c r="BZ35" s="179"/>
      <c r="CA35" s="179"/>
      <c r="CB35" s="179"/>
      <c r="CC35" s="179"/>
      <c r="CD35" s="179"/>
      <c r="CE35" s="179"/>
      <c r="CF35" s="186"/>
      <c r="CG35" s="186"/>
      <c r="CH35" s="179"/>
    </row>
    <row r="36" spans="2:87" ht="22.5" customHeight="1">
      <c r="B36" s="458" t="s">
        <v>41</v>
      </c>
      <c r="C36" s="459"/>
      <c r="D36" s="459"/>
      <c r="E36" s="459"/>
      <c r="F36" s="459"/>
      <c r="G36" s="459"/>
      <c r="H36" s="459"/>
      <c r="I36" s="459"/>
      <c r="J36" s="459" t="s">
        <v>42</v>
      </c>
      <c r="K36" s="459"/>
      <c r="L36" s="459" t="s">
        <v>43</v>
      </c>
      <c r="M36" s="459"/>
      <c r="N36" s="459"/>
      <c r="O36" s="459"/>
      <c r="P36" s="459"/>
      <c r="Q36" s="459"/>
      <c r="R36" s="459"/>
      <c r="S36" s="459" t="s">
        <v>44</v>
      </c>
      <c r="T36" s="459"/>
      <c r="U36" s="459"/>
      <c r="V36" s="459"/>
      <c r="W36" s="459"/>
      <c r="X36" s="460"/>
      <c r="Y36" s="598" t="s">
        <v>45</v>
      </c>
      <c r="Z36" s="599"/>
      <c r="AA36" s="599"/>
      <c r="AB36" s="599"/>
      <c r="AC36" s="599"/>
      <c r="AD36" s="459" t="s">
        <v>260</v>
      </c>
      <c r="AE36" s="459"/>
      <c r="AF36" s="459" t="s">
        <v>46</v>
      </c>
      <c r="AG36" s="459"/>
      <c r="AH36" s="459"/>
      <c r="AI36" s="459"/>
      <c r="AJ36" s="460"/>
      <c r="AL36" s="182" t="s">
        <v>247</v>
      </c>
      <c r="AM36" s="182"/>
      <c r="AN36" s="182"/>
      <c r="AO36" s="182"/>
      <c r="AP36" s="182"/>
      <c r="AQ36" s="182"/>
      <c r="AR36" s="183"/>
      <c r="AS36" s="183"/>
      <c r="AT36" s="183"/>
      <c r="AU36" s="183"/>
      <c r="AV36" s="183"/>
      <c r="AW36" s="183"/>
      <c r="AX36" s="183"/>
      <c r="AY36" s="179"/>
      <c r="AZ36" s="179"/>
      <c r="BA36" s="179"/>
      <c r="BB36" s="179"/>
      <c r="BC36" s="179"/>
      <c r="BD36" s="179"/>
      <c r="BE36" s="179"/>
      <c r="BF36" s="179"/>
      <c r="BG36" s="179"/>
      <c r="BH36" s="179"/>
      <c r="BI36" s="179"/>
      <c r="BK36" s="406" t="s">
        <v>244</v>
      </c>
      <c r="BL36" s="406"/>
      <c r="BM36" s="406"/>
      <c r="BN36" s="406"/>
      <c r="BO36" s="406"/>
      <c r="BP36" s="406"/>
      <c r="BQ36" s="406" t="s">
        <v>64</v>
      </c>
      <c r="BR36" s="406"/>
      <c r="BS36" s="406"/>
      <c r="BT36" s="406"/>
      <c r="BU36" s="406"/>
      <c r="BW36" s="285" t="b">
        <v>0</v>
      </c>
      <c r="BX36" s="192" t="s">
        <v>102</v>
      </c>
      <c r="BY36" s="178"/>
      <c r="BZ36" s="178"/>
      <c r="CA36" s="178"/>
      <c r="CB36" s="178"/>
      <c r="CC36" s="178"/>
      <c r="CD36" s="196"/>
      <c r="CE36" s="196"/>
      <c r="CF36" s="196"/>
      <c r="CG36" s="196"/>
      <c r="CH36" s="178"/>
    </row>
    <row r="37" spans="2:87" ht="22.5" customHeight="1">
      <c r="B37" s="324">
        <v>101</v>
      </c>
      <c r="C37" s="325"/>
      <c r="D37" s="531" t="s">
        <v>498</v>
      </c>
      <c r="E37" s="531"/>
      <c r="F37" s="531"/>
      <c r="G37" s="531"/>
      <c r="H37" s="531"/>
      <c r="I37" s="531"/>
      <c r="J37" s="469">
        <v>3</v>
      </c>
      <c r="K37" s="469"/>
      <c r="L37" s="595"/>
      <c r="M37" s="595"/>
      <c r="N37" s="595"/>
      <c r="O37" s="595"/>
      <c r="P37" s="595"/>
      <c r="Q37" s="595"/>
      <c r="R37" s="595"/>
      <c r="S37" s="208"/>
      <c r="T37" s="595"/>
      <c r="U37" s="595"/>
      <c r="V37" s="595"/>
      <c r="W37" s="595"/>
      <c r="X37" s="596"/>
      <c r="Y37" s="597"/>
      <c r="Z37" s="531"/>
      <c r="AA37" s="531"/>
      <c r="AB37" s="531"/>
      <c r="AC37" s="531"/>
      <c r="AD37" s="531"/>
      <c r="AE37" s="531"/>
      <c r="AF37" s="531"/>
      <c r="AG37" s="531"/>
      <c r="AH37" s="531"/>
      <c r="AI37" s="531"/>
      <c r="AJ37" s="532"/>
      <c r="AL37" s="600" t="s">
        <v>27</v>
      </c>
      <c r="AM37" s="600"/>
      <c r="AN37" s="600" t="s">
        <v>58</v>
      </c>
      <c r="AO37" s="600"/>
      <c r="AP37" s="600" t="s">
        <v>14</v>
      </c>
      <c r="AQ37" s="600"/>
      <c r="AR37" s="600" t="s">
        <v>22</v>
      </c>
      <c r="AS37" s="600"/>
      <c r="AT37" s="600" t="s">
        <v>1</v>
      </c>
      <c r="AU37" s="600"/>
      <c r="AV37" s="600" t="s">
        <v>18</v>
      </c>
      <c r="AW37" s="600"/>
      <c r="AX37" s="600" t="s">
        <v>28</v>
      </c>
      <c r="AY37" s="600"/>
      <c r="AZ37" s="600" t="s">
        <v>24</v>
      </c>
      <c r="BA37" s="600"/>
      <c r="BB37" s="600" t="s">
        <v>16</v>
      </c>
      <c r="BC37" s="600"/>
      <c r="BD37" s="600" t="s">
        <v>67</v>
      </c>
      <c r="BE37" s="600"/>
      <c r="BF37" s="600" t="s">
        <v>20</v>
      </c>
      <c r="BG37" s="600"/>
      <c r="BH37" s="600" t="s">
        <v>68</v>
      </c>
      <c r="BI37" s="600"/>
      <c r="BK37" s="601"/>
      <c r="BL37" s="601"/>
      <c r="BM37" s="601"/>
      <c r="BN37" s="601"/>
      <c r="BO37" s="601"/>
      <c r="BP37" s="601"/>
      <c r="BQ37" s="602" t="b">
        <v>0</v>
      </c>
      <c r="BR37" s="603"/>
      <c r="BS37" s="603"/>
      <c r="BT37" s="603"/>
      <c r="BU37" s="604"/>
      <c r="BV37" s="170"/>
      <c r="BW37" s="285" t="b">
        <v>0</v>
      </c>
      <c r="BX37" s="192" t="s">
        <v>86</v>
      </c>
      <c r="BY37" s="178"/>
      <c r="BZ37" s="178"/>
      <c r="CA37" s="178"/>
      <c r="CB37" s="178"/>
      <c r="CC37" s="178"/>
      <c r="CD37" s="196"/>
      <c r="CE37" s="196"/>
      <c r="CF37" s="196"/>
      <c r="CG37" s="196"/>
      <c r="CH37" s="178"/>
    </row>
    <row r="38" spans="2:87" ht="22.5" customHeight="1">
      <c r="B38" s="486">
        <v>102</v>
      </c>
      <c r="C38" s="606"/>
      <c r="D38" s="317" t="s">
        <v>499</v>
      </c>
      <c r="E38" s="317"/>
      <c r="F38" s="317"/>
      <c r="G38" s="317"/>
      <c r="H38" s="317"/>
      <c r="I38" s="317"/>
      <c r="J38" s="426">
        <v>3</v>
      </c>
      <c r="K38" s="426"/>
      <c r="L38" s="607"/>
      <c r="M38" s="607"/>
      <c r="N38" s="607"/>
      <c r="O38" s="607"/>
      <c r="P38" s="607"/>
      <c r="Q38" s="607"/>
      <c r="R38" s="607"/>
      <c r="S38" s="209"/>
      <c r="T38" s="607"/>
      <c r="U38" s="607"/>
      <c r="V38" s="607"/>
      <c r="W38" s="607"/>
      <c r="X38" s="608"/>
      <c r="Y38" s="319"/>
      <c r="Z38" s="317"/>
      <c r="AA38" s="317"/>
      <c r="AB38" s="317"/>
      <c r="AC38" s="317"/>
      <c r="AD38" s="317"/>
      <c r="AE38" s="317"/>
      <c r="AF38" s="317"/>
      <c r="AG38" s="317"/>
      <c r="AH38" s="317"/>
      <c r="AI38" s="317"/>
      <c r="AJ38" s="320"/>
      <c r="AL38" s="330">
        <v>0</v>
      </c>
      <c r="AM38" s="330"/>
      <c r="AN38" s="330">
        <v>0</v>
      </c>
      <c r="AO38" s="330"/>
      <c r="AP38" s="330">
        <v>0</v>
      </c>
      <c r="AQ38" s="330"/>
      <c r="AR38" s="330"/>
      <c r="AS38" s="330"/>
      <c r="AT38" s="330"/>
      <c r="AU38" s="330"/>
      <c r="AV38" s="330"/>
      <c r="AW38" s="330"/>
      <c r="AX38" s="330"/>
      <c r="AY38" s="330"/>
      <c r="AZ38" s="330"/>
      <c r="BA38" s="330"/>
      <c r="BB38" s="330"/>
      <c r="BC38" s="330"/>
      <c r="BD38" s="330"/>
      <c r="BE38" s="330"/>
      <c r="BF38" s="330"/>
      <c r="BG38" s="330"/>
      <c r="BH38" s="330">
        <v>24</v>
      </c>
      <c r="BI38" s="330"/>
      <c r="BK38" s="605"/>
      <c r="BL38" s="605"/>
      <c r="BM38" s="605"/>
      <c r="BN38" s="605"/>
      <c r="BO38" s="605"/>
      <c r="BP38" s="605"/>
      <c r="BQ38" s="609" t="b">
        <v>0</v>
      </c>
      <c r="BR38" s="610"/>
      <c r="BS38" s="610"/>
      <c r="BT38" s="610"/>
      <c r="BU38" s="611"/>
      <c r="BV38" s="170"/>
      <c r="BW38" s="285" t="b">
        <v>0</v>
      </c>
      <c r="BX38" s="192" t="s">
        <v>87</v>
      </c>
      <c r="BY38" s="178"/>
      <c r="BZ38" s="178"/>
      <c r="CA38" s="178"/>
      <c r="CB38" s="178"/>
      <c r="CC38" s="178"/>
      <c r="CD38" s="196"/>
      <c r="CE38" s="196"/>
      <c r="CF38" s="196"/>
      <c r="CG38" s="196"/>
      <c r="CH38" s="178"/>
    </row>
    <row r="39" spans="2:87" ht="22.5" customHeight="1">
      <c r="B39" s="486">
        <v>103</v>
      </c>
      <c r="C39" s="606"/>
      <c r="D39" s="317" t="s">
        <v>773</v>
      </c>
      <c r="E39" s="317"/>
      <c r="F39" s="317"/>
      <c r="G39" s="317"/>
      <c r="H39" s="317"/>
      <c r="I39" s="317"/>
      <c r="J39" s="426">
        <v>6</v>
      </c>
      <c r="K39" s="426"/>
      <c r="L39" s="911" t="s">
        <v>932</v>
      </c>
      <c r="M39" s="607"/>
      <c r="N39" s="607"/>
      <c r="O39" s="607"/>
      <c r="P39" s="607"/>
      <c r="Q39" s="607"/>
      <c r="R39" s="607"/>
      <c r="S39" s="209"/>
      <c r="T39" s="607"/>
      <c r="U39" s="607"/>
      <c r="V39" s="607"/>
      <c r="W39" s="607"/>
      <c r="X39" s="608"/>
      <c r="Y39" s="319"/>
      <c r="Z39" s="317"/>
      <c r="AA39" s="317"/>
      <c r="AB39" s="317"/>
      <c r="AC39" s="317"/>
      <c r="AD39" s="317"/>
      <c r="AE39" s="317"/>
      <c r="AF39" s="317"/>
      <c r="AG39" s="317"/>
      <c r="AH39" s="317"/>
      <c r="AI39" s="317"/>
      <c r="AJ39" s="320"/>
      <c r="BK39" s="605"/>
      <c r="BL39" s="605"/>
      <c r="BM39" s="605"/>
      <c r="BN39" s="605"/>
      <c r="BO39" s="605"/>
      <c r="BP39" s="605"/>
      <c r="BQ39" s="609" t="b">
        <v>0</v>
      </c>
      <c r="BR39" s="610"/>
      <c r="BS39" s="610"/>
      <c r="BT39" s="610"/>
      <c r="BU39" s="611"/>
      <c r="BW39" s="285" t="b">
        <v>0</v>
      </c>
      <c r="BX39" s="192" t="s">
        <v>88</v>
      </c>
      <c r="BY39" s="178"/>
      <c r="BZ39" s="178"/>
      <c r="CA39" s="178"/>
      <c r="CB39" s="178"/>
      <c r="CC39" s="178"/>
      <c r="CD39" s="196"/>
      <c r="CE39" s="196"/>
      <c r="CF39" s="196"/>
      <c r="CG39" s="196"/>
      <c r="CH39" s="178"/>
    </row>
    <row r="40" spans="2:87" ht="22.5" customHeight="1">
      <c r="B40" s="486">
        <v>104</v>
      </c>
      <c r="C40" s="606"/>
      <c r="D40" s="317" t="s">
        <v>500</v>
      </c>
      <c r="E40" s="317"/>
      <c r="F40" s="317"/>
      <c r="G40" s="317"/>
      <c r="H40" s="317"/>
      <c r="I40" s="317"/>
      <c r="J40" s="426">
        <v>3</v>
      </c>
      <c r="K40" s="426"/>
      <c r="L40" s="607"/>
      <c r="M40" s="607"/>
      <c r="N40" s="607"/>
      <c r="O40" s="607"/>
      <c r="P40" s="607"/>
      <c r="Q40" s="607"/>
      <c r="R40" s="607"/>
      <c r="S40" s="209"/>
      <c r="T40" s="607"/>
      <c r="U40" s="607"/>
      <c r="V40" s="607"/>
      <c r="W40" s="607"/>
      <c r="X40" s="608"/>
      <c r="Y40" s="319"/>
      <c r="Z40" s="317"/>
      <c r="AA40" s="317"/>
      <c r="AB40" s="317"/>
      <c r="AC40" s="317"/>
      <c r="AD40" s="317"/>
      <c r="AE40" s="317"/>
      <c r="AF40" s="317"/>
      <c r="AG40" s="317"/>
      <c r="AH40" s="317"/>
      <c r="AI40" s="317"/>
      <c r="AJ40" s="320"/>
      <c r="AL40" s="182" t="s">
        <v>248</v>
      </c>
      <c r="AM40" s="182"/>
      <c r="AN40" s="182"/>
      <c r="AO40" s="182"/>
      <c r="AP40" s="182"/>
      <c r="AQ40" s="182"/>
      <c r="AR40" s="183"/>
      <c r="AS40" s="183"/>
      <c r="AT40" s="183"/>
      <c r="AU40" s="183"/>
      <c r="AV40" s="183"/>
      <c r="AW40" s="183"/>
      <c r="AX40" s="183"/>
      <c r="AY40" s="179"/>
      <c r="AZ40" s="179"/>
      <c r="BA40" s="179"/>
      <c r="BB40" s="179"/>
      <c r="BC40" s="179"/>
      <c r="BD40" s="179"/>
      <c r="BE40" s="179"/>
      <c r="BF40" s="179"/>
      <c r="BG40" s="179"/>
      <c r="BH40" s="179"/>
      <c r="BI40" s="179"/>
      <c r="BK40" s="605"/>
      <c r="BL40" s="605"/>
      <c r="BM40" s="605"/>
      <c r="BN40" s="605"/>
      <c r="BO40" s="605"/>
      <c r="BP40" s="605"/>
      <c r="BQ40" s="609" t="b">
        <v>0</v>
      </c>
      <c r="BR40" s="610"/>
      <c r="BS40" s="610"/>
      <c r="BT40" s="610"/>
      <c r="BU40" s="611"/>
      <c r="BW40" s="285" t="b">
        <v>0</v>
      </c>
      <c r="BX40" s="192" t="s">
        <v>89</v>
      </c>
      <c r="BY40" s="178"/>
      <c r="BZ40" s="178"/>
      <c r="CA40" s="178"/>
      <c r="CB40" s="178"/>
      <c r="CC40" s="178"/>
      <c r="CD40" s="196"/>
      <c r="CE40" s="196"/>
      <c r="CF40" s="196"/>
      <c r="CG40" s="196"/>
      <c r="CH40" s="178"/>
    </row>
    <row r="41" spans="2:87" ht="22.5" customHeight="1">
      <c r="B41" s="486">
        <v>105</v>
      </c>
      <c r="C41" s="606"/>
      <c r="D41" s="317" t="s">
        <v>501</v>
      </c>
      <c r="E41" s="317"/>
      <c r="F41" s="317"/>
      <c r="G41" s="317"/>
      <c r="H41" s="317"/>
      <c r="I41" s="317"/>
      <c r="J41" s="426">
        <v>6</v>
      </c>
      <c r="K41" s="426"/>
      <c r="L41" s="607"/>
      <c r="M41" s="607"/>
      <c r="N41" s="607"/>
      <c r="O41" s="607"/>
      <c r="P41" s="607"/>
      <c r="Q41" s="607"/>
      <c r="R41" s="607"/>
      <c r="S41" s="209"/>
      <c r="T41" s="607"/>
      <c r="U41" s="607"/>
      <c r="V41" s="607"/>
      <c r="W41" s="607"/>
      <c r="X41" s="608"/>
      <c r="Y41" s="319"/>
      <c r="Z41" s="317"/>
      <c r="AA41" s="317"/>
      <c r="AB41" s="317"/>
      <c r="AC41" s="317"/>
      <c r="AD41" s="317"/>
      <c r="AE41" s="317"/>
      <c r="AF41" s="317"/>
      <c r="AG41" s="317"/>
      <c r="AH41" s="317"/>
      <c r="AI41" s="317"/>
      <c r="AJ41" s="320"/>
      <c r="AL41" s="600" t="s">
        <v>27</v>
      </c>
      <c r="AM41" s="600"/>
      <c r="AN41" s="600" t="s">
        <v>58</v>
      </c>
      <c r="AO41" s="600"/>
      <c r="AP41" s="600" t="s">
        <v>14</v>
      </c>
      <c r="AQ41" s="600"/>
      <c r="AR41" s="600" t="s">
        <v>22</v>
      </c>
      <c r="AS41" s="600"/>
      <c r="AT41" s="600" t="s">
        <v>1</v>
      </c>
      <c r="AU41" s="600"/>
      <c r="AV41" s="600" t="s">
        <v>18</v>
      </c>
      <c r="AW41" s="600"/>
      <c r="AX41" s="600" t="s">
        <v>28</v>
      </c>
      <c r="AY41" s="600"/>
      <c r="AZ41" s="600" t="s">
        <v>24</v>
      </c>
      <c r="BA41" s="600"/>
      <c r="BB41" s="600" t="s">
        <v>16</v>
      </c>
      <c r="BC41" s="600"/>
      <c r="BD41" s="600" t="s">
        <v>67</v>
      </c>
      <c r="BE41" s="600"/>
      <c r="BF41" s="600" t="s">
        <v>20</v>
      </c>
      <c r="BG41" s="600"/>
      <c r="BH41" s="600" t="s">
        <v>68</v>
      </c>
      <c r="BI41" s="600"/>
      <c r="BK41" s="605"/>
      <c r="BL41" s="605"/>
      <c r="BM41" s="605"/>
      <c r="BN41" s="605"/>
      <c r="BO41" s="605"/>
      <c r="BP41" s="605"/>
      <c r="BQ41" s="609" t="b">
        <v>0</v>
      </c>
      <c r="BR41" s="610"/>
      <c r="BS41" s="610"/>
      <c r="BT41" s="610"/>
      <c r="BU41" s="611"/>
      <c r="BW41" s="285" t="b">
        <v>0</v>
      </c>
      <c r="BX41" s="192" t="s">
        <v>103</v>
      </c>
      <c r="BY41" s="178"/>
      <c r="BZ41" s="178"/>
      <c r="CA41" s="178"/>
      <c r="CB41" s="178"/>
      <c r="CC41" s="178"/>
      <c r="CD41" s="196"/>
      <c r="CE41" s="196"/>
      <c r="CF41" s="196"/>
      <c r="CG41" s="196"/>
      <c r="CH41" s="178"/>
    </row>
    <row r="42" spans="2:87" ht="22.5" customHeight="1">
      <c r="B42" s="486">
        <v>106</v>
      </c>
      <c r="C42" s="606"/>
      <c r="D42" s="317" t="s">
        <v>502</v>
      </c>
      <c r="E42" s="317"/>
      <c r="F42" s="317"/>
      <c r="G42" s="317"/>
      <c r="H42" s="317"/>
      <c r="I42" s="317"/>
      <c r="J42" s="426">
        <v>6</v>
      </c>
      <c r="K42" s="426"/>
      <c r="L42" s="607"/>
      <c r="M42" s="607"/>
      <c r="N42" s="607"/>
      <c r="O42" s="607"/>
      <c r="P42" s="607"/>
      <c r="Q42" s="607"/>
      <c r="R42" s="607"/>
      <c r="S42" s="209"/>
      <c r="T42" s="607"/>
      <c r="U42" s="607"/>
      <c r="V42" s="607"/>
      <c r="W42" s="607"/>
      <c r="X42" s="608"/>
      <c r="Y42" s="319"/>
      <c r="Z42" s="317"/>
      <c r="AA42" s="317"/>
      <c r="AB42" s="317"/>
      <c r="AC42" s="317"/>
      <c r="AD42" s="317"/>
      <c r="AE42" s="317"/>
      <c r="AF42" s="317"/>
      <c r="AG42" s="317"/>
      <c r="AH42" s="317"/>
      <c r="AI42" s="317"/>
      <c r="AJ42" s="320"/>
      <c r="AL42" s="330">
        <v>3</v>
      </c>
      <c r="AM42" s="330"/>
      <c r="AN42" s="330">
        <v>2</v>
      </c>
      <c r="AO42" s="330"/>
      <c r="AP42" s="330">
        <v>0</v>
      </c>
      <c r="AQ42" s="330"/>
      <c r="AR42" s="330"/>
      <c r="AS42" s="330"/>
      <c r="AT42" s="330"/>
      <c r="AU42" s="330"/>
      <c r="AV42" s="330"/>
      <c r="AW42" s="330"/>
      <c r="AX42" s="330"/>
      <c r="AY42" s="330"/>
      <c r="AZ42" s="330"/>
      <c r="BA42" s="330"/>
      <c r="BB42" s="330"/>
      <c r="BC42" s="330"/>
      <c r="BD42" s="330"/>
      <c r="BE42" s="330"/>
      <c r="BF42" s="330"/>
      <c r="BG42" s="330"/>
      <c r="BH42" s="330"/>
      <c r="BI42" s="330"/>
      <c r="BK42" s="612"/>
      <c r="BL42" s="612"/>
      <c r="BM42" s="612"/>
      <c r="BN42" s="612"/>
      <c r="BO42" s="612"/>
      <c r="BP42" s="612"/>
      <c r="BQ42" s="613" t="b">
        <v>0</v>
      </c>
      <c r="BR42" s="614"/>
      <c r="BS42" s="614"/>
      <c r="BT42" s="614"/>
      <c r="BU42" s="615"/>
      <c r="BW42" s="285" t="b">
        <v>0</v>
      </c>
      <c r="BX42" s="192" t="s">
        <v>82</v>
      </c>
      <c r="BY42" s="178"/>
      <c r="BZ42" s="178"/>
      <c r="CA42" s="178"/>
      <c r="CB42" s="178"/>
      <c r="CC42" s="178"/>
      <c r="CD42" s="196"/>
      <c r="CE42" s="196"/>
      <c r="CF42" s="196"/>
      <c r="CG42" s="196"/>
      <c r="CH42" s="178"/>
    </row>
    <row r="43" spans="2:87" ht="22.5" customHeight="1">
      <c r="B43" s="486">
        <v>107</v>
      </c>
      <c r="C43" s="606"/>
      <c r="D43" s="317" t="s">
        <v>769</v>
      </c>
      <c r="E43" s="317"/>
      <c r="F43" s="317"/>
      <c r="G43" s="317"/>
      <c r="H43" s="317"/>
      <c r="I43" s="317"/>
      <c r="J43" s="426">
        <v>3</v>
      </c>
      <c r="K43" s="426"/>
      <c r="L43" s="607"/>
      <c r="M43" s="607"/>
      <c r="N43" s="607"/>
      <c r="O43" s="607"/>
      <c r="P43" s="607"/>
      <c r="Q43" s="607"/>
      <c r="R43" s="607"/>
      <c r="S43" s="209"/>
      <c r="T43" s="607"/>
      <c r="U43" s="607"/>
      <c r="V43" s="607"/>
      <c r="W43" s="607"/>
      <c r="X43" s="608"/>
      <c r="Y43" s="319"/>
      <c r="Z43" s="317"/>
      <c r="AA43" s="317"/>
      <c r="AB43" s="317"/>
      <c r="AC43" s="317"/>
      <c r="AD43" s="317"/>
      <c r="AE43" s="317"/>
      <c r="AF43" s="317"/>
      <c r="AG43" s="317"/>
      <c r="AH43" s="317"/>
      <c r="AI43" s="317"/>
      <c r="AJ43" s="320"/>
      <c r="AL43" s="171"/>
      <c r="AM43" s="171"/>
      <c r="AN43" s="171"/>
      <c r="AO43" s="171"/>
      <c r="AP43" s="171"/>
      <c r="AQ43" s="171"/>
      <c r="AR43" s="171"/>
      <c r="AS43" s="171"/>
      <c r="AT43" s="171"/>
      <c r="AU43" s="171"/>
      <c r="AV43" s="171"/>
      <c r="AW43" s="171"/>
      <c r="AX43" s="171"/>
      <c r="AY43" s="171"/>
      <c r="AZ43" s="171"/>
      <c r="BA43" s="171"/>
      <c r="BB43" s="171"/>
      <c r="BC43" s="171"/>
      <c r="BD43" s="171"/>
      <c r="BE43" s="171"/>
      <c r="BF43" s="171"/>
      <c r="BG43" s="171"/>
      <c r="BH43" s="171"/>
      <c r="BI43" s="171"/>
      <c r="BV43" s="164"/>
    </row>
    <row r="44" spans="2:87" ht="22.5" customHeight="1">
      <c r="B44" s="486">
        <v>108</v>
      </c>
      <c r="C44" s="606"/>
      <c r="D44" s="317" t="s">
        <v>503</v>
      </c>
      <c r="E44" s="317"/>
      <c r="F44" s="317"/>
      <c r="G44" s="317"/>
      <c r="H44" s="317"/>
      <c r="I44" s="317"/>
      <c r="J44" s="912">
        <v>3</v>
      </c>
      <c r="K44" s="912"/>
      <c r="L44" s="607"/>
      <c r="M44" s="607"/>
      <c r="N44" s="607"/>
      <c r="O44" s="607"/>
      <c r="P44" s="607"/>
      <c r="Q44" s="607"/>
      <c r="R44" s="607"/>
      <c r="S44" s="209"/>
      <c r="T44" s="607"/>
      <c r="U44" s="607"/>
      <c r="V44" s="607"/>
      <c r="W44" s="607"/>
      <c r="X44" s="608"/>
      <c r="Y44" s="319"/>
      <c r="Z44" s="317"/>
      <c r="AA44" s="317"/>
      <c r="AB44" s="317"/>
      <c r="AC44" s="317"/>
      <c r="AD44" s="317"/>
      <c r="AE44" s="317"/>
      <c r="AF44" s="317"/>
      <c r="AG44" s="317"/>
      <c r="AH44" s="317"/>
      <c r="AI44" s="317"/>
      <c r="AJ44" s="320"/>
      <c r="AL44" s="179" t="s">
        <v>246</v>
      </c>
      <c r="AM44" s="179"/>
      <c r="AN44" s="179"/>
      <c r="AO44" s="179"/>
      <c r="AP44" s="179"/>
      <c r="AQ44" s="179"/>
      <c r="AR44" s="179"/>
      <c r="AS44" s="179"/>
      <c r="AT44" s="179"/>
      <c r="AU44" s="179"/>
      <c r="AV44" s="179"/>
      <c r="AW44" s="179"/>
      <c r="AX44" s="179"/>
      <c r="AY44" s="179"/>
      <c r="AZ44" s="179"/>
      <c r="BA44" s="179"/>
      <c r="BB44" s="179"/>
      <c r="BC44" s="179"/>
      <c r="BD44" s="179"/>
      <c r="BE44" s="179"/>
      <c r="BF44" s="179"/>
      <c r="BG44" s="179"/>
      <c r="BH44" s="179"/>
      <c r="BI44" s="179"/>
      <c r="BJ44" s="163"/>
      <c r="BK44" s="163"/>
      <c r="BL44" s="163"/>
      <c r="BM44" s="163"/>
      <c r="BN44" s="163"/>
      <c r="BO44" s="163"/>
      <c r="BP44" s="163"/>
      <c r="BQ44" s="163"/>
      <c r="BR44" s="163"/>
      <c r="BS44" s="163"/>
      <c r="BT44" s="163"/>
      <c r="BU44" s="163"/>
      <c r="BV44" s="164"/>
      <c r="BW44" s="179" t="s">
        <v>75</v>
      </c>
      <c r="BX44" s="179"/>
      <c r="BY44" s="179"/>
      <c r="BZ44" s="179"/>
      <c r="CA44" s="179"/>
      <c r="CB44" s="179"/>
      <c r="CC44" s="179"/>
      <c r="CD44" s="179"/>
      <c r="CE44" s="179"/>
      <c r="CF44" s="179"/>
      <c r="CG44" s="179"/>
      <c r="CH44" s="179"/>
    </row>
    <row r="45" spans="2:87" ht="22.5" customHeight="1">
      <c r="B45" s="486">
        <v>109</v>
      </c>
      <c r="C45" s="606"/>
      <c r="D45" s="317" t="s">
        <v>504</v>
      </c>
      <c r="E45" s="317"/>
      <c r="F45" s="317"/>
      <c r="G45" s="317"/>
      <c r="H45" s="317"/>
      <c r="I45" s="317"/>
      <c r="J45" s="426">
        <v>5</v>
      </c>
      <c r="K45" s="426"/>
      <c r="L45" s="607"/>
      <c r="M45" s="607"/>
      <c r="N45" s="607"/>
      <c r="O45" s="607"/>
      <c r="P45" s="607"/>
      <c r="Q45" s="607"/>
      <c r="R45" s="607"/>
      <c r="S45" s="209"/>
      <c r="T45" s="607"/>
      <c r="U45" s="607"/>
      <c r="V45" s="607"/>
      <c r="W45" s="607"/>
      <c r="X45" s="608"/>
      <c r="Y45" s="616"/>
      <c r="Z45" s="617"/>
      <c r="AA45" s="617"/>
      <c r="AB45" s="617"/>
      <c r="AC45" s="617"/>
      <c r="AD45" s="317"/>
      <c r="AE45" s="317"/>
      <c r="AF45" s="317"/>
      <c r="AG45" s="317"/>
      <c r="AH45" s="317"/>
      <c r="AI45" s="317"/>
      <c r="AJ45" s="320"/>
      <c r="AL45" s="618" t="s">
        <v>27</v>
      </c>
      <c r="AM45" s="618"/>
      <c r="AN45" s="618" t="s">
        <v>58</v>
      </c>
      <c r="AO45" s="618"/>
      <c r="AP45" s="618" t="s">
        <v>14</v>
      </c>
      <c r="AQ45" s="618"/>
      <c r="AR45" s="618" t="s">
        <v>22</v>
      </c>
      <c r="AS45" s="618"/>
      <c r="AT45" s="618" t="s">
        <v>1</v>
      </c>
      <c r="AU45" s="618"/>
      <c r="AV45" s="618" t="s">
        <v>18</v>
      </c>
      <c r="AW45" s="618"/>
      <c r="AX45" s="618" t="s">
        <v>28</v>
      </c>
      <c r="AY45" s="618"/>
      <c r="AZ45" s="618" t="s">
        <v>24</v>
      </c>
      <c r="BA45" s="618"/>
      <c r="BB45" s="618" t="s">
        <v>16</v>
      </c>
      <c r="BC45" s="618"/>
      <c r="BD45" s="618" t="s">
        <v>67</v>
      </c>
      <c r="BE45" s="618"/>
      <c r="BF45" s="618" t="s">
        <v>20</v>
      </c>
      <c r="BG45" s="618"/>
      <c r="BH45" s="618" t="s">
        <v>68</v>
      </c>
      <c r="BI45" s="618"/>
      <c r="BK45" s="630" t="s">
        <v>108</v>
      </c>
      <c r="BL45" s="631"/>
      <c r="BM45" s="634">
        <f>SUM(AL46:BI46)</f>
        <v>6</v>
      </c>
      <c r="BN45" s="635"/>
      <c r="BO45" s="636"/>
      <c r="BP45" s="640" t="s">
        <v>107</v>
      </c>
      <c r="BQ45" s="641"/>
      <c r="BR45" s="631"/>
      <c r="BS45" s="642" t="str">
        <f>IF(OR(BP46="",ISBLANK(BP46)),"",
IF(BP46&gt;=5,"A",
IF(BP46&gt;=4,"B",
IF(BP46&gt;=3,"C",
IF(BP46&gt;=1,"D","E")))))</f>
        <v>D</v>
      </c>
      <c r="BT45" s="556"/>
      <c r="BU45" s="557"/>
      <c r="BV45" s="164"/>
      <c r="BW45" s="619"/>
      <c r="BX45" s="620"/>
      <c r="BY45" s="620"/>
      <c r="BZ45" s="620"/>
      <c r="CA45" s="620"/>
      <c r="CB45" s="620"/>
      <c r="CC45" s="620"/>
      <c r="CD45" s="620"/>
      <c r="CE45" s="620"/>
      <c r="CF45" s="620"/>
      <c r="CG45" s="620"/>
      <c r="CH45" s="621"/>
    </row>
    <row r="46" spans="2:87" ht="22.5" customHeight="1" thickBot="1">
      <c r="B46" s="622">
        <v>110</v>
      </c>
      <c r="C46" s="623"/>
      <c r="D46" s="624" t="s">
        <v>505</v>
      </c>
      <c r="E46" s="624"/>
      <c r="F46" s="624"/>
      <c r="G46" s="624"/>
      <c r="H46" s="624"/>
      <c r="I46" s="624"/>
      <c r="J46" s="625">
        <v>4</v>
      </c>
      <c r="K46" s="625"/>
      <c r="L46" s="626"/>
      <c r="M46" s="626"/>
      <c r="N46" s="626"/>
      <c r="O46" s="626"/>
      <c r="P46" s="626"/>
      <c r="Q46" s="626"/>
      <c r="R46" s="626"/>
      <c r="S46" s="211"/>
      <c r="T46" s="626"/>
      <c r="U46" s="626"/>
      <c r="V46" s="626"/>
      <c r="W46" s="626"/>
      <c r="X46" s="627"/>
      <c r="Y46" s="628"/>
      <c r="Z46" s="624"/>
      <c r="AA46" s="624"/>
      <c r="AB46" s="624"/>
      <c r="AC46" s="624"/>
      <c r="AD46" s="624"/>
      <c r="AE46" s="624"/>
      <c r="AF46" s="624"/>
      <c r="AG46" s="624"/>
      <c r="AH46" s="624"/>
      <c r="AI46" s="624"/>
      <c r="AJ46" s="629"/>
      <c r="AL46" s="330">
        <v>2</v>
      </c>
      <c r="AM46" s="330"/>
      <c r="AN46" s="330">
        <v>3</v>
      </c>
      <c r="AO46" s="330"/>
      <c r="AP46" s="330">
        <v>1</v>
      </c>
      <c r="AQ46" s="330"/>
      <c r="AR46" s="330"/>
      <c r="AS46" s="330"/>
      <c r="AT46" s="330"/>
      <c r="AU46" s="330"/>
      <c r="AV46" s="330"/>
      <c r="AW46" s="330"/>
      <c r="AX46" s="330"/>
      <c r="AY46" s="330"/>
      <c r="AZ46" s="330"/>
      <c r="BA46" s="330"/>
      <c r="BB46" s="330"/>
      <c r="BC46" s="330"/>
      <c r="BD46" s="330"/>
      <c r="BE46" s="330"/>
      <c r="BF46" s="330"/>
      <c r="BG46" s="330"/>
      <c r="BH46" s="330"/>
      <c r="BI46" s="330"/>
      <c r="BK46" s="632"/>
      <c r="BL46" s="633"/>
      <c r="BM46" s="637"/>
      <c r="BN46" s="638"/>
      <c r="BO46" s="639"/>
      <c r="BP46" s="652">
        <f>IF(COUNT(AL46:BI46)=0,"",ROUND(AVERAGE(AL46:BI46),1))</f>
        <v>2</v>
      </c>
      <c r="BQ46" s="653"/>
      <c r="BR46" s="654"/>
      <c r="BS46" s="643"/>
      <c r="BT46" s="559"/>
      <c r="BU46" s="560"/>
      <c r="BV46" s="164"/>
      <c r="BW46" s="644"/>
      <c r="BX46" s="607"/>
      <c r="BY46" s="607"/>
      <c r="BZ46" s="607"/>
      <c r="CA46" s="607"/>
      <c r="CB46" s="607"/>
      <c r="CC46" s="607"/>
      <c r="CD46" s="607"/>
      <c r="CE46" s="607"/>
      <c r="CF46" s="607"/>
      <c r="CG46" s="607"/>
      <c r="CH46" s="608"/>
    </row>
    <row r="47" spans="2:87" ht="22.5" customHeight="1">
      <c r="B47" s="550">
        <v>201</v>
      </c>
      <c r="C47" s="645"/>
      <c r="D47" s="913" t="s">
        <v>506</v>
      </c>
      <c r="E47" s="913"/>
      <c r="F47" s="913"/>
      <c r="G47" s="913"/>
      <c r="H47" s="913"/>
      <c r="I47" s="913"/>
      <c r="J47" s="647">
        <v>6</v>
      </c>
      <c r="K47" s="647"/>
      <c r="L47" s="648"/>
      <c r="M47" s="648"/>
      <c r="N47" s="648"/>
      <c r="O47" s="648"/>
      <c r="P47" s="648"/>
      <c r="Q47" s="648"/>
      <c r="R47" s="648"/>
      <c r="S47" s="212"/>
      <c r="T47" s="648"/>
      <c r="U47" s="648"/>
      <c r="V47" s="648"/>
      <c r="W47" s="648"/>
      <c r="X47" s="649"/>
      <c r="Y47" s="650"/>
      <c r="Z47" s="646"/>
      <c r="AA47" s="646"/>
      <c r="AB47" s="646"/>
      <c r="AC47" s="646"/>
      <c r="AD47" s="646"/>
      <c r="AE47" s="646"/>
      <c r="AF47" s="646"/>
      <c r="AG47" s="646"/>
      <c r="AH47" s="646"/>
      <c r="AI47" s="646"/>
      <c r="AJ47" s="651"/>
      <c r="BV47" s="164"/>
      <c r="BW47" s="644"/>
      <c r="BX47" s="607"/>
      <c r="BY47" s="607"/>
      <c r="BZ47" s="607"/>
      <c r="CA47" s="607"/>
      <c r="CB47" s="607"/>
      <c r="CC47" s="607"/>
      <c r="CD47" s="607"/>
      <c r="CE47" s="607"/>
      <c r="CF47" s="607"/>
      <c r="CG47" s="607"/>
      <c r="CH47" s="608"/>
    </row>
    <row r="48" spans="2:87" ht="22.5" customHeight="1">
      <c r="B48" s="486">
        <v>202</v>
      </c>
      <c r="C48" s="606"/>
      <c r="D48" s="317" t="s">
        <v>507</v>
      </c>
      <c r="E48" s="317"/>
      <c r="F48" s="317"/>
      <c r="G48" s="317"/>
      <c r="H48" s="317"/>
      <c r="I48" s="317"/>
      <c r="J48" s="914">
        <v>5</v>
      </c>
      <c r="K48" s="914"/>
      <c r="L48" s="607"/>
      <c r="M48" s="607"/>
      <c r="N48" s="607"/>
      <c r="O48" s="607"/>
      <c r="P48" s="607"/>
      <c r="Q48" s="607"/>
      <c r="R48" s="607"/>
      <c r="S48" s="209"/>
      <c r="T48" s="607"/>
      <c r="U48" s="607"/>
      <c r="V48" s="607"/>
      <c r="W48" s="607"/>
      <c r="X48" s="608"/>
      <c r="Y48" s="319"/>
      <c r="Z48" s="317"/>
      <c r="AA48" s="317"/>
      <c r="AB48" s="317"/>
      <c r="AC48" s="317"/>
      <c r="AD48" s="317"/>
      <c r="AE48" s="317"/>
      <c r="AF48" s="317"/>
      <c r="AG48" s="317"/>
      <c r="AH48" s="317"/>
      <c r="AI48" s="317"/>
      <c r="AJ48" s="320"/>
      <c r="AL48" s="182" t="s">
        <v>241</v>
      </c>
      <c r="AM48" s="182"/>
      <c r="AN48" s="182"/>
      <c r="AO48" s="182"/>
      <c r="AP48" s="182"/>
      <c r="AQ48" s="182"/>
      <c r="AR48" s="183"/>
      <c r="AS48" s="183"/>
      <c r="AT48" s="183"/>
      <c r="AU48" s="183"/>
      <c r="AV48" s="183"/>
      <c r="AW48" s="183"/>
      <c r="AX48" s="184"/>
      <c r="AY48" s="184"/>
      <c r="AZ48" s="184"/>
      <c r="BA48" s="184"/>
      <c r="BB48" s="185"/>
      <c r="BC48" s="185"/>
      <c r="BD48" s="185"/>
      <c r="BE48" s="185"/>
      <c r="BF48" s="186"/>
      <c r="BG48" s="186"/>
      <c r="BH48" s="186"/>
      <c r="BI48" s="186"/>
      <c r="BJ48" s="163"/>
      <c r="BK48" s="163"/>
      <c r="BL48" s="163"/>
      <c r="BM48" s="163"/>
      <c r="BN48" s="163"/>
      <c r="BO48" s="163"/>
      <c r="BP48" s="163"/>
      <c r="BQ48" s="163"/>
      <c r="BR48" s="163"/>
      <c r="BS48" s="163"/>
      <c r="BT48" s="163"/>
      <c r="BU48" s="163"/>
      <c r="BV48" s="164"/>
      <c r="BW48" s="644"/>
      <c r="BX48" s="607"/>
      <c r="BY48" s="607"/>
      <c r="BZ48" s="607"/>
      <c r="CA48" s="607"/>
      <c r="CB48" s="607"/>
      <c r="CC48" s="607"/>
      <c r="CD48" s="607"/>
      <c r="CE48" s="607"/>
      <c r="CF48" s="607"/>
      <c r="CG48" s="607"/>
      <c r="CH48" s="608"/>
    </row>
    <row r="49" spans="2:86" ht="22.5" customHeight="1">
      <c r="B49" s="486">
        <v>203</v>
      </c>
      <c r="C49" s="606"/>
      <c r="D49" s="317" t="s">
        <v>770</v>
      </c>
      <c r="E49" s="317"/>
      <c r="F49" s="317"/>
      <c r="G49" s="317"/>
      <c r="H49" s="317"/>
      <c r="I49" s="317"/>
      <c r="J49" s="426">
        <v>4</v>
      </c>
      <c r="K49" s="426"/>
      <c r="L49" s="607"/>
      <c r="M49" s="607"/>
      <c r="N49" s="607"/>
      <c r="O49" s="607"/>
      <c r="P49" s="607"/>
      <c r="Q49" s="607"/>
      <c r="R49" s="607"/>
      <c r="S49" s="209"/>
      <c r="T49" s="607"/>
      <c r="U49" s="607"/>
      <c r="V49" s="607"/>
      <c r="W49" s="607"/>
      <c r="X49" s="608"/>
      <c r="Y49" s="319"/>
      <c r="Z49" s="317"/>
      <c r="AA49" s="317"/>
      <c r="AB49" s="317"/>
      <c r="AC49" s="317"/>
      <c r="AD49" s="317"/>
      <c r="AE49" s="317"/>
      <c r="AF49" s="317"/>
      <c r="AG49" s="317"/>
      <c r="AH49" s="317"/>
      <c r="AI49" s="317"/>
      <c r="AJ49" s="320"/>
      <c r="AL49" s="600" t="s">
        <v>27</v>
      </c>
      <c r="AM49" s="600"/>
      <c r="AN49" s="600" t="s">
        <v>58</v>
      </c>
      <c r="AO49" s="600"/>
      <c r="AP49" s="600" t="s">
        <v>14</v>
      </c>
      <c r="AQ49" s="600"/>
      <c r="AR49" s="600" t="s">
        <v>22</v>
      </c>
      <c r="AS49" s="600"/>
      <c r="AT49" s="600" t="s">
        <v>1</v>
      </c>
      <c r="AU49" s="600"/>
      <c r="AV49" s="600" t="s">
        <v>18</v>
      </c>
      <c r="AW49" s="600"/>
      <c r="AX49" s="600" t="s">
        <v>28</v>
      </c>
      <c r="AY49" s="600"/>
      <c r="AZ49" s="600" t="s">
        <v>24</v>
      </c>
      <c r="BA49" s="600"/>
      <c r="BB49" s="600" t="s">
        <v>16</v>
      </c>
      <c r="BC49" s="600"/>
      <c r="BD49" s="600" t="s">
        <v>67</v>
      </c>
      <c r="BE49" s="600"/>
      <c r="BF49" s="600" t="s">
        <v>20</v>
      </c>
      <c r="BG49" s="600"/>
      <c r="BH49" s="600" t="s">
        <v>68</v>
      </c>
      <c r="BI49" s="600"/>
      <c r="BK49" s="658" t="s">
        <v>108</v>
      </c>
      <c r="BL49" s="326"/>
      <c r="BM49" s="659">
        <f>SUM(AL50:BI50)</f>
        <v>3</v>
      </c>
      <c r="BN49" s="660"/>
      <c r="BO49" s="661"/>
      <c r="BP49" s="327" t="s">
        <v>107</v>
      </c>
      <c r="BQ49" s="328"/>
      <c r="BR49" s="326"/>
      <c r="BS49" s="665"/>
      <c r="BT49" s="666"/>
      <c r="BU49" s="667"/>
      <c r="BV49" s="164"/>
      <c r="BW49" s="655"/>
      <c r="BX49" s="656"/>
      <c r="BY49" s="656"/>
      <c r="BZ49" s="656"/>
      <c r="CA49" s="656"/>
      <c r="CB49" s="656"/>
      <c r="CC49" s="656"/>
      <c r="CD49" s="656"/>
      <c r="CE49" s="656"/>
      <c r="CF49" s="656"/>
      <c r="CG49" s="656"/>
      <c r="CH49" s="657"/>
    </row>
    <row r="50" spans="2:86" ht="22.5" customHeight="1">
      <c r="B50" s="486">
        <v>204</v>
      </c>
      <c r="C50" s="606"/>
      <c r="D50" s="317" t="s">
        <v>508</v>
      </c>
      <c r="E50" s="317"/>
      <c r="F50" s="317"/>
      <c r="G50" s="317"/>
      <c r="H50" s="317"/>
      <c r="I50" s="317"/>
      <c r="J50" s="914">
        <v>4</v>
      </c>
      <c r="K50" s="914"/>
      <c r="L50" s="607"/>
      <c r="M50" s="607"/>
      <c r="N50" s="607"/>
      <c r="O50" s="607"/>
      <c r="P50" s="607"/>
      <c r="Q50" s="607"/>
      <c r="R50" s="607"/>
      <c r="S50" s="209"/>
      <c r="T50" s="607"/>
      <c r="U50" s="607"/>
      <c r="V50" s="607"/>
      <c r="W50" s="607"/>
      <c r="X50" s="608"/>
      <c r="Y50" s="319"/>
      <c r="Z50" s="317"/>
      <c r="AA50" s="317"/>
      <c r="AB50" s="317"/>
      <c r="AC50" s="317"/>
      <c r="AD50" s="317"/>
      <c r="AE50" s="317"/>
      <c r="AF50" s="317"/>
      <c r="AG50" s="317"/>
      <c r="AH50" s="317"/>
      <c r="AI50" s="317"/>
      <c r="AJ50" s="320"/>
      <c r="AL50" s="330">
        <v>2</v>
      </c>
      <c r="AM50" s="330"/>
      <c r="AN50" s="330">
        <v>1</v>
      </c>
      <c r="AO50" s="330"/>
      <c r="AP50" s="330"/>
      <c r="AQ50" s="330"/>
      <c r="AR50" s="330"/>
      <c r="AS50" s="330"/>
      <c r="AT50" s="330"/>
      <c r="AU50" s="330"/>
      <c r="AV50" s="330"/>
      <c r="AW50" s="330"/>
      <c r="AX50" s="330"/>
      <c r="AY50" s="330"/>
      <c r="AZ50" s="330"/>
      <c r="BA50" s="330"/>
      <c r="BB50" s="330"/>
      <c r="BC50" s="330"/>
      <c r="BD50" s="330"/>
      <c r="BE50" s="330"/>
      <c r="BF50" s="330"/>
      <c r="BG50" s="330"/>
      <c r="BH50" s="330"/>
      <c r="BI50" s="330"/>
      <c r="BK50" s="575"/>
      <c r="BL50" s="576"/>
      <c r="BM50" s="662"/>
      <c r="BN50" s="663"/>
      <c r="BO50" s="664"/>
      <c r="BP50" s="652">
        <f>IF(COUNT(AL50:BI50)=0,"",ROUND(AVERAGE(AL50:BI50),1))</f>
        <v>1.5</v>
      </c>
      <c r="BQ50" s="653"/>
      <c r="BR50" s="654"/>
      <c r="BS50" s="668"/>
      <c r="BT50" s="669"/>
      <c r="BU50" s="670"/>
      <c r="BV50" s="164"/>
    </row>
    <row r="51" spans="2:86" ht="22.5" customHeight="1">
      <c r="B51" s="486">
        <v>205</v>
      </c>
      <c r="C51" s="606"/>
      <c r="D51" s="317" t="s">
        <v>509</v>
      </c>
      <c r="E51" s="317"/>
      <c r="F51" s="317"/>
      <c r="G51" s="317"/>
      <c r="H51" s="317"/>
      <c r="I51" s="317"/>
      <c r="J51" s="426">
        <v>5</v>
      </c>
      <c r="K51" s="426"/>
      <c r="L51" s="607"/>
      <c r="M51" s="607"/>
      <c r="N51" s="607"/>
      <c r="O51" s="607"/>
      <c r="P51" s="607"/>
      <c r="Q51" s="607"/>
      <c r="R51" s="607"/>
      <c r="S51" s="209"/>
      <c r="T51" s="607"/>
      <c r="U51" s="607"/>
      <c r="V51" s="607"/>
      <c r="W51" s="607"/>
      <c r="X51" s="608"/>
      <c r="Y51" s="319"/>
      <c r="Z51" s="317"/>
      <c r="AA51" s="317"/>
      <c r="AB51" s="317"/>
      <c r="AC51" s="317"/>
      <c r="AD51" s="317"/>
      <c r="AE51" s="317"/>
      <c r="AF51" s="317"/>
      <c r="AG51" s="317"/>
      <c r="AH51" s="317"/>
      <c r="AI51" s="317"/>
      <c r="AJ51" s="320"/>
      <c r="AQ51" s="169"/>
      <c r="AR51" s="168"/>
      <c r="AS51" s="168"/>
      <c r="AT51" s="168"/>
      <c r="AU51" s="168"/>
      <c r="AV51" s="168"/>
      <c r="AW51" s="169"/>
      <c r="AX51" s="172"/>
      <c r="AY51" s="172"/>
      <c r="AZ51" s="172"/>
      <c r="BA51" s="172"/>
      <c r="BB51" s="168"/>
      <c r="BC51" s="168"/>
      <c r="BD51" s="168"/>
      <c r="BE51" s="168"/>
      <c r="BF51" s="169"/>
      <c r="BG51" s="169"/>
      <c r="BH51" s="169"/>
      <c r="BI51" s="169"/>
      <c r="BW51" s="179" t="s">
        <v>259</v>
      </c>
      <c r="BX51" s="179"/>
      <c r="BY51" s="179"/>
      <c r="BZ51" s="179"/>
      <c r="CA51" s="179"/>
      <c r="CB51" s="179"/>
      <c r="CC51" s="179"/>
      <c r="CD51" s="179"/>
      <c r="CE51" s="179"/>
      <c r="CF51" s="179"/>
      <c r="CG51" s="179"/>
      <c r="CH51" s="179"/>
    </row>
    <row r="52" spans="2:86" ht="22.5" customHeight="1">
      <c r="B52" s="486">
        <v>206</v>
      </c>
      <c r="C52" s="606"/>
      <c r="D52" s="317" t="s">
        <v>510</v>
      </c>
      <c r="E52" s="317"/>
      <c r="F52" s="317"/>
      <c r="G52" s="317"/>
      <c r="H52" s="317"/>
      <c r="I52" s="317"/>
      <c r="J52" s="426">
        <v>5</v>
      </c>
      <c r="K52" s="426"/>
      <c r="L52" s="607" t="s">
        <v>931</v>
      </c>
      <c r="M52" s="607"/>
      <c r="N52" s="607"/>
      <c r="O52" s="607"/>
      <c r="P52" s="607"/>
      <c r="Q52" s="607"/>
      <c r="R52" s="607"/>
      <c r="S52" s="209"/>
      <c r="T52" s="607"/>
      <c r="U52" s="607"/>
      <c r="V52" s="607"/>
      <c r="W52" s="607"/>
      <c r="X52" s="608"/>
      <c r="Y52" s="319" t="s">
        <v>272</v>
      </c>
      <c r="Z52" s="317"/>
      <c r="AA52" s="317"/>
      <c r="AB52" s="317"/>
      <c r="AC52" s="317"/>
      <c r="AD52" s="317" t="s">
        <v>723</v>
      </c>
      <c r="AE52" s="317"/>
      <c r="AF52" s="317"/>
      <c r="AG52" s="317"/>
      <c r="AH52" s="317"/>
      <c r="AI52" s="317"/>
      <c r="AJ52" s="320"/>
      <c r="AL52" s="182" t="s">
        <v>242</v>
      </c>
      <c r="AM52" s="182"/>
      <c r="AN52" s="182"/>
      <c r="AO52" s="182"/>
      <c r="AP52" s="182"/>
      <c r="AQ52" s="182"/>
      <c r="AR52" s="183"/>
      <c r="AS52" s="183"/>
      <c r="AT52" s="183"/>
      <c r="AU52" s="183"/>
      <c r="AV52" s="183"/>
      <c r="AW52" s="183"/>
      <c r="AX52" s="184"/>
      <c r="AY52" s="184"/>
      <c r="AZ52" s="184"/>
      <c r="BA52" s="184"/>
      <c r="BB52" s="185"/>
      <c r="BC52" s="185"/>
      <c r="BD52" s="185"/>
      <c r="BE52" s="185"/>
      <c r="BF52" s="186"/>
      <c r="BG52" s="186"/>
      <c r="BH52" s="186"/>
      <c r="BI52" s="186"/>
      <c r="BJ52" s="163"/>
      <c r="BK52" s="163"/>
      <c r="BL52" s="163"/>
      <c r="BM52" s="163"/>
      <c r="BN52" s="163"/>
      <c r="BO52" s="163"/>
      <c r="BP52" s="163"/>
      <c r="BQ52" s="163"/>
      <c r="BR52" s="163"/>
      <c r="BS52" s="163"/>
      <c r="BT52" s="163"/>
      <c r="BU52" s="163"/>
      <c r="BW52" s="678"/>
      <c r="BX52" s="679"/>
      <c r="BY52" s="679"/>
      <c r="BZ52" s="679"/>
      <c r="CA52" s="679"/>
      <c r="CB52" s="679"/>
      <c r="CC52" s="679"/>
      <c r="CD52" s="679"/>
      <c r="CE52" s="679"/>
      <c r="CF52" s="679"/>
      <c r="CG52" s="679"/>
      <c r="CH52" s="680"/>
    </row>
    <row r="53" spans="2:86" ht="22.5" customHeight="1">
      <c r="B53" s="486">
        <v>207</v>
      </c>
      <c r="C53" s="606"/>
      <c r="D53" s="317" t="s">
        <v>511</v>
      </c>
      <c r="E53" s="317"/>
      <c r="F53" s="317"/>
      <c r="G53" s="317"/>
      <c r="H53" s="317"/>
      <c r="I53" s="317"/>
      <c r="J53" s="426">
        <v>4</v>
      </c>
      <c r="K53" s="426"/>
      <c r="L53" s="607"/>
      <c r="M53" s="607"/>
      <c r="N53" s="607"/>
      <c r="O53" s="607"/>
      <c r="P53" s="607"/>
      <c r="Q53" s="607"/>
      <c r="R53" s="607"/>
      <c r="S53" s="209"/>
      <c r="T53" s="607"/>
      <c r="U53" s="607"/>
      <c r="V53" s="607"/>
      <c r="W53" s="607"/>
      <c r="X53" s="608"/>
      <c r="Y53" s="319"/>
      <c r="Z53" s="317"/>
      <c r="AA53" s="317"/>
      <c r="AB53" s="317"/>
      <c r="AC53" s="317"/>
      <c r="AD53" s="317"/>
      <c r="AE53" s="317"/>
      <c r="AF53" s="317"/>
      <c r="AG53" s="317"/>
      <c r="AH53" s="317"/>
      <c r="AI53" s="317"/>
      <c r="AJ53" s="320"/>
      <c r="AL53" s="671" t="s">
        <v>27</v>
      </c>
      <c r="AM53" s="671"/>
      <c r="AN53" s="671" t="s">
        <v>58</v>
      </c>
      <c r="AO53" s="671"/>
      <c r="AP53" s="671" t="s">
        <v>14</v>
      </c>
      <c r="AQ53" s="671"/>
      <c r="AR53" s="671" t="s">
        <v>22</v>
      </c>
      <c r="AS53" s="671"/>
      <c r="AT53" s="671" t="s">
        <v>1</v>
      </c>
      <c r="AU53" s="671"/>
      <c r="AV53" s="671" t="s">
        <v>18</v>
      </c>
      <c r="AW53" s="671"/>
      <c r="AX53" s="671" t="s">
        <v>28</v>
      </c>
      <c r="AY53" s="671"/>
      <c r="AZ53" s="671" t="s">
        <v>24</v>
      </c>
      <c r="BA53" s="671"/>
      <c r="BB53" s="671" t="s">
        <v>16</v>
      </c>
      <c r="BC53" s="671"/>
      <c r="BD53" s="671" t="s">
        <v>67</v>
      </c>
      <c r="BE53" s="671"/>
      <c r="BF53" s="671" t="s">
        <v>20</v>
      </c>
      <c r="BG53" s="671"/>
      <c r="BH53" s="671" t="s">
        <v>68</v>
      </c>
      <c r="BI53" s="671"/>
      <c r="BK53" s="672" t="s">
        <v>108</v>
      </c>
      <c r="BL53" s="673"/>
      <c r="BM53" s="659">
        <f>SUM(AL54:BI54)</f>
        <v>1</v>
      </c>
      <c r="BN53" s="660"/>
      <c r="BO53" s="661"/>
      <c r="BP53" s="676" t="s">
        <v>107</v>
      </c>
      <c r="BQ53" s="677"/>
      <c r="BR53" s="673"/>
      <c r="BS53" s="665"/>
      <c r="BT53" s="666"/>
      <c r="BU53" s="667"/>
      <c r="BW53" s="681"/>
      <c r="BX53" s="682"/>
      <c r="BY53" s="682"/>
      <c r="BZ53" s="682"/>
      <c r="CA53" s="682"/>
      <c r="CB53" s="682"/>
      <c r="CC53" s="682"/>
      <c r="CD53" s="682"/>
      <c r="CE53" s="682"/>
      <c r="CF53" s="682"/>
      <c r="CG53" s="682"/>
      <c r="CH53" s="683"/>
    </row>
    <row r="54" spans="2:86" ht="22.5" customHeight="1">
      <c r="B54" s="486">
        <v>208</v>
      </c>
      <c r="C54" s="606"/>
      <c r="D54" s="317" t="s">
        <v>512</v>
      </c>
      <c r="E54" s="317"/>
      <c r="F54" s="317"/>
      <c r="G54" s="317"/>
      <c r="H54" s="317"/>
      <c r="I54" s="317"/>
      <c r="J54" s="914">
        <v>4</v>
      </c>
      <c r="K54" s="914"/>
      <c r="L54" s="607"/>
      <c r="M54" s="607"/>
      <c r="N54" s="607"/>
      <c r="O54" s="607"/>
      <c r="P54" s="607"/>
      <c r="Q54" s="607"/>
      <c r="R54" s="607"/>
      <c r="S54" s="209"/>
      <c r="T54" s="607"/>
      <c r="U54" s="607"/>
      <c r="V54" s="607"/>
      <c r="W54" s="607"/>
      <c r="X54" s="608"/>
      <c r="Y54" s="319"/>
      <c r="Z54" s="317"/>
      <c r="AA54" s="317"/>
      <c r="AB54" s="317"/>
      <c r="AC54" s="317"/>
      <c r="AD54" s="317"/>
      <c r="AE54" s="317"/>
      <c r="AF54" s="317"/>
      <c r="AG54" s="317"/>
      <c r="AH54" s="317"/>
      <c r="AI54" s="317"/>
      <c r="AJ54" s="320"/>
      <c r="AL54" s="330">
        <v>0</v>
      </c>
      <c r="AM54" s="330"/>
      <c r="AN54" s="330">
        <v>1</v>
      </c>
      <c r="AO54" s="330"/>
      <c r="AP54" s="330">
        <v>0</v>
      </c>
      <c r="AQ54" s="330"/>
      <c r="AR54" s="330"/>
      <c r="AS54" s="330"/>
      <c r="AT54" s="330"/>
      <c r="AU54" s="330"/>
      <c r="AV54" s="330"/>
      <c r="AW54" s="330"/>
      <c r="AX54" s="330"/>
      <c r="AY54" s="330"/>
      <c r="AZ54" s="330"/>
      <c r="BA54" s="330"/>
      <c r="BB54" s="330"/>
      <c r="BC54" s="330"/>
      <c r="BD54" s="330"/>
      <c r="BE54" s="330"/>
      <c r="BF54" s="330"/>
      <c r="BG54" s="330"/>
      <c r="BH54" s="330"/>
      <c r="BI54" s="330"/>
      <c r="BK54" s="674"/>
      <c r="BL54" s="675"/>
      <c r="BM54" s="662"/>
      <c r="BN54" s="663"/>
      <c r="BO54" s="664"/>
      <c r="BP54" s="652">
        <f>IF(COUNT(AL54:BI54)=0,"",ROUND(AVERAGE(AL54:BI54),1))</f>
        <v>0.3</v>
      </c>
      <c r="BQ54" s="653"/>
      <c r="BR54" s="654"/>
      <c r="BS54" s="668"/>
      <c r="BT54" s="669"/>
      <c r="BU54" s="670"/>
      <c r="BW54" s="681"/>
      <c r="BX54" s="682"/>
      <c r="BY54" s="682"/>
      <c r="BZ54" s="682"/>
      <c r="CA54" s="682"/>
      <c r="CB54" s="682"/>
      <c r="CC54" s="682"/>
      <c r="CD54" s="682"/>
      <c r="CE54" s="682"/>
      <c r="CF54" s="682"/>
      <c r="CG54" s="682"/>
      <c r="CH54" s="683"/>
    </row>
    <row r="55" spans="2:86" ht="22.5" customHeight="1">
      <c r="B55" s="486">
        <v>209</v>
      </c>
      <c r="C55" s="606"/>
      <c r="D55" s="317" t="s">
        <v>513</v>
      </c>
      <c r="E55" s="317"/>
      <c r="F55" s="317"/>
      <c r="G55" s="317"/>
      <c r="H55" s="317"/>
      <c r="I55" s="317"/>
      <c r="J55" s="426">
        <v>4</v>
      </c>
      <c r="K55" s="426"/>
      <c r="L55" s="607"/>
      <c r="M55" s="607"/>
      <c r="N55" s="607"/>
      <c r="O55" s="607"/>
      <c r="P55" s="607"/>
      <c r="Q55" s="607"/>
      <c r="R55" s="607"/>
      <c r="S55" s="209"/>
      <c r="T55" s="607"/>
      <c r="U55" s="607"/>
      <c r="V55" s="607"/>
      <c r="W55" s="607"/>
      <c r="X55" s="608"/>
      <c r="Y55" s="319"/>
      <c r="Z55" s="317"/>
      <c r="AA55" s="317"/>
      <c r="AB55" s="317"/>
      <c r="AC55" s="317"/>
      <c r="AD55" s="317"/>
      <c r="AE55" s="317"/>
      <c r="AF55" s="317"/>
      <c r="AG55" s="317"/>
      <c r="AH55" s="317"/>
      <c r="AI55" s="317"/>
      <c r="AJ55" s="320"/>
      <c r="AL55" s="173"/>
      <c r="AM55" s="174"/>
      <c r="AN55" s="174"/>
      <c r="AO55" s="174"/>
      <c r="AQ55" s="169"/>
      <c r="AR55" s="168"/>
      <c r="AS55" s="168"/>
      <c r="AT55" s="168"/>
      <c r="AU55" s="168"/>
      <c r="AV55" s="168"/>
      <c r="AW55" s="169"/>
      <c r="AX55" s="172"/>
      <c r="AY55" s="172"/>
      <c r="AZ55" s="172"/>
      <c r="BA55" s="172"/>
      <c r="BB55" s="168"/>
      <c r="BC55" s="168"/>
      <c r="BD55" s="168"/>
      <c r="BE55" s="168"/>
      <c r="BF55" s="169"/>
      <c r="BG55" s="169"/>
      <c r="BH55" s="169"/>
      <c r="BI55" s="169"/>
      <c r="BW55" s="681"/>
      <c r="BX55" s="682"/>
      <c r="BY55" s="682"/>
      <c r="BZ55" s="682"/>
      <c r="CA55" s="682"/>
      <c r="CB55" s="682"/>
      <c r="CC55" s="682"/>
      <c r="CD55" s="682"/>
      <c r="CE55" s="682"/>
      <c r="CF55" s="682"/>
      <c r="CG55" s="682"/>
      <c r="CH55" s="683"/>
    </row>
    <row r="56" spans="2:86" ht="22.5" customHeight="1" thickBot="1">
      <c r="B56" s="622">
        <v>210</v>
      </c>
      <c r="C56" s="623"/>
      <c r="D56" s="624" t="s">
        <v>514</v>
      </c>
      <c r="E56" s="624"/>
      <c r="F56" s="624"/>
      <c r="G56" s="624"/>
      <c r="H56" s="624"/>
      <c r="I56" s="624"/>
      <c r="J56" s="625">
        <v>3</v>
      </c>
      <c r="K56" s="625"/>
      <c r="L56" s="626"/>
      <c r="M56" s="626"/>
      <c r="N56" s="626"/>
      <c r="O56" s="626"/>
      <c r="P56" s="626"/>
      <c r="Q56" s="626"/>
      <c r="R56" s="626"/>
      <c r="S56" s="211"/>
      <c r="T56" s="626"/>
      <c r="U56" s="626"/>
      <c r="V56" s="626"/>
      <c r="W56" s="626"/>
      <c r="X56" s="627"/>
      <c r="Y56" s="628"/>
      <c r="Z56" s="624"/>
      <c r="AA56" s="624"/>
      <c r="AB56" s="624"/>
      <c r="AC56" s="624"/>
      <c r="AD56" s="624"/>
      <c r="AE56" s="624"/>
      <c r="AF56" s="624"/>
      <c r="AG56" s="624"/>
      <c r="AH56" s="624"/>
      <c r="AI56" s="624"/>
      <c r="AJ56" s="629"/>
      <c r="AL56" s="182" t="s">
        <v>243</v>
      </c>
      <c r="AM56" s="182"/>
      <c r="AN56" s="182"/>
      <c r="AO56" s="182"/>
      <c r="AP56" s="182"/>
      <c r="AQ56" s="182"/>
      <c r="AR56" s="183"/>
      <c r="AS56" s="183"/>
      <c r="AT56" s="183"/>
      <c r="AU56" s="183"/>
      <c r="AV56" s="183"/>
      <c r="AW56" s="183"/>
      <c r="AX56" s="179"/>
      <c r="AY56" s="184"/>
      <c r="AZ56" s="184"/>
      <c r="BA56" s="184"/>
      <c r="BB56" s="185"/>
      <c r="BC56" s="185"/>
      <c r="BD56" s="185"/>
      <c r="BE56" s="185"/>
      <c r="BF56" s="186"/>
      <c r="BG56" s="186"/>
      <c r="BH56" s="186"/>
      <c r="BI56" s="186"/>
      <c r="BJ56" s="163"/>
      <c r="BK56" s="163"/>
      <c r="BL56" s="163"/>
      <c r="BM56" s="163"/>
      <c r="BN56" s="163"/>
      <c r="BO56" s="163"/>
      <c r="BP56" s="163"/>
      <c r="BQ56" s="163"/>
      <c r="BR56" s="163"/>
      <c r="BS56" s="163"/>
      <c r="BT56" s="163"/>
      <c r="BU56" s="163"/>
      <c r="BW56" s="681"/>
      <c r="BX56" s="682"/>
      <c r="BY56" s="682"/>
      <c r="BZ56" s="682"/>
      <c r="CA56" s="682"/>
      <c r="CB56" s="682"/>
      <c r="CC56" s="682"/>
      <c r="CD56" s="682"/>
      <c r="CE56" s="682"/>
      <c r="CF56" s="682"/>
      <c r="CG56" s="682"/>
      <c r="CH56" s="683"/>
    </row>
    <row r="57" spans="2:86" ht="22.5" customHeight="1">
      <c r="B57" s="550">
        <v>301</v>
      </c>
      <c r="C57" s="645"/>
      <c r="D57" s="646" t="s">
        <v>515</v>
      </c>
      <c r="E57" s="646"/>
      <c r="F57" s="646"/>
      <c r="G57" s="646"/>
      <c r="H57" s="646"/>
      <c r="I57" s="646"/>
      <c r="J57" s="647">
        <v>3</v>
      </c>
      <c r="K57" s="647"/>
      <c r="L57" s="648"/>
      <c r="M57" s="648"/>
      <c r="N57" s="648"/>
      <c r="O57" s="648"/>
      <c r="P57" s="648"/>
      <c r="Q57" s="648"/>
      <c r="R57" s="648"/>
      <c r="S57" s="212"/>
      <c r="T57" s="648"/>
      <c r="U57" s="648"/>
      <c r="V57" s="648"/>
      <c r="W57" s="648"/>
      <c r="X57" s="649"/>
      <c r="Y57" s="650"/>
      <c r="Z57" s="646"/>
      <c r="AA57" s="646"/>
      <c r="AB57" s="646"/>
      <c r="AC57" s="646"/>
      <c r="AD57" s="646"/>
      <c r="AE57" s="646"/>
      <c r="AF57" s="646"/>
      <c r="AG57" s="646"/>
      <c r="AH57" s="646"/>
      <c r="AI57" s="646"/>
      <c r="AJ57" s="651"/>
      <c r="AL57" s="600" t="s">
        <v>27</v>
      </c>
      <c r="AM57" s="600"/>
      <c r="AN57" s="600" t="s">
        <v>58</v>
      </c>
      <c r="AO57" s="600"/>
      <c r="AP57" s="600" t="s">
        <v>14</v>
      </c>
      <c r="AQ57" s="600"/>
      <c r="AR57" s="600" t="s">
        <v>22</v>
      </c>
      <c r="AS57" s="600"/>
      <c r="AT57" s="600" t="s">
        <v>1</v>
      </c>
      <c r="AU57" s="600"/>
      <c r="AV57" s="600" t="s">
        <v>18</v>
      </c>
      <c r="AW57" s="600"/>
      <c r="AX57" s="600" t="s">
        <v>28</v>
      </c>
      <c r="AY57" s="600"/>
      <c r="AZ57" s="600" t="s">
        <v>24</v>
      </c>
      <c r="BA57" s="600"/>
      <c r="BB57" s="600" t="s">
        <v>16</v>
      </c>
      <c r="BC57" s="600"/>
      <c r="BD57" s="600" t="s">
        <v>67</v>
      </c>
      <c r="BE57" s="600"/>
      <c r="BF57" s="600" t="s">
        <v>20</v>
      </c>
      <c r="BG57" s="600"/>
      <c r="BH57" s="600" t="s">
        <v>68</v>
      </c>
      <c r="BI57" s="600"/>
      <c r="BK57" s="658" t="s">
        <v>108</v>
      </c>
      <c r="BL57" s="326"/>
      <c r="BM57" s="659">
        <f>SUM(AL58:BI58)</f>
        <v>0</v>
      </c>
      <c r="BN57" s="660"/>
      <c r="BO57" s="661"/>
      <c r="BP57" s="327" t="s">
        <v>107</v>
      </c>
      <c r="BQ57" s="328"/>
      <c r="BR57" s="326"/>
      <c r="BS57" s="665"/>
      <c r="BT57" s="666"/>
      <c r="BU57" s="667"/>
      <c r="BW57" s="684"/>
      <c r="BX57" s="685"/>
      <c r="BY57" s="685"/>
      <c r="BZ57" s="685"/>
      <c r="CA57" s="685"/>
      <c r="CB57" s="685"/>
      <c r="CC57" s="685"/>
      <c r="CD57" s="685"/>
      <c r="CE57" s="685"/>
      <c r="CF57" s="685"/>
      <c r="CG57" s="685"/>
      <c r="CH57" s="686"/>
    </row>
    <row r="58" spans="2:86" ht="22.5" customHeight="1">
      <c r="B58" s="486">
        <v>302</v>
      </c>
      <c r="C58" s="606"/>
      <c r="D58" s="317" t="s">
        <v>516</v>
      </c>
      <c r="E58" s="317"/>
      <c r="F58" s="317"/>
      <c r="G58" s="317"/>
      <c r="H58" s="317"/>
      <c r="I58" s="317"/>
      <c r="J58" s="914">
        <v>5</v>
      </c>
      <c r="K58" s="914"/>
      <c r="L58" s="607"/>
      <c r="M58" s="607"/>
      <c r="N58" s="607"/>
      <c r="O58" s="607"/>
      <c r="P58" s="607"/>
      <c r="Q58" s="607"/>
      <c r="R58" s="607"/>
      <c r="S58" s="209"/>
      <c r="T58" s="607"/>
      <c r="U58" s="607"/>
      <c r="V58" s="607"/>
      <c r="W58" s="607"/>
      <c r="X58" s="608"/>
      <c r="Y58" s="319"/>
      <c r="Z58" s="317"/>
      <c r="AA58" s="317"/>
      <c r="AB58" s="317"/>
      <c r="AC58" s="317"/>
      <c r="AD58" s="317"/>
      <c r="AE58" s="317"/>
      <c r="AF58" s="317"/>
      <c r="AG58" s="317"/>
      <c r="AH58" s="317"/>
      <c r="AI58" s="317"/>
      <c r="AJ58" s="320"/>
      <c r="AL58" s="330">
        <v>0</v>
      </c>
      <c r="AM58" s="330"/>
      <c r="AN58" s="330">
        <v>0</v>
      </c>
      <c r="AO58" s="330"/>
      <c r="AP58" s="330">
        <v>0</v>
      </c>
      <c r="AQ58" s="330"/>
      <c r="AR58" s="330"/>
      <c r="AS58" s="330"/>
      <c r="AT58" s="330"/>
      <c r="AU58" s="330"/>
      <c r="AV58" s="330"/>
      <c r="AW58" s="330"/>
      <c r="AX58" s="330"/>
      <c r="AY58" s="330"/>
      <c r="AZ58" s="330"/>
      <c r="BA58" s="330"/>
      <c r="BB58" s="330"/>
      <c r="BC58" s="330"/>
      <c r="BD58" s="330"/>
      <c r="BE58" s="330"/>
      <c r="BF58" s="330"/>
      <c r="BG58" s="330"/>
      <c r="BH58" s="330"/>
      <c r="BI58" s="330"/>
      <c r="BK58" s="575"/>
      <c r="BL58" s="576"/>
      <c r="BM58" s="662"/>
      <c r="BN58" s="663"/>
      <c r="BO58" s="664"/>
      <c r="BP58" s="652">
        <f>IF(COUNT(AL58:BI58)=0,"",ROUND(AVERAGE(AL58:BI58),1))</f>
        <v>0</v>
      </c>
      <c r="BQ58" s="653"/>
      <c r="BR58" s="654"/>
      <c r="BS58" s="668"/>
      <c r="BT58" s="669"/>
      <c r="BU58" s="670"/>
    </row>
    <row r="59" spans="2:86" ht="22.5" customHeight="1">
      <c r="B59" s="486">
        <v>303</v>
      </c>
      <c r="C59" s="606"/>
      <c r="D59" s="915" t="s">
        <v>517</v>
      </c>
      <c r="E59" s="915"/>
      <c r="F59" s="915"/>
      <c r="G59" s="915"/>
      <c r="H59" s="915"/>
      <c r="I59" s="915"/>
      <c r="J59" s="426">
        <v>3</v>
      </c>
      <c r="K59" s="426"/>
      <c r="L59" s="607" t="s">
        <v>930</v>
      </c>
      <c r="M59" s="607"/>
      <c r="N59" s="607"/>
      <c r="O59" s="607"/>
      <c r="P59" s="607"/>
      <c r="Q59" s="607"/>
      <c r="R59" s="607"/>
      <c r="S59" s="209"/>
      <c r="T59" s="607"/>
      <c r="U59" s="607"/>
      <c r="V59" s="607"/>
      <c r="W59" s="607"/>
      <c r="X59" s="608"/>
      <c r="Y59" s="319"/>
      <c r="Z59" s="317"/>
      <c r="AA59" s="317"/>
      <c r="AB59" s="317"/>
      <c r="AC59" s="317"/>
      <c r="AD59" s="317"/>
      <c r="AE59" s="317"/>
      <c r="AF59" s="317"/>
      <c r="AG59" s="317"/>
      <c r="AH59" s="317"/>
      <c r="AI59" s="317"/>
      <c r="AJ59" s="320"/>
      <c r="AY59" s="172"/>
      <c r="AZ59" s="172"/>
      <c r="BA59" s="172"/>
      <c r="BB59" s="168"/>
      <c r="BC59" s="168"/>
      <c r="BD59" s="168"/>
      <c r="BE59" s="168"/>
      <c r="BF59" s="169"/>
      <c r="BG59" s="169"/>
      <c r="BH59" s="169"/>
      <c r="BI59" s="169"/>
      <c r="BW59" s="179" t="s">
        <v>259</v>
      </c>
      <c r="BX59" s="179"/>
      <c r="BY59" s="179"/>
      <c r="BZ59" s="179"/>
      <c r="CA59" s="179"/>
      <c r="CB59" s="179"/>
      <c r="CC59" s="179"/>
      <c r="CD59" s="179"/>
      <c r="CE59" s="179"/>
      <c r="CF59" s="179"/>
      <c r="CG59" s="179"/>
      <c r="CH59" s="179"/>
    </row>
    <row r="60" spans="2:86" ht="22.5" customHeight="1">
      <c r="B60" s="486">
        <v>304</v>
      </c>
      <c r="C60" s="606"/>
      <c r="D60" s="317" t="s">
        <v>518</v>
      </c>
      <c r="E60" s="317"/>
      <c r="F60" s="317"/>
      <c r="G60" s="317"/>
      <c r="H60" s="317"/>
      <c r="I60" s="317"/>
      <c r="J60" s="426">
        <v>3</v>
      </c>
      <c r="K60" s="426"/>
      <c r="L60" s="607"/>
      <c r="M60" s="607"/>
      <c r="N60" s="607"/>
      <c r="O60" s="607"/>
      <c r="P60" s="607"/>
      <c r="Q60" s="607"/>
      <c r="R60" s="607"/>
      <c r="S60" s="209"/>
      <c r="T60" s="607"/>
      <c r="U60" s="607"/>
      <c r="V60" s="607"/>
      <c r="W60" s="607"/>
      <c r="X60" s="608"/>
      <c r="Y60" s="319"/>
      <c r="Z60" s="317"/>
      <c r="AA60" s="317"/>
      <c r="AB60" s="317"/>
      <c r="AC60" s="317"/>
      <c r="AD60" s="317"/>
      <c r="AE60" s="317"/>
      <c r="AF60" s="317"/>
      <c r="AG60" s="317"/>
      <c r="AH60" s="317"/>
      <c r="AI60" s="317"/>
      <c r="AJ60" s="320"/>
      <c r="AL60" s="182" t="s">
        <v>231</v>
      </c>
      <c r="AM60" s="182"/>
      <c r="AN60" s="182"/>
      <c r="AO60" s="182"/>
      <c r="AP60" s="182"/>
      <c r="AQ60" s="182"/>
      <c r="AR60" s="183"/>
      <c r="AS60" s="183"/>
      <c r="AT60" s="183"/>
      <c r="AU60" s="183"/>
      <c r="AV60" s="183"/>
      <c r="AW60" s="183"/>
      <c r="AX60" s="184"/>
      <c r="AY60" s="184"/>
      <c r="AZ60" s="184"/>
      <c r="BA60" s="184"/>
      <c r="BB60" s="185"/>
      <c r="BC60" s="185"/>
      <c r="BD60" s="185"/>
      <c r="BE60" s="185"/>
      <c r="BF60" s="186"/>
      <c r="BG60" s="186"/>
      <c r="BH60" s="186"/>
      <c r="BI60" s="186"/>
      <c r="BJ60" s="163"/>
      <c r="BK60" s="163"/>
      <c r="BL60" s="163"/>
      <c r="BM60" s="163"/>
      <c r="BN60" s="163"/>
      <c r="BO60" s="163"/>
      <c r="BP60" s="163"/>
      <c r="BQ60" s="163"/>
      <c r="BR60" s="163"/>
      <c r="BS60" s="163"/>
      <c r="BT60" s="163"/>
      <c r="BU60" s="163"/>
      <c r="BW60" s="687"/>
      <c r="BX60" s="688"/>
      <c r="BY60" s="688"/>
      <c r="BZ60" s="688"/>
      <c r="CA60" s="688"/>
      <c r="CB60" s="688"/>
      <c r="CC60" s="688"/>
      <c r="CD60" s="688"/>
      <c r="CE60" s="688"/>
      <c r="CF60" s="688"/>
      <c r="CG60" s="688"/>
      <c r="CH60" s="689"/>
    </row>
    <row r="61" spans="2:86" ht="22.5" customHeight="1">
      <c r="B61" s="486">
        <v>305</v>
      </c>
      <c r="C61" s="606"/>
      <c r="D61" s="317" t="s">
        <v>519</v>
      </c>
      <c r="E61" s="317"/>
      <c r="F61" s="317"/>
      <c r="G61" s="317"/>
      <c r="H61" s="317"/>
      <c r="I61" s="317"/>
      <c r="J61" s="426">
        <v>5</v>
      </c>
      <c r="K61" s="426"/>
      <c r="L61" s="607"/>
      <c r="M61" s="607"/>
      <c r="N61" s="607"/>
      <c r="O61" s="607"/>
      <c r="P61" s="607"/>
      <c r="Q61" s="607"/>
      <c r="R61" s="607"/>
      <c r="S61" s="209"/>
      <c r="T61" s="607"/>
      <c r="U61" s="607"/>
      <c r="V61" s="607"/>
      <c r="W61" s="607"/>
      <c r="X61" s="608"/>
      <c r="Y61" s="319" t="s">
        <v>272</v>
      </c>
      <c r="Z61" s="317"/>
      <c r="AA61" s="317"/>
      <c r="AB61" s="317"/>
      <c r="AC61" s="317"/>
      <c r="AD61" s="317" t="s">
        <v>723</v>
      </c>
      <c r="AE61" s="317"/>
      <c r="AF61" s="317"/>
      <c r="AG61" s="317"/>
      <c r="AH61" s="317"/>
      <c r="AI61" s="317"/>
      <c r="AJ61" s="320"/>
      <c r="AL61" s="600" t="s">
        <v>27</v>
      </c>
      <c r="AM61" s="600"/>
      <c r="AN61" s="600" t="s">
        <v>58</v>
      </c>
      <c r="AO61" s="600"/>
      <c r="AP61" s="600" t="s">
        <v>14</v>
      </c>
      <c r="AQ61" s="600"/>
      <c r="AR61" s="600" t="s">
        <v>22</v>
      </c>
      <c r="AS61" s="600"/>
      <c r="AT61" s="600" t="s">
        <v>1</v>
      </c>
      <c r="AU61" s="600"/>
      <c r="AV61" s="600" t="s">
        <v>18</v>
      </c>
      <c r="AW61" s="600"/>
      <c r="AX61" s="600" t="s">
        <v>28</v>
      </c>
      <c r="AY61" s="600"/>
      <c r="AZ61" s="600" t="s">
        <v>24</v>
      </c>
      <c r="BA61" s="600"/>
      <c r="BB61" s="600" t="s">
        <v>16</v>
      </c>
      <c r="BC61" s="600"/>
      <c r="BD61" s="600" t="s">
        <v>67</v>
      </c>
      <c r="BE61" s="600"/>
      <c r="BF61" s="600" t="s">
        <v>20</v>
      </c>
      <c r="BG61" s="600"/>
      <c r="BH61" s="600" t="s">
        <v>68</v>
      </c>
      <c r="BI61" s="600"/>
      <c r="BK61" s="658" t="s">
        <v>108</v>
      </c>
      <c r="BL61" s="326"/>
      <c r="BM61" s="699">
        <f>SUM(AL62:BI62)</f>
        <v>0</v>
      </c>
      <c r="BN61" s="700"/>
      <c r="BO61" s="701"/>
      <c r="BP61" s="327" t="s">
        <v>107</v>
      </c>
      <c r="BQ61" s="328"/>
      <c r="BR61" s="326"/>
      <c r="BS61" s="665"/>
      <c r="BT61" s="666"/>
      <c r="BU61" s="667"/>
      <c r="BW61" s="690"/>
      <c r="BX61" s="691"/>
      <c r="BY61" s="691"/>
      <c r="BZ61" s="691"/>
      <c r="CA61" s="691"/>
      <c r="CB61" s="691"/>
      <c r="CC61" s="691"/>
      <c r="CD61" s="691"/>
      <c r="CE61" s="691"/>
      <c r="CF61" s="691"/>
      <c r="CG61" s="691"/>
      <c r="CH61" s="692"/>
    </row>
    <row r="62" spans="2:86" ht="22.5" customHeight="1">
      <c r="B62" s="486">
        <v>306</v>
      </c>
      <c r="C62" s="606"/>
      <c r="D62" s="317" t="s">
        <v>938</v>
      </c>
      <c r="E62" s="317"/>
      <c r="F62" s="317"/>
      <c r="G62" s="317"/>
      <c r="H62" s="317"/>
      <c r="I62" s="317"/>
      <c r="J62" s="426">
        <v>4</v>
      </c>
      <c r="K62" s="426"/>
      <c r="L62" s="607"/>
      <c r="M62" s="607"/>
      <c r="N62" s="607"/>
      <c r="O62" s="607"/>
      <c r="P62" s="607"/>
      <c r="Q62" s="607"/>
      <c r="R62" s="607"/>
      <c r="S62" s="209"/>
      <c r="T62" s="607"/>
      <c r="U62" s="607"/>
      <c r="V62" s="607"/>
      <c r="W62" s="607"/>
      <c r="X62" s="608"/>
      <c r="Y62" s="319"/>
      <c r="Z62" s="317"/>
      <c r="AA62" s="317"/>
      <c r="AB62" s="317"/>
      <c r="AC62" s="317"/>
      <c r="AD62" s="317"/>
      <c r="AE62" s="317"/>
      <c r="AF62" s="317"/>
      <c r="AG62" s="317"/>
      <c r="AH62" s="317"/>
      <c r="AI62" s="317"/>
      <c r="AJ62" s="320"/>
      <c r="AL62" s="330"/>
      <c r="AM62" s="330"/>
      <c r="AN62" s="330"/>
      <c r="AO62" s="330"/>
      <c r="AP62" s="330"/>
      <c r="AQ62" s="330"/>
      <c r="AR62" s="330"/>
      <c r="AS62" s="330"/>
      <c r="AT62" s="330"/>
      <c r="AU62" s="330"/>
      <c r="AV62" s="330"/>
      <c r="AW62" s="330"/>
      <c r="AX62" s="330"/>
      <c r="AY62" s="330"/>
      <c r="AZ62" s="330"/>
      <c r="BA62" s="330"/>
      <c r="BB62" s="330"/>
      <c r="BC62" s="330"/>
      <c r="BD62" s="330"/>
      <c r="BE62" s="330"/>
      <c r="BF62" s="330"/>
      <c r="BG62" s="330"/>
      <c r="BH62" s="330"/>
      <c r="BI62" s="330"/>
      <c r="BK62" s="575"/>
      <c r="BL62" s="576"/>
      <c r="BM62" s="702"/>
      <c r="BN62" s="703"/>
      <c r="BO62" s="704"/>
      <c r="BP62" s="696" t="str">
        <f>IF(COUNT(AL62:BI62)=0,"",ROUND(AVERAGE(AL62:BI62),1))</f>
        <v/>
      </c>
      <c r="BQ62" s="697"/>
      <c r="BR62" s="698"/>
      <c r="BS62" s="668"/>
      <c r="BT62" s="669"/>
      <c r="BU62" s="670"/>
      <c r="BW62" s="690"/>
      <c r="BX62" s="691"/>
      <c r="BY62" s="691"/>
      <c r="BZ62" s="691"/>
      <c r="CA62" s="691"/>
      <c r="CB62" s="691"/>
      <c r="CC62" s="691"/>
      <c r="CD62" s="691"/>
      <c r="CE62" s="691"/>
      <c r="CF62" s="691"/>
      <c r="CG62" s="691"/>
      <c r="CH62" s="692"/>
    </row>
    <row r="63" spans="2:86" ht="22.5" customHeight="1">
      <c r="B63" s="486">
        <v>307</v>
      </c>
      <c r="C63" s="606"/>
      <c r="D63" s="317" t="s">
        <v>520</v>
      </c>
      <c r="E63" s="317"/>
      <c r="F63" s="317"/>
      <c r="G63" s="317"/>
      <c r="H63" s="317"/>
      <c r="I63" s="317"/>
      <c r="J63" s="426">
        <v>3</v>
      </c>
      <c r="K63" s="426"/>
      <c r="L63" s="607"/>
      <c r="M63" s="607"/>
      <c r="N63" s="607"/>
      <c r="O63" s="607"/>
      <c r="P63" s="607"/>
      <c r="Q63" s="607"/>
      <c r="R63" s="607"/>
      <c r="S63" s="209"/>
      <c r="T63" s="607"/>
      <c r="U63" s="607"/>
      <c r="V63" s="607"/>
      <c r="W63" s="607"/>
      <c r="X63" s="608"/>
      <c r="Y63" s="319"/>
      <c r="Z63" s="317"/>
      <c r="AA63" s="317"/>
      <c r="AB63" s="317"/>
      <c r="AC63" s="317"/>
      <c r="AD63" s="317"/>
      <c r="AE63" s="317"/>
      <c r="AF63" s="317"/>
      <c r="AG63" s="317"/>
      <c r="AH63" s="317"/>
      <c r="AI63" s="317"/>
      <c r="AJ63" s="320"/>
      <c r="AY63" s="172"/>
      <c r="AZ63" s="172"/>
      <c r="BA63" s="172"/>
      <c r="BB63" s="168"/>
      <c r="BC63" s="168"/>
      <c r="BD63" s="168"/>
      <c r="BE63" s="168"/>
      <c r="BF63" s="169"/>
      <c r="BG63" s="169"/>
      <c r="BH63" s="169"/>
      <c r="BI63" s="169"/>
      <c r="BW63" s="690"/>
      <c r="BX63" s="691"/>
      <c r="BY63" s="691"/>
      <c r="BZ63" s="691"/>
      <c r="CA63" s="691"/>
      <c r="CB63" s="691"/>
      <c r="CC63" s="691"/>
      <c r="CD63" s="691"/>
      <c r="CE63" s="691"/>
      <c r="CF63" s="691"/>
      <c r="CG63" s="691"/>
      <c r="CH63" s="692"/>
    </row>
    <row r="64" spans="2:86" ht="22.5" customHeight="1">
      <c r="B64" s="486">
        <v>308</v>
      </c>
      <c r="C64" s="606"/>
      <c r="D64" s="916" t="s">
        <v>521</v>
      </c>
      <c r="E64" s="916"/>
      <c r="F64" s="916"/>
      <c r="G64" s="916"/>
      <c r="H64" s="916"/>
      <c r="I64" s="916"/>
      <c r="J64" s="426">
        <v>3</v>
      </c>
      <c r="K64" s="426"/>
      <c r="L64" s="607" t="s">
        <v>774</v>
      </c>
      <c r="M64" s="607"/>
      <c r="N64" s="607"/>
      <c r="O64" s="607"/>
      <c r="P64" s="607"/>
      <c r="Q64" s="607"/>
      <c r="R64" s="607"/>
      <c r="S64" s="209"/>
      <c r="T64" s="607"/>
      <c r="U64" s="607"/>
      <c r="V64" s="607"/>
      <c r="W64" s="607"/>
      <c r="X64" s="608"/>
      <c r="Y64" s="319"/>
      <c r="Z64" s="317"/>
      <c r="AA64" s="317"/>
      <c r="AB64" s="317"/>
      <c r="AC64" s="317"/>
      <c r="AD64" s="317"/>
      <c r="AE64" s="317"/>
      <c r="AF64" s="317"/>
      <c r="AG64" s="317"/>
      <c r="AH64" s="317"/>
      <c r="AI64" s="317"/>
      <c r="AJ64" s="320"/>
      <c r="AL64" s="182" t="s">
        <v>230</v>
      </c>
      <c r="AM64" s="182"/>
      <c r="AN64" s="182"/>
      <c r="AO64" s="182"/>
      <c r="AP64" s="182"/>
      <c r="AQ64" s="182"/>
      <c r="AR64" s="183"/>
      <c r="AS64" s="183"/>
      <c r="AT64" s="183"/>
      <c r="AU64" s="183"/>
      <c r="AV64" s="183"/>
      <c r="AW64" s="183"/>
      <c r="AX64" s="179"/>
      <c r="AY64" s="184"/>
      <c r="AZ64" s="184"/>
      <c r="BA64" s="184"/>
      <c r="BB64" s="185"/>
      <c r="BC64" s="185"/>
      <c r="BD64" s="185"/>
      <c r="BE64" s="185"/>
      <c r="BF64" s="186"/>
      <c r="BG64" s="186"/>
      <c r="BH64" s="186"/>
      <c r="BI64" s="186"/>
      <c r="BJ64" s="163"/>
      <c r="BK64" s="163"/>
      <c r="BL64" s="163"/>
      <c r="BM64" s="163"/>
      <c r="BN64" s="163"/>
      <c r="BO64" s="163"/>
      <c r="BP64" s="163"/>
      <c r="BQ64" s="163"/>
      <c r="BR64" s="163"/>
      <c r="BS64" s="163"/>
      <c r="BT64" s="163"/>
      <c r="BU64" s="163"/>
      <c r="BW64" s="690"/>
      <c r="BX64" s="691"/>
      <c r="BY64" s="691"/>
      <c r="BZ64" s="691"/>
      <c r="CA64" s="691"/>
      <c r="CB64" s="691"/>
      <c r="CC64" s="691"/>
      <c r="CD64" s="691"/>
      <c r="CE64" s="691"/>
      <c r="CF64" s="691"/>
      <c r="CG64" s="691"/>
      <c r="CH64" s="692"/>
    </row>
    <row r="65" spans="2:86" ht="22.5" customHeight="1">
      <c r="B65" s="486">
        <v>309</v>
      </c>
      <c r="C65" s="606"/>
      <c r="D65" s="317" t="s">
        <v>761</v>
      </c>
      <c r="E65" s="317"/>
      <c r="F65" s="317"/>
      <c r="G65" s="317"/>
      <c r="H65" s="317"/>
      <c r="I65" s="317"/>
      <c r="J65" s="426">
        <v>5</v>
      </c>
      <c r="K65" s="426"/>
      <c r="L65" s="607"/>
      <c r="M65" s="607"/>
      <c r="N65" s="607"/>
      <c r="O65" s="607"/>
      <c r="P65" s="607"/>
      <c r="Q65" s="607"/>
      <c r="R65" s="607"/>
      <c r="S65" s="209"/>
      <c r="T65" s="607"/>
      <c r="U65" s="607"/>
      <c r="V65" s="607"/>
      <c r="W65" s="607"/>
      <c r="X65" s="608"/>
      <c r="Y65" s="319"/>
      <c r="Z65" s="317"/>
      <c r="AA65" s="317"/>
      <c r="AB65" s="317"/>
      <c r="AC65" s="317"/>
      <c r="AD65" s="317"/>
      <c r="AE65" s="317"/>
      <c r="AF65" s="317"/>
      <c r="AG65" s="317"/>
      <c r="AH65" s="317"/>
      <c r="AI65" s="317"/>
      <c r="AJ65" s="320"/>
      <c r="AL65" s="600" t="s">
        <v>27</v>
      </c>
      <c r="AM65" s="600"/>
      <c r="AN65" s="600" t="s">
        <v>58</v>
      </c>
      <c r="AO65" s="600"/>
      <c r="AP65" s="600" t="s">
        <v>14</v>
      </c>
      <c r="AQ65" s="600"/>
      <c r="AR65" s="600" t="s">
        <v>22</v>
      </c>
      <c r="AS65" s="600"/>
      <c r="AT65" s="600" t="s">
        <v>1</v>
      </c>
      <c r="AU65" s="600"/>
      <c r="AV65" s="600" t="s">
        <v>18</v>
      </c>
      <c r="AW65" s="600"/>
      <c r="AX65" s="600" t="s">
        <v>28</v>
      </c>
      <c r="AY65" s="600"/>
      <c r="AZ65" s="600" t="s">
        <v>24</v>
      </c>
      <c r="BA65" s="600"/>
      <c r="BB65" s="600" t="s">
        <v>16</v>
      </c>
      <c r="BC65" s="600"/>
      <c r="BD65" s="600" t="s">
        <v>67</v>
      </c>
      <c r="BE65" s="600"/>
      <c r="BF65" s="600" t="s">
        <v>20</v>
      </c>
      <c r="BG65" s="600"/>
      <c r="BH65" s="600" t="s">
        <v>68</v>
      </c>
      <c r="BI65" s="600"/>
      <c r="BK65" s="658" t="s">
        <v>108</v>
      </c>
      <c r="BL65" s="326"/>
      <c r="BM65" s="699">
        <f>SUM(AL66:BI66)</f>
        <v>0</v>
      </c>
      <c r="BN65" s="700"/>
      <c r="BO65" s="701"/>
      <c r="BP65" s="327" t="s">
        <v>107</v>
      </c>
      <c r="BQ65" s="328"/>
      <c r="BR65" s="326"/>
      <c r="BS65" s="665"/>
      <c r="BT65" s="666"/>
      <c r="BU65" s="667"/>
      <c r="BW65" s="690"/>
      <c r="BX65" s="691"/>
      <c r="BY65" s="691"/>
      <c r="BZ65" s="691"/>
      <c r="CA65" s="691"/>
      <c r="CB65" s="691"/>
      <c r="CC65" s="691"/>
      <c r="CD65" s="691"/>
      <c r="CE65" s="691"/>
      <c r="CF65" s="691"/>
      <c r="CG65" s="691"/>
      <c r="CH65" s="692"/>
    </row>
    <row r="66" spans="2:86" ht="22.5" customHeight="1">
      <c r="B66" s="575">
        <v>310</v>
      </c>
      <c r="C66" s="705"/>
      <c r="D66" s="534" t="s">
        <v>522</v>
      </c>
      <c r="E66" s="534"/>
      <c r="F66" s="534"/>
      <c r="G66" s="534"/>
      <c r="H66" s="534"/>
      <c r="I66" s="534"/>
      <c r="J66" s="706">
        <v>3</v>
      </c>
      <c r="K66" s="706"/>
      <c r="L66" s="656"/>
      <c r="M66" s="656"/>
      <c r="N66" s="656"/>
      <c r="O66" s="656"/>
      <c r="P66" s="656"/>
      <c r="Q66" s="656"/>
      <c r="R66" s="656"/>
      <c r="S66" s="213"/>
      <c r="T66" s="656"/>
      <c r="U66" s="656"/>
      <c r="V66" s="656"/>
      <c r="W66" s="656"/>
      <c r="X66" s="657"/>
      <c r="Y66" s="707"/>
      <c r="Z66" s="534"/>
      <c r="AA66" s="534"/>
      <c r="AB66" s="534"/>
      <c r="AC66" s="534"/>
      <c r="AD66" s="534"/>
      <c r="AE66" s="534"/>
      <c r="AF66" s="534"/>
      <c r="AG66" s="534"/>
      <c r="AH66" s="534"/>
      <c r="AI66" s="534"/>
      <c r="AJ66" s="535"/>
      <c r="AL66" s="330"/>
      <c r="AM66" s="330"/>
      <c r="AN66" s="330"/>
      <c r="AO66" s="330"/>
      <c r="AP66" s="330"/>
      <c r="AQ66" s="330"/>
      <c r="AR66" s="330"/>
      <c r="AS66" s="330"/>
      <c r="AT66" s="330"/>
      <c r="AU66" s="330"/>
      <c r="AV66" s="330"/>
      <c r="AW66" s="330"/>
      <c r="AX66" s="330"/>
      <c r="AY66" s="330"/>
      <c r="AZ66" s="330"/>
      <c r="BA66" s="330"/>
      <c r="BB66" s="330"/>
      <c r="BC66" s="330"/>
      <c r="BD66" s="330"/>
      <c r="BE66" s="330"/>
      <c r="BF66" s="330"/>
      <c r="BG66" s="330"/>
      <c r="BH66" s="330"/>
      <c r="BI66" s="330"/>
      <c r="BK66" s="575"/>
      <c r="BL66" s="576"/>
      <c r="BM66" s="702"/>
      <c r="BN66" s="703"/>
      <c r="BO66" s="704"/>
      <c r="BP66" s="696" t="str">
        <f>IF(COUNT(AL66:BI66)=0,"",ROUND(AVERAGE(AL66:BI66),1))</f>
        <v/>
      </c>
      <c r="BQ66" s="697"/>
      <c r="BR66" s="698"/>
      <c r="BS66" s="668"/>
      <c r="BT66" s="669"/>
      <c r="BU66" s="670"/>
      <c r="BW66" s="693"/>
      <c r="BX66" s="694"/>
      <c r="BY66" s="694"/>
      <c r="BZ66" s="694"/>
      <c r="CA66" s="694"/>
      <c r="CB66" s="694"/>
      <c r="CC66" s="694"/>
      <c r="CD66" s="694"/>
      <c r="CE66" s="694"/>
      <c r="CF66" s="694"/>
      <c r="CG66" s="694"/>
      <c r="CH66" s="695"/>
    </row>
    <row r="68" spans="2:86" ht="22.5" customHeight="1">
      <c r="B68" s="181" t="s">
        <v>31</v>
      </c>
      <c r="C68" s="179"/>
      <c r="D68" s="179"/>
      <c r="E68" s="179"/>
      <c r="F68" s="179"/>
      <c r="G68" s="179"/>
      <c r="H68" s="179"/>
      <c r="I68" s="179"/>
      <c r="J68" s="179"/>
      <c r="K68" s="179"/>
      <c r="L68" s="179"/>
      <c r="M68" s="179"/>
      <c r="N68" s="179"/>
      <c r="O68" s="179"/>
      <c r="P68" s="179"/>
      <c r="Q68" s="179"/>
      <c r="R68" s="179"/>
      <c r="S68" s="179"/>
      <c r="T68" s="179"/>
      <c r="U68" s="179"/>
      <c r="V68" s="179"/>
      <c r="W68" s="179"/>
      <c r="X68" s="179"/>
      <c r="Y68" s="179"/>
      <c r="Z68" s="179"/>
      <c r="AA68" s="179"/>
    </row>
    <row r="69" spans="2:86" ht="22.5" customHeight="1">
      <c r="B69" s="406" t="s">
        <v>0</v>
      </c>
      <c r="C69" s="406"/>
      <c r="D69" s="406"/>
      <c r="E69" s="406"/>
      <c r="F69" s="406"/>
      <c r="G69" s="406"/>
      <c r="H69" s="406"/>
      <c r="I69" s="406"/>
      <c r="J69" s="406"/>
      <c r="K69" s="406"/>
      <c r="L69" s="346" t="s">
        <v>30</v>
      </c>
      <c r="M69" s="343"/>
      <c r="N69" s="343"/>
      <c r="O69" s="343"/>
      <c r="P69" s="343"/>
      <c r="Q69" s="343"/>
      <c r="R69" s="343"/>
      <c r="S69" s="343"/>
      <c r="T69" s="343"/>
      <c r="U69" s="343"/>
      <c r="V69" s="343"/>
      <c r="W69" s="343"/>
      <c r="X69" s="343"/>
      <c r="Y69" s="343"/>
      <c r="Z69" s="343"/>
      <c r="AA69" s="345"/>
    </row>
    <row r="70" spans="2:86" ht="22.5" customHeight="1">
      <c r="B70" s="166" t="s">
        <v>228</v>
      </c>
      <c r="C70" s="429" t="s">
        <v>5</v>
      </c>
      <c r="D70" s="429"/>
      <c r="E70" s="429"/>
      <c r="F70" s="430" t="s">
        <v>8</v>
      </c>
      <c r="G70" s="430"/>
      <c r="H70" s="430"/>
      <c r="I70" s="430"/>
      <c r="J70" s="430"/>
      <c r="K70" s="430"/>
      <c r="L70" s="431" t="s">
        <v>12</v>
      </c>
      <c r="M70" s="432"/>
      <c r="N70" s="433" t="s">
        <v>11</v>
      </c>
      <c r="O70" s="434"/>
      <c r="P70" s="435"/>
      <c r="Q70" s="436"/>
      <c r="R70" s="436"/>
      <c r="S70" s="437"/>
      <c r="T70" s="431" t="s">
        <v>12</v>
      </c>
      <c r="U70" s="432"/>
      <c r="V70" s="433"/>
      <c r="W70" s="434"/>
      <c r="X70" s="435"/>
      <c r="Y70" s="436"/>
      <c r="Z70" s="436"/>
      <c r="AA70" s="438"/>
    </row>
    <row r="71" spans="2:86" ht="22.5" customHeight="1">
      <c r="B71" s="166" t="s">
        <v>228</v>
      </c>
      <c r="C71" s="429"/>
      <c r="D71" s="429"/>
      <c r="E71" s="429"/>
      <c r="F71" s="430" t="s">
        <v>7</v>
      </c>
      <c r="G71" s="430"/>
      <c r="H71" s="430"/>
      <c r="I71" s="430"/>
      <c r="J71" s="430"/>
      <c r="K71" s="430"/>
      <c r="L71" s="431" t="s">
        <v>12</v>
      </c>
      <c r="M71" s="432"/>
      <c r="N71" s="433" t="s">
        <v>11</v>
      </c>
      <c r="O71" s="434"/>
      <c r="P71" s="435"/>
      <c r="Q71" s="436"/>
      <c r="R71" s="436"/>
      <c r="S71" s="437"/>
      <c r="T71" s="431" t="s">
        <v>12</v>
      </c>
      <c r="U71" s="432"/>
      <c r="V71" s="433"/>
      <c r="W71" s="434"/>
      <c r="X71" s="435"/>
      <c r="Y71" s="436"/>
      <c r="Z71" s="436"/>
      <c r="AA71" s="438"/>
    </row>
    <row r="72" spans="2:86" ht="22.5" customHeight="1">
      <c r="B72" s="166" t="s">
        <v>228</v>
      </c>
      <c r="C72" s="429"/>
      <c r="D72" s="429"/>
      <c r="E72" s="429"/>
      <c r="F72" s="430" t="s">
        <v>9</v>
      </c>
      <c r="G72" s="430"/>
      <c r="H72" s="430"/>
      <c r="I72" s="430"/>
      <c r="J72" s="430"/>
      <c r="K72" s="430"/>
      <c r="L72" s="431" t="s">
        <v>12</v>
      </c>
      <c r="M72" s="432"/>
      <c r="N72" s="433" t="s">
        <v>15</v>
      </c>
      <c r="O72" s="434"/>
      <c r="P72" s="205"/>
      <c r="Q72" s="465" t="s">
        <v>17</v>
      </c>
      <c r="R72" s="465"/>
      <c r="S72" s="205"/>
      <c r="T72" s="431" t="s">
        <v>13</v>
      </c>
      <c r="U72" s="432"/>
      <c r="V72" s="433" t="s">
        <v>19</v>
      </c>
      <c r="W72" s="434"/>
      <c r="X72" s="206"/>
      <c r="Y72" s="465" t="s">
        <v>21</v>
      </c>
      <c r="Z72" s="465"/>
      <c r="AA72" s="207"/>
    </row>
    <row r="73" spans="2:86" ht="22.5" customHeight="1">
      <c r="B73" s="166" t="s">
        <v>228</v>
      </c>
      <c r="C73" s="429"/>
      <c r="D73" s="429"/>
      <c r="E73" s="429"/>
      <c r="F73" s="430" t="s">
        <v>6</v>
      </c>
      <c r="G73" s="430"/>
      <c r="H73" s="430"/>
      <c r="I73" s="430"/>
      <c r="J73" s="430"/>
      <c r="K73" s="430"/>
      <c r="L73" s="431" t="s">
        <v>12</v>
      </c>
      <c r="M73" s="432"/>
      <c r="N73" s="433" t="s">
        <v>23</v>
      </c>
      <c r="O73" s="434"/>
      <c r="P73" s="435"/>
      <c r="Q73" s="436"/>
      <c r="R73" s="436"/>
      <c r="S73" s="437"/>
      <c r="T73" s="431" t="s">
        <v>13</v>
      </c>
      <c r="U73" s="432"/>
      <c r="V73" s="433" t="s">
        <v>25</v>
      </c>
      <c r="W73" s="434"/>
      <c r="X73" s="435"/>
      <c r="Y73" s="436"/>
      <c r="Z73" s="436"/>
      <c r="AA73" s="438"/>
    </row>
    <row r="74" spans="2:86" ht="22.5" customHeight="1">
      <c r="B74" s="166" t="s">
        <v>228</v>
      </c>
      <c r="C74" s="429"/>
      <c r="D74" s="429"/>
      <c r="E74" s="429"/>
      <c r="F74" s="461"/>
      <c r="G74" s="461"/>
      <c r="H74" s="461"/>
      <c r="I74" s="461"/>
      <c r="J74" s="461"/>
      <c r="K74" s="461"/>
      <c r="L74" s="431" t="s">
        <v>12</v>
      </c>
      <c r="M74" s="432"/>
      <c r="N74" s="433"/>
      <c r="O74" s="434"/>
      <c r="P74" s="435"/>
      <c r="Q74" s="436"/>
      <c r="R74" s="436"/>
      <c r="S74" s="437"/>
      <c r="T74" s="431" t="s">
        <v>12</v>
      </c>
      <c r="U74" s="432"/>
      <c r="V74" s="433"/>
      <c r="W74" s="434"/>
      <c r="X74" s="435"/>
      <c r="Y74" s="436"/>
      <c r="Z74" s="436"/>
      <c r="AA74" s="438"/>
    </row>
    <row r="75" spans="2:86" ht="22.5" customHeight="1">
      <c r="B75" s="166" t="s">
        <v>228</v>
      </c>
      <c r="C75" s="466" t="s">
        <v>10</v>
      </c>
      <c r="D75" s="466"/>
      <c r="E75" s="466"/>
      <c r="F75" s="466"/>
      <c r="G75" s="466"/>
      <c r="H75" s="466"/>
      <c r="I75" s="466"/>
      <c r="J75" s="466"/>
      <c r="K75" s="466"/>
      <c r="L75" s="472" t="s">
        <v>26</v>
      </c>
      <c r="M75" s="472"/>
      <c r="N75" s="472"/>
      <c r="O75" s="472"/>
      <c r="P75" s="217" t="s">
        <v>724</v>
      </c>
      <c r="Q75" s="218" t="s">
        <v>724</v>
      </c>
      <c r="R75" s="218" t="s">
        <v>724</v>
      </c>
      <c r="S75" s="218" t="s">
        <v>724</v>
      </c>
      <c r="T75" s="218">
        <v>5</v>
      </c>
      <c r="U75" s="218">
        <v>6</v>
      </c>
      <c r="V75" s="218">
        <v>7</v>
      </c>
      <c r="W75" s="218">
        <v>8</v>
      </c>
      <c r="X75" s="218">
        <v>9</v>
      </c>
      <c r="Y75" s="218">
        <v>10</v>
      </c>
      <c r="Z75" s="218">
        <v>11</v>
      </c>
      <c r="AA75" s="219">
        <v>12</v>
      </c>
    </row>
    <row r="76" spans="2:86" ht="22.5" customHeight="1">
      <c r="B76" s="166" t="s">
        <v>228</v>
      </c>
      <c r="C76" s="466" t="s">
        <v>2</v>
      </c>
      <c r="D76" s="466"/>
      <c r="E76" s="466"/>
      <c r="F76" s="466"/>
      <c r="G76" s="466"/>
      <c r="H76" s="466"/>
      <c r="I76" s="466"/>
      <c r="J76" s="466"/>
      <c r="K76" s="466"/>
      <c r="L76" s="431" t="s">
        <v>13</v>
      </c>
      <c r="M76" s="432"/>
      <c r="N76" s="433" t="s">
        <v>27</v>
      </c>
      <c r="O76" s="434"/>
      <c r="P76" s="435" t="s">
        <v>267</v>
      </c>
      <c r="Q76" s="436"/>
      <c r="R76" s="436"/>
      <c r="S76" s="437"/>
      <c r="T76" s="431" t="s">
        <v>13</v>
      </c>
      <c r="U76" s="432"/>
      <c r="V76" s="433" t="s">
        <v>29</v>
      </c>
      <c r="W76" s="434"/>
      <c r="X76" s="435"/>
      <c r="Y76" s="436"/>
      <c r="Z76" s="436"/>
      <c r="AA76" s="438"/>
    </row>
    <row r="77" spans="2:86" ht="22.5" customHeight="1">
      <c r="B77" s="166" t="s">
        <v>228</v>
      </c>
      <c r="C77" s="466" t="s">
        <v>3</v>
      </c>
      <c r="D77" s="466"/>
      <c r="E77" s="466"/>
      <c r="F77" s="466"/>
      <c r="G77" s="466"/>
      <c r="H77" s="466"/>
      <c r="I77" s="466"/>
      <c r="J77" s="466"/>
      <c r="K77" s="466"/>
      <c r="L77" s="477" t="s">
        <v>252</v>
      </c>
      <c r="M77" s="477"/>
      <c r="N77" s="477"/>
      <c r="O77" s="477"/>
      <c r="P77" s="435"/>
      <c r="Q77" s="436"/>
      <c r="R77" s="436"/>
      <c r="S77" s="437"/>
      <c r="T77" s="455" t="s">
        <v>253</v>
      </c>
      <c r="U77" s="456"/>
      <c r="V77" s="456"/>
      <c r="W77" s="456"/>
      <c r="X77" s="456"/>
      <c r="Y77" s="456"/>
      <c r="Z77" s="456"/>
      <c r="AA77" s="457"/>
    </row>
    <row r="78" spans="2:86" ht="22.5" customHeight="1">
      <c r="B78" s="166" t="s">
        <v>228</v>
      </c>
      <c r="C78" s="466" t="s">
        <v>126</v>
      </c>
      <c r="D78" s="466"/>
      <c r="E78" s="466"/>
      <c r="F78" s="466"/>
      <c r="G78" s="466"/>
      <c r="H78" s="466"/>
      <c r="I78" s="466"/>
      <c r="J78" s="466"/>
      <c r="K78" s="466"/>
      <c r="L78" s="431" t="s">
        <v>36</v>
      </c>
      <c r="M78" s="432"/>
      <c r="N78" s="433" t="s">
        <v>245</v>
      </c>
      <c r="O78" s="434"/>
      <c r="P78" s="435"/>
      <c r="Q78" s="436"/>
      <c r="R78" s="436"/>
      <c r="S78" s="437"/>
      <c r="T78" s="431" t="s">
        <v>37</v>
      </c>
      <c r="U78" s="432"/>
      <c r="V78" s="433" t="s">
        <v>245</v>
      </c>
      <c r="W78" s="434"/>
      <c r="X78" s="435"/>
      <c r="Y78" s="436"/>
      <c r="Z78" s="436"/>
      <c r="AA78" s="438"/>
    </row>
    <row r="79" spans="2:86" ht="22.5" customHeight="1">
      <c r="B79" s="166" t="s">
        <v>228</v>
      </c>
      <c r="C79" s="466" t="s">
        <v>4</v>
      </c>
      <c r="D79" s="466"/>
      <c r="E79" s="466"/>
      <c r="F79" s="466"/>
      <c r="G79" s="466"/>
      <c r="H79" s="466"/>
      <c r="I79" s="466"/>
      <c r="J79" s="466"/>
      <c r="K79" s="466"/>
      <c r="L79" s="483"/>
      <c r="M79" s="484"/>
      <c r="N79" s="484"/>
      <c r="O79" s="484"/>
      <c r="P79" s="484"/>
      <c r="Q79" s="484"/>
      <c r="R79" s="484"/>
      <c r="S79" s="484"/>
      <c r="T79" s="484"/>
      <c r="U79" s="484"/>
      <c r="V79" s="484"/>
      <c r="W79" s="484"/>
      <c r="X79" s="484"/>
      <c r="Y79" s="484"/>
      <c r="Z79" s="484"/>
      <c r="AA79" s="485"/>
    </row>
    <row r="81" spans="2:63" ht="22.5" customHeight="1">
      <c r="B81" s="179" t="s">
        <v>40</v>
      </c>
      <c r="C81" s="179"/>
      <c r="D81" s="179"/>
      <c r="E81" s="179"/>
      <c r="F81" s="179"/>
      <c r="G81" s="179"/>
      <c r="H81" s="179"/>
      <c r="I81" s="179"/>
      <c r="J81" s="179"/>
      <c r="K81" s="179"/>
      <c r="L81" s="179"/>
      <c r="M81" s="179"/>
      <c r="N81" s="179"/>
      <c r="O81" s="183"/>
      <c r="P81" s="179"/>
      <c r="Q81" s="179"/>
      <c r="R81" s="179"/>
      <c r="S81" s="179"/>
      <c r="T81" s="179"/>
      <c r="U81" s="179"/>
      <c r="V81" s="179"/>
      <c r="W81" s="179"/>
      <c r="X81" s="179"/>
      <c r="Y81" s="179"/>
      <c r="Z81" s="179"/>
      <c r="AA81" s="179"/>
    </row>
    <row r="82" spans="2:63" ht="22.5" customHeight="1">
      <c r="B82" s="342" t="s">
        <v>48</v>
      </c>
      <c r="C82" s="343"/>
      <c r="D82" s="344"/>
      <c r="E82" s="544" t="s">
        <v>49</v>
      </c>
      <c r="F82" s="545"/>
      <c r="G82" s="546"/>
      <c r="H82" s="547" t="s">
        <v>113</v>
      </c>
      <c r="I82" s="548"/>
      <c r="J82" s="548" t="s">
        <v>114</v>
      </c>
      <c r="K82" s="549"/>
      <c r="L82" s="544" t="s">
        <v>116</v>
      </c>
      <c r="M82" s="545"/>
      <c r="N82" s="545"/>
      <c r="O82" s="545"/>
      <c r="P82" s="545"/>
      <c r="Q82" s="545"/>
      <c r="R82" s="545"/>
      <c r="S82" s="545"/>
      <c r="T82" s="545"/>
      <c r="U82" s="545"/>
      <c r="V82" s="545"/>
      <c r="W82" s="545"/>
      <c r="X82" s="545"/>
      <c r="Y82" s="545"/>
      <c r="Z82" s="545"/>
      <c r="AA82" s="546"/>
    </row>
    <row r="83" spans="2:63" ht="22.5" customHeight="1">
      <c r="B83" s="512"/>
      <c r="C83" s="513"/>
      <c r="D83" s="514"/>
      <c r="E83" s="518"/>
      <c r="F83" s="519"/>
      <c r="G83" s="520"/>
      <c r="H83" s="524" t="str" cm="1">
        <f t="array" ref="H83">IF(SUM(COUNTIF(BF3:BF32,{"月給","常時給"}))=0,"",
IF(SUMPRODUCT((BF3:BF32={"月給","常時給"})*(BR3:BR32="●"))/SUM(COUNTIF(BF3:BF32,{"月給","常時給"}))&gt;=35%,"〇","×"))</f>
        <v>×</v>
      </c>
      <c r="I83" s="525"/>
      <c r="J83" s="525" t="str" cm="1">
        <f t="array" ref="J83">IFERROR(
  IF(
    SUMPRODUCT((BF3:BF32={"月給","常時給"})*(BR3:BR32="●"))/
    SUM(COUNTIF(BF3:BF32,{"月給","常時給"}))&gt;=25%,
    "〇",
    "×"
  ),
"")</f>
        <v>×</v>
      </c>
      <c r="K83" s="528"/>
      <c r="L83" s="838"/>
      <c r="M83" s="744"/>
      <c r="N83" s="744"/>
      <c r="O83" s="744"/>
      <c r="P83" s="744"/>
      <c r="Q83" s="744"/>
      <c r="R83" s="744"/>
      <c r="S83" s="744"/>
      <c r="T83" s="744"/>
      <c r="U83" s="744"/>
      <c r="V83" s="744"/>
      <c r="W83" s="744"/>
      <c r="X83" s="744"/>
      <c r="Y83" s="744"/>
      <c r="Z83" s="744"/>
      <c r="AA83" s="745"/>
    </row>
    <row r="84" spans="2:63" ht="22.5" customHeight="1">
      <c r="B84" s="515"/>
      <c r="C84" s="516"/>
      <c r="D84" s="517"/>
      <c r="E84" s="521"/>
      <c r="F84" s="522"/>
      <c r="G84" s="523"/>
      <c r="H84" s="526"/>
      <c r="I84" s="527"/>
      <c r="J84" s="527"/>
      <c r="K84" s="529"/>
      <c r="L84" s="746"/>
      <c r="M84" s="747"/>
      <c r="N84" s="747"/>
      <c r="O84" s="747"/>
      <c r="P84" s="747"/>
      <c r="Q84" s="747"/>
      <c r="R84" s="747"/>
      <c r="S84" s="747"/>
      <c r="T84" s="747"/>
      <c r="U84" s="747"/>
      <c r="V84" s="747"/>
      <c r="W84" s="747"/>
      <c r="X84" s="747"/>
      <c r="Y84" s="747"/>
      <c r="Z84" s="747"/>
      <c r="AA84" s="748"/>
    </row>
    <row r="86" spans="2:63" ht="22.5" customHeight="1">
      <c r="B86" s="725" t="s">
        <v>792</v>
      </c>
      <c r="C86" s="725"/>
      <c r="D86" s="725"/>
      <c r="E86" s="725"/>
      <c r="F86" s="725" t="s">
        <v>793</v>
      </c>
      <c r="G86" s="725"/>
      <c r="H86" s="725"/>
      <c r="I86" s="725"/>
      <c r="J86" s="725" t="s">
        <v>794</v>
      </c>
      <c r="K86" s="725"/>
      <c r="L86" s="725"/>
      <c r="M86" s="725"/>
      <c r="N86" s="729" t="s">
        <v>806</v>
      </c>
      <c r="O86" s="730"/>
      <c r="P86" s="730"/>
      <c r="Q86" s="730"/>
      <c r="R86" s="730"/>
      <c r="S86" s="730"/>
      <c r="T86" s="730"/>
      <c r="U86" s="730"/>
      <c r="V86" s="730"/>
      <c r="W86" s="730"/>
      <c r="X86" s="730"/>
      <c r="Y86" s="730"/>
      <c r="Z86" s="730"/>
      <c r="AA86" s="730"/>
      <c r="AB86" s="730"/>
      <c r="AC86" s="730"/>
      <c r="AD86" s="730"/>
      <c r="AE86" s="730"/>
      <c r="AF86" s="730"/>
      <c r="AG86" s="730"/>
      <c r="AH86" s="730"/>
      <c r="AI86" s="730"/>
      <c r="AJ86" s="730"/>
      <c r="AK86" s="730"/>
      <c r="AL86" s="730"/>
      <c r="AM86" s="730"/>
      <c r="AN86" s="730"/>
      <c r="AO86" s="730"/>
      <c r="AP86" s="730"/>
      <c r="AQ86" s="730"/>
      <c r="AR86" s="730"/>
      <c r="AS86" s="730"/>
      <c r="AT86" s="731"/>
      <c r="AU86" s="725"/>
      <c r="AV86" s="725"/>
      <c r="AW86" s="725"/>
      <c r="AX86" s="725"/>
      <c r="AY86" s="725"/>
      <c r="AZ86" s="725"/>
      <c r="BA86" s="725"/>
      <c r="BB86" s="725"/>
      <c r="BC86" s="725"/>
      <c r="BD86" s="725"/>
      <c r="BE86" s="725"/>
      <c r="BF86" s="725"/>
      <c r="BG86" s="725"/>
      <c r="BH86" s="725"/>
      <c r="BI86" s="725"/>
      <c r="BJ86" s="725"/>
      <c r="BK86" s="725"/>
    </row>
    <row r="87" spans="2:63" ht="22.5" customHeight="1">
      <c r="B87" s="727" t="s">
        <v>795</v>
      </c>
      <c r="C87" s="727"/>
      <c r="D87" s="727"/>
      <c r="E87" s="727"/>
      <c r="F87" s="465" t="s">
        <v>796</v>
      </c>
      <c r="G87" s="465"/>
      <c r="H87" s="465"/>
      <c r="I87" s="465"/>
      <c r="J87" s="726" t="s">
        <v>882</v>
      </c>
      <c r="K87" s="726"/>
      <c r="L87" s="726"/>
      <c r="M87" s="726"/>
      <c r="N87" s="732"/>
      <c r="O87" s="733"/>
      <c r="P87" s="733"/>
      <c r="Q87" s="733"/>
      <c r="R87" s="733"/>
      <c r="S87" s="733"/>
      <c r="T87" s="733"/>
      <c r="U87" s="733"/>
      <c r="V87" s="733"/>
      <c r="W87" s="733"/>
      <c r="X87" s="733"/>
      <c r="Y87" s="733"/>
      <c r="Z87" s="733"/>
      <c r="AA87" s="733"/>
      <c r="AB87" s="733"/>
      <c r="AC87" s="733"/>
      <c r="AD87" s="733"/>
      <c r="AE87" s="733"/>
      <c r="AF87" s="733"/>
      <c r="AG87" s="733"/>
      <c r="AH87" s="733"/>
      <c r="AI87" s="733"/>
      <c r="AJ87" s="733"/>
      <c r="AK87" s="733"/>
      <c r="AL87" s="733"/>
      <c r="AM87" s="733"/>
      <c r="AN87" s="733"/>
      <c r="AO87" s="733"/>
      <c r="AP87" s="733"/>
      <c r="AQ87" s="733"/>
      <c r="AR87" s="733"/>
      <c r="AS87" s="733"/>
      <c r="AT87" s="734"/>
      <c r="AU87" s="726"/>
      <c r="AV87" s="726"/>
      <c r="AW87" s="726"/>
      <c r="AX87" s="726"/>
      <c r="AY87" s="726"/>
      <c r="AZ87" s="726"/>
      <c r="BA87" s="726"/>
      <c r="BB87" s="726"/>
      <c r="BC87" s="726"/>
      <c r="BD87" s="726"/>
      <c r="BE87" s="726"/>
      <c r="BF87" s="726"/>
      <c r="BG87" s="726"/>
      <c r="BH87" s="726"/>
      <c r="BI87" s="726"/>
      <c r="BJ87" s="726"/>
      <c r="BK87" s="726"/>
    </row>
    <row r="88" spans="2:63" ht="22.5" customHeight="1">
      <c r="B88" s="727" t="s">
        <v>804</v>
      </c>
      <c r="C88" s="727"/>
      <c r="D88" s="727"/>
      <c r="E88" s="727"/>
      <c r="F88" s="465" t="s">
        <v>817</v>
      </c>
      <c r="G88" s="465"/>
      <c r="H88" s="465"/>
      <c r="I88" s="465"/>
      <c r="J88" s="726" t="s">
        <v>864</v>
      </c>
      <c r="K88" s="726"/>
      <c r="L88" s="726"/>
      <c r="M88" s="726"/>
      <c r="N88" s="732"/>
      <c r="O88" s="733"/>
      <c r="P88" s="733"/>
      <c r="Q88" s="733"/>
      <c r="R88" s="733"/>
      <c r="S88" s="733"/>
      <c r="T88" s="733"/>
      <c r="U88" s="733"/>
      <c r="V88" s="733"/>
      <c r="W88" s="733"/>
      <c r="X88" s="733"/>
      <c r="Y88" s="733"/>
      <c r="Z88" s="733"/>
      <c r="AA88" s="733"/>
      <c r="AB88" s="733"/>
      <c r="AC88" s="733"/>
      <c r="AD88" s="733"/>
      <c r="AE88" s="733"/>
      <c r="AF88" s="733"/>
      <c r="AG88" s="733"/>
      <c r="AH88" s="733"/>
      <c r="AI88" s="733"/>
      <c r="AJ88" s="733"/>
      <c r="AK88" s="733"/>
      <c r="AL88" s="733"/>
      <c r="AM88" s="733"/>
      <c r="AN88" s="733"/>
      <c r="AO88" s="733"/>
      <c r="AP88" s="733"/>
      <c r="AQ88" s="733"/>
      <c r="AR88" s="733"/>
      <c r="AS88" s="733"/>
      <c r="AT88" s="734"/>
      <c r="AU88" s="726"/>
      <c r="AV88" s="726"/>
      <c r="AW88" s="726"/>
      <c r="AX88" s="726"/>
      <c r="AY88" s="726"/>
      <c r="AZ88" s="726"/>
      <c r="BA88" s="726"/>
      <c r="BB88" s="726"/>
      <c r="BC88" s="726"/>
      <c r="BD88" s="726"/>
      <c r="BE88" s="726"/>
      <c r="BF88" s="726"/>
      <c r="BG88" s="726"/>
      <c r="BH88" s="726"/>
      <c r="BI88" s="726"/>
      <c r="BJ88" s="726"/>
      <c r="BK88" s="726"/>
    </row>
    <row r="89" spans="2:63" ht="22.5" customHeight="1">
      <c r="B89" s="727" t="s">
        <v>807</v>
      </c>
      <c r="C89" s="727"/>
      <c r="D89" s="727"/>
      <c r="E89" s="727"/>
      <c r="F89" s="465" t="s">
        <v>883</v>
      </c>
      <c r="G89" s="465"/>
      <c r="H89" s="465"/>
      <c r="I89" s="465"/>
      <c r="J89" s="726" t="s">
        <v>866</v>
      </c>
      <c r="K89" s="726"/>
      <c r="L89" s="726"/>
      <c r="M89" s="726"/>
      <c r="N89" s="732"/>
      <c r="O89" s="733"/>
      <c r="P89" s="733"/>
      <c r="Q89" s="733"/>
      <c r="R89" s="733"/>
      <c r="S89" s="733"/>
      <c r="T89" s="733"/>
      <c r="U89" s="733"/>
      <c r="V89" s="733"/>
      <c r="W89" s="733"/>
      <c r="X89" s="733"/>
      <c r="Y89" s="733"/>
      <c r="Z89" s="733"/>
      <c r="AA89" s="733"/>
      <c r="AB89" s="733"/>
      <c r="AC89" s="733"/>
      <c r="AD89" s="733"/>
      <c r="AE89" s="733"/>
      <c r="AF89" s="733"/>
      <c r="AG89" s="733"/>
      <c r="AH89" s="733"/>
      <c r="AI89" s="733"/>
      <c r="AJ89" s="733"/>
      <c r="AK89" s="733"/>
      <c r="AL89" s="733"/>
      <c r="AM89" s="733"/>
      <c r="AN89" s="733"/>
      <c r="AO89" s="733"/>
      <c r="AP89" s="733"/>
      <c r="AQ89" s="733"/>
      <c r="AR89" s="733"/>
      <c r="AS89" s="733"/>
      <c r="AT89" s="734"/>
      <c r="AU89" s="726"/>
      <c r="AV89" s="726"/>
      <c r="AW89" s="726"/>
      <c r="AX89" s="726"/>
      <c r="AY89" s="726"/>
      <c r="AZ89" s="726"/>
      <c r="BA89" s="726"/>
      <c r="BB89" s="726"/>
      <c r="BC89" s="726"/>
      <c r="BD89" s="726"/>
      <c r="BE89" s="726"/>
      <c r="BF89" s="726"/>
      <c r="BG89" s="726"/>
      <c r="BH89" s="726"/>
      <c r="BI89" s="726"/>
      <c r="BJ89" s="726"/>
      <c r="BK89" s="726"/>
    </row>
    <row r="90" spans="2:63" ht="22.5" customHeight="1">
      <c r="B90" s="727" t="s">
        <v>808</v>
      </c>
      <c r="C90" s="727"/>
      <c r="D90" s="727"/>
      <c r="E90" s="727"/>
      <c r="F90" s="465" t="s">
        <v>857</v>
      </c>
      <c r="G90" s="465"/>
      <c r="H90" s="465"/>
      <c r="I90" s="465"/>
      <c r="J90" s="726" t="s">
        <v>856</v>
      </c>
      <c r="K90" s="726"/>
      <c r="L90" s="726"/>
      <c r="M90" s="726"/>
      <c r="N90" s="732"/>
      <c r="O90" s="733"/>
      <c r="P90" s="733"/>
      <c r="Q90" s="733"/>
      <c r="R90" s="733"/>
      <c r="S90" s="733"/>
      <c r="T90" s="733"/>
      <c r="U90" s="733"/>
      <c r="V90" s="733"/>
      <c r="W90" s="733"/>
      <c r="X90" s="733"/>
      <c r="Y90" s="733"/>
      <c r="Z90" s="733"/>
      <c r="AA90" s="733"/>
      <c r="AB90" s="733"/>
      <c r="AC90" s="733"/>
      <c r="AD90" s="733"/>
      <c r="AE90" s="733"/>
      <c r="AF90" s="733"/>
      <c r="AG90" s="733"/>
      <c r="AH90" s="733"/>
      <c r="AI90" s="733"/>
      <c r="AJ90" s="733"/>
      <c r="AK90" s="733"/>
      <c r="AL90" s="733"/>
      <c r="AM90" s="733"/>
      <c r="AN90" s="733"/>
      <c r="AO90" s="733"/>
      <c r="AP90" s="733"/>
      <c r="AQ90" s="733"/>
      <c r="AR90" s="733"/>
      <c r="AS90" s="733"/>
      <c r="AT90" s="734"/>
      <c r="AU90" s="726"/>
      <c r="AV90" s="726"/>
      <c r="AW90" s="726"/>
      <c r="AX90" s="726"/>
      <c r="AY90" s="726"/>
      <c r="AZ90" s="726"/>
      <c r="BA90" s="726"/>
      <c r="BB90" s="726"/>
      <c r="BC90" s="726"/>
      <c r="BD90" s="726"/>
      <c r="BE90" s="726"/>
      <c r="BF90" s="726"/>
      <c r="BG90" s="726"/>
      <c r="BH90" s="726"/>
      <c r="BI90" s="726"/>
      <c r="BJ90" s="726"/>
      <c r="BK90" s="726"/>
    </row>
    <row r="91" spans="2:63" ht="22.5" customHeight="1">
      <c r="B91" s="727" t="s">
        <v>799</v>
      </c>
      <c r="C91" s="727"/>
      <c r="D91" s="727"/>
      <c r="E91" s="727"/>
      <c r="F91" s="465" t="s">
        <v>869</v>
      </c>
      <c r="G91" s="465"/>
      <c r="H91" s="465"/>
      <c r="I91" s="465"/>
      <c r="J91" s="726" t="s">
        <v>838</v>
      </c>
      <c r="K91" s="726"/>
      <c r="L91" s="726"/>
      <c r="M91" s="726"/>
      <c r="N91" s="732"/>
      <c r="O91" s="733"/>
      <c r="P91" s="733"/>
      <c r="Q91" s="733"/>
      <c r="R91" s="733"/>
      <c r="S91" s="733"/>
      <c r="T91" s="733"/>
      <c r="U91" s="733"/>
      <c r="V91" s="733"/>
      <c r="W91" s="733"/>
      <c r="X91" s="733"/>
      <c r="Y91" s="733"/>
      <c r="Z91" s="733"/>
      <c r="AA91" s="733"/>
      <c r="AB91" s="733"/>
      <c r="AC91" s="733"/>
      <c r="AD91" s="733"/>
      <c r="AE91" s="733"/>
      <c r="AF91" s="733"/>
      <c r="AG91" s="733"/>
      <c r="AH91" s="733"/>
      <c r="AI91" s="733"/>
      <c r="AJ91" s="733"/>
      <c r="AK91" s="733"/>
      <c r="AL91" s="733"/>
      <c r="AM91" s="733"/>
      <c r="AN91" s="733"/>
      <c r="AO91" s="733"/>
      <c r="AP91" s="733"/>
      <c r="AQ91" s="733"/>
      <c r="AR91" s="733"/>
      <c r="AS91" s="733"/>
      <c r="AT91" s="734"/>
      <c r="AU91" s="726"/>
      <c r="AV91" s="726"/>
      <c r="AW91" s="726"/>
      <c r="AX91" s="726"/>
      <c r="AY91" s="726"/>
      <c r="AZ91" s="726"/>
      <c r="BA91" s="726"/>
      <c r="BB91" s="726"/>
      <c r="BC91" s="726"/>
      <c r="BD91" s="726"/>
      <c r="BE91" s="726"/>
      <c r="BF91" s="726"/>
      <c r="BG91" s="726"/>
      <c r="BH91" s="726"/>
      <c r="BI91" s="726"/>
      <c r="BJ91" s="726"/>
      <c r="BK91" s="726"/>
    </row>
    <row r="92" spans="2:63" ht="22.5" customHeight="1">
      <c r="B92" s="715" t="s">
        <v>791</v>
      </c>
      <c r="C92" s="716"/>
      <c r="D92" s="716"/>
      <c r="E92" s="717"/>
      <c r="F92" s="718" t="s">
        <v>798</v>
      </c>
      <c r="G92" s="433"/>
      <c r="H92" s="433"/>
      <c r="I92" s="434"/>
      <c r="J92" s="719" t="s">
        <v>871</v>
      </c>
      <c r="K92" s="720"/>
      <c r="L92" s="720"/>
      <c r="M92" s="721"/>
      <c r="N92" s="732"/>
      <c r="O92" s="733"/>
      <c r="P92" s="733"/>
      <c r="Q92" s="733"/>
      <c r="R92" s="733"/>
      <c r="S92" s="733"/>
      <c r="T92" s="733"/>
      <c r="U92" s="733"/>
      <c r="V92" s="733"/>
      <c r="W92" s="733"/>
      <c r="X92" s="733"/>
      <c r="Y92" s="733"/>
      <c r="Z92" s="733"/>
      <c r="AA92" s="733"/>
      <c r="AB92" s="733"/>
      <c r="AC92" s="733"/>
      <c r="AD92" s="733"/>
      <c r="AE92" s="733"/>
      <c r="AF92" s="733"/>
      <c r="AG92" s="733"/>
      <c r="AH92" s="733"/>
      <c r="AI92" s="733"/>
      <c r="AJ92" s="733"/>
      <c r="AK92" s="733"/>
      <c r="AL92" s="733"/>
      <c r="AM92" s="733"/>
      <c r="AN92" s="733"/>
      <c r="AO92" s="733"/>
      <c r="AP92" s="733"/>
      <c r="AQ92" s="733"/>
      <c r="AR92" s="733"/>
      <c r="AS92" s="733"/>
      <c r="AT92" s="734"/>
      <c r="AU92" s="726"/>
      <c r="AV92" s="726"/>
      <c r="AW92" s="726"/>
      <c r="AX92" s="726"/>
      <c r="AY92" s="726"/>
      <c r="AZ92" s="726"/>
      <c r="BA92" s="726"/>
      <c r="BB92" s="726"/>
      <c r="BC92" s="726"/>
      <c r="BD92" s="726"/>
      <c r="BE92" s="726"/>
      <c r="BF92" s="726"/>
      <c r="BG92" s="726"/>
      <c r="BH92" s="726"/>
      <c r="BI92" s="726"/>
      <c r="BJ92" s="726"/>
      <c r="BK92" s="726"/>
    </row>
    <row r="93" spans="2:63" ht="22.5" customHeight="1">
      <c r="B93" s="715" t="s">
        <v>801</v>
      </c>
      <c r="C93" s="716"/>
      <c r="D93" s="716"/>
      <c r="E93" s="717"/>
      <c r="F93" s="718" t="s">
        <v>831</v>
      </c>
      <c r="G93" s="433"/>
      <c r="H93" s="433"/>
      <c r="I93" s="434"/>
      <c r="J93" s="719" t="s">
        <v>840</v>
      </c>
      <c r="K93" s="720"/>
      <c r="L93" s="720"/>
      <c r="M93" s="721"/>
      <c r="N93" s="732"/>
      <c r="O93" s="733"/>
      <c r="P93" s="733"/>
      <c r="Q93" s="733"/>
      <c r="R93" s="733"/>
      <c r="S93" s="733"/>
      <c r="T93" s="733"/>
      <c r="U93" s="733"/>
      <c r="V93" s="733"/>
      <c r="W93" s="733"/>
      <c r="X93" s="733"/>
      <c r="Y93" s="733"/>
      <c r="Z93" s="733"/>
      <c r="AA93" s="733"/>
      <c r="AB93" s="733"/>
      <c r="AC93" s="733"/>
      <c r="AD93" s="733"/>
      <c r="AE93" s="733"/>
      <c r="AF93" s="733"/>
      <c r="AG93" s="733"/>
      <c r="AH93" s="733"/>
      <c r="AI93" s="733"/>
      <c r="AJ93" s="733"/>
      <c r="AK93" s="733"/>
      <c r="AL93" s="733"/>
      <c r="AM93" s="733"/>
      <c r="AN93" s="733"/>
      <c r="AO93" s="733"/>
      <c r="AP93" s="733"/>
      <c r="AQ93" s="733"/>
      <c r="AR93" s="733"/>
      <c r="AS93" s="733"/>
      <c r="AT93" s="734"/>
      <c r="AU93" s="726"/>
      <c r="AV93" s="726"/>
      <c r="AW93" s="726"/>
      <c r="AX93" s="726"/>
      <c r="AY93" s="726"/>
      <c r="AZ93" s="726"/>
      <c r="BA93" s="726"/>
      <c r="BB93" s="726"/>
      <c r="BC93" s="726"/>
      <c r="BD93" s="726"/>
      <c r="BE93" s="726"/>
      <c r="BF93" s="726"/>
      <c r="BG93" s="726"/>
      <c r="BH93" s="726"/>
      <c r="BI93" s="726"/>
      <c r="BJ93" s="726"/>
      <c r="BK93" s="726"/>
    </row>
    <row r="94" spans="2:63" ht="22.5" customHeight="1">
      <c r="B94" s="715" t="s">
        <v>802</v>
      </c>
      <c r="C94" s="716"/>
      <c r="D94" s="716"/>
      <c r="E94" s="717"/>
      <c r="F94" s="718" t="s">
        <v>849</v>
      </c>
      <c r="G94" s="433"/>
      <c r="H94" s="433"/>
      <c r="I94" s="434"/>
      <c r="J94" s="719" t="s">
        <v>840</v>
      </c>
      <c r="K94" s="720"/>
      <c r="L94" s="720"/>
      <c r="M94" s="721"/>
      <c r="N94" s="732"/>
      <c r="O94" s="733"/>
      <c r="P94" s="733"/>
      <c r="Q94" s="733"/>
      <c r="R94" s="733"/>
      <c r="S94" s="733"/>
      <c r="T94" s="733"/>
      <c r="U94" s="733"/>
      <c r="V94" s="733"/>
      <c r="W94" s="733"/>
      <c r="X94" s="733"/>
      <c r="Y94" s="733"/>
      <c r="Z94" s="733"/>
      <c r="AA94" s="733"/>
      <c r="AB94" s="733"/>
      <c r="AC94" s="733"/>
      <c r="AD94" s="733"/>
      <c r="AE94" s="733"/>
      <c r="AF94" s="733"/>
      <c r="AG94" s="733"/>
      <c r="AH94" s="733"/>
      <c r="AI94" s="733"/>
      <c r="AJ94" s="733"/>
      <c r="AK94" s="733"/>
      <c r="AL94" s="733"/>
      <c r="AM94" s="733"/>
      <c r="AN94" s="733"/>
      <c r="AO94" s="733"/>
      <c r="AP94" s="733"/>
      <c r="AQ94" s="733"/>
      <c r="AR94" s="733"/>
      <c r="AS94" s="733"/>
      <c r="AT94" s="734"/>
      <c r="AU94" s="726"/>
      <c r="AV94" s="726"/>
      <c r="AW94" s="726"/>
      <c r="AX94" s="726"/>
      <c r="AY94" s="726"/>
      <c r="AZ94" s="726"/>
      <c r="BA94" s="726"/>
      <c r="BB94" s="726"/>
      <c r="BC94" s="726"/>
      <c r="BD94" s="726"/>
      <c r="BE94" s="726"/>
      <c r="BF94" s="726"/>
      <c r="BG94" s="726"/>
      <c r="BH94" s="726"/>
      <c r="BI94" s="726"/>
      <c r="BJ94" s="726"/>
      <c r="BK94" s="726"/>
    </row>
  </sheetData>
  <mergeCells count="1172">
    <mergeCell ref="B91:E91"/>
    <mergeCell ref="F91:I91"/>
    <mergeCell ref="J91:M91"/>
    <mergeCell ref="N91:AT91"/>
    <mergeCell ref="AU91:BK91"/>
    <mergeCell ref="B92:E92"/>
    <mergeCell ref="F92:I92"/>
    <mergeCell ref="J92:M92"/>
    <mergeCell ref="N92:AT92"/>
    <mergeCell ref="AU92:BK92"/>
    <mergeCell ref="B93:E93"/>
    <mergeCell ref="F93:I93"/>
    <mergeCell ref="J93:M93"/>
    <mergeCell ref="N93:AT93"/>
    <mergeCell ref="AU93:BK93"/>
    <mergeCell ref="B94:E94"/>
    <mergeCell ref="F94:I94"/>
    <mergeCell ref="J94:M94"/>
    <mergeCell ref="N94:AT94"/>
    <mergeCell ref="AU94:BK94"/>
    <mergeCell ref="AU86:BK86"/>
    <mergeCell ref="B87:E87"/>
    <mergeCell ref="F87:I87"/>
    <mergeCell ref="J87:M87"/>
    <mergeCell ref="N87:AT87"/>
    <mergeCell ref="AU87:BK87"/>
    <mergeCell ref="B88:E88"/>
    <mergeCell ref="F88:I88"/>
    <mergeCell ref="J88:M88"/>
    <mergeCell ref="N88:AT88"/>
    <mergeCell ref="AU88:BK88"/>
    <mergeCell ref="B89:E89"/>
    <mergeCell ref="F89:I89"/>
    <mergeCell ref="J89:M89"/>
    <mergeCell ref="N89:AT89"/>
    <mergeCell ref="AU89:BK89"/>
    <mergeCell ref="B90:E90"/>
    <mergeCell ref="F90:I90"/>
    <mergeCell ref="J90:M90"/>
    <mergeCell ref="N90:AT90"/>
    <mergeCell ref="AU90:BK90"/>
    <mergeCell ref="Y26:AA26"/>
    <mergeCell ref="B27:E29"/>
    <mergeCell ref="F27:I27"/>
    <mergeCell ref="Y27:AA27"/>
    <mergeCell ref="F28:I28"/>
    <mergeCell ref="Y28:AA28"/>
    <mergeCell ref="F29:I29"/>
    <mergeCell ref="Y29:AA29"/>
    <mergeCell ref="B30:E31"/>
    <mergeCell ref="F30:I30"/>
    <mergeCell ref="Y30:AA30"/>
    <mergeCell ref="F31:I31"/>
    <mergeCell ref="Y31:AA31"/>
    <mergeCell ref="F32:I32"/>
    <mergeCell ref="Y32:AA32"/>
    <mergeCell ref="B86:E86"/>
    <mergeCell ref="F86:I86"/>
    <mergeCell ref="J86:M86"/>
    <mergeCell ref="N86:AT86"/>
    <mergeCell ref="J31:L31"/>
    <mergeCell ref="M31:O31"/>
    <mergeCell ref="P31:R31"/>
    <mergeCell ref="S31:U31"/>
    <mergeCell ref="V31:X31"/>
    <mergeCell ref="J32:L32"/>
    <mergeCell ref="M32:O32"/>
    <mergeCell ref="P32:R32"/>
    <mergeCell ref="S32:U32"/>
    <mergeCell ref="V32:X32"/>
    <mergeCell ref="J29:L29"/>
    <mergeCell ref="M29:O29"/>
    <mergeCell ref="P29:R29"/>
    <mergeCell ref="S29:U29"/>
    <mergeCell ref="V29:X29"/>
    <mergeCell ref="J30:L30"/>
    <mergeCell ref="M30:O30"/>
    <mergeCell ref="P30:R30"/>
    <mergeCell ref="S30:U30"/>
    <mergeCell ref="V30:X30"/>
    <mergeCell ref="J27:L27"/>
    <mergeCell ref="M27:O27"/>
    <mergeCell ref="P27:R27"/>
    <mergeCell ref="S27:U27"/>
    <mergeCell ref="V27:X27"/>
    <mergeCell ref="J28:L28"/>
    <mergeCell ref="M28:O28"/>
    <mergeCell ref="P28:R28"/>
    <mergeCell ref="S28:U28"/>
    <mergeCell ref="V28:X28"/>
    <mergeCell ref="B25:F25"/>
    <mergeCell ref="G25:I25"/>
    <mergeCell ref="J25:L25"/>
    <mergeCell ref="M25:O25"/>
    <mergeCell ref="P25:R25"/>
    <mergeCell ref="S25:U25"/>
    <mergeCell ref="V25:X25"/>
    <mergeCell ref="J26:L26"/>
    <mergeCell ref="M26:O26"/>
    <mergeCell ref="P26:R26"/>
    <mergeCell ref="S26:U26"/>
    <mergeCell ref="V26:X26"/>
    <mergeCell ref="B26:I26"/>
    <mergeCell ref="B23:F23"/>
    <mergeCell ref="G23:I23"/>
    <mergeCell ref="J23:L23"/>
    <mergeCell ref="M23:O23"/>
    <mergeCell ref="P23:R23"/>
    <mergeCell ref="S23:U23"/>
    <mergeCell ref="V23:X23"/>
    <mergeCell ref="B24:F24"/>
    <mergeCell ref="G24:I24"/>
    <mergeCell ref="J24:L24"/>
    <mergeCell ref="M24:O24"/>
    <mergeCell ref="P24:R24"/>
    <mergeCell ref="S24:U24"/>
    <mergeCell ref="V24:X24"/>
    <mergeCell ref="B21:F21"/>
    <mergeCell ref="G21:I21"/>
    <mergeCell ref="J21:L21"/>
    <mergeCell ref="M21:O21"/>
    <mergeCell ref="P21:R21"/>
    <mergeCell ref="S21:U21"/>
    <mergeCell ref="V21:X21"/>
    <mergeCell ref="B22:F22"/>
    <mergeCell ref="G22:I22"/>
    <mergeCell ref="J22:L22"/>
    <mergeCell ref="M22:O22"/>
    <mergeCell ref="P22:R22"/>
    <mergeCell ref="S22:U22"/>
    <mergeCell ref="V22:X22"/>
    <mergeCell ref="B19:F19"/>
    <mergeCell ref="G19:I19"/>
    <mergeCell ref="J19:L19"/>
    <mergeCell ref="M19:O19"/>
    <mergeCell ref="P19:R19"/>
    <mergeCell ref="S19:U19"/>
    <mergeCell ref="V19:X19"/>
    <mergeCell ref="B20:F20"/>
    <mergeCell ref="G20:I20"/>
    <mergeCell ref="J20:L20"/>
    <mergeCell ref="M20:O20"/>
    <mergeCell ref="P20:R20"/>
    <mergeCell ref="S20:U20"/>
    <mergeCell ref="V20:X20"/>
    <mergeCell ref="B17:F17"/>
    <mergeCell ref="G17:I17"/>
    <mergeCell ref="J17:L17"/>
    <mergeCell ref="M17:O17"/>
    <mergeCell ref="P17:R17"/>
    <mergeCell ref="S17:U17"/>
    <mergeCell ref="V17:X17"/>
    <mergeCell ref="B18:F18"/>
    <mergeCell ref="G18:I18"/>
    <mergeCell ref="J18:L18"/>
    <mergeCell ref="M18:O18"/>
    <mergeCell ref="P18:R18"/>
    <mergeCell ref="S18:U18"/>
    <mergeCell ref="V18:X18"/>
    <mergeCell ref="BS65:BU66"/>
    <mergeCell ref="B66:C66"/>
    <mergeCell ref="D66:I66"/>
    <mergeCell ref="J66:K66"/>
    <mergeCell ref="L66:R66"/>
    <mergeCell ref="T66:X66"/>
    <mergeCell ref="Y66:AC66"/>
    <mergeCell ref="AX65:AY65"/>
    <mergeCell ref="AZ65:BA65"/>
    <mergeCell ref="BB65:BC65"/>
    <mergeCell ref="BD65:BE65"/>
    <mergeCell ref="BF65:BG65"/>
    <mergeCell ref="BH65:BI65"/>
    <mergeCell ref="AL65:AM65"/>
    <mergeCell ref="AN65:AO65"/>
    <mergeCell ref="AP65:AQ65"/>
    <mergeCell ref="AR65:AS65"/>
    <mergeCell ref="AT65:AU65"/>
    <mergeCell ref="AV65:AW65"/>
    <mergeCell ref="B65:C65"/>
    <mergeCell ref="D65:I65"/>
    <mergeCell ref="J65:K65"/>
    <mergeCell ref="L65:R65"/>
    <mergeCell ref="T65:X65"/>
    <mergeCell ref="Y65:AC65"/>
    <mergeCell ref="AD65:AE65"/>
    <mergeCell ref="AF65:AJ65"/>
    <mergeCell ref="B64:C64"/>
    <mergeCell ref="D64:I64"/>
    <mergeCell ref="J64:K64"/>
    <mergeCell ref="L64:R64"/>
    <mergeCell ref="T64:X64"/>
    <mergeCell ref="Y64:AC64"/>
    <mergeCell ref="AR66:AS66"/>
    <mergeCell ref="BK65:BL66"/>
    <mergeCell ref="BM65:BO66"/>
    <mergeCell ref="BF66:BG66"/>
    <mergeCell ref="BH66:BI66"/>
    <mergeCell ref="AT66:AU66"/>
    <mergeCell ref="AV66:AW66"/>
    <mergeCell ref="AX66:AY66"/>
    <mergeCell ref="AZ66:BA66"/>
    <mergeCell ref="BB66:BC66"/>
    <mergeCell ref="BD66:BE66"/>
    <mergeCell ref="AL62:AM62"/>
    <mergeCell ref="AN62:AO62"/>
    <mergeCell ref="AP62:AQ62"/>
    <mergeCell ref="AR62:AS62"/>
    <mergeCell ref="AT62:AU62"/>
    <mergeCell ref="BM61:BO62"/>
    <mergeCell ref="BP61:BR61"/>
    <mergeCell ref="Y62:AC62"/>
    <mergeCell ref="AD62:AE62"/>
    <mergeCell ref="AZ61:BA61"/>
    <mergeCell ref="BB61:BC61"/>
    <mergeCell ref="BD61:BE61"/>
    <mergeCell ref="BF61:BG61"/>
    <mergeCell ref="BH61:BI61"/>
    <mergeCell ref="BK61:BL62"/>
    <mergeCell ref="BH62:BI62"/>
    <mergeCell ref="AD66:AE66"/>
    <mergeCell ref="AF66:AJ66"/>
    <mergeCell ref="AL66:AM66"/>
    <mergeCell ref="AN66:AO66"/>
    <mergeCell ref="AP66:AQ66"/>
    <mergeCell ref="AD64:AE64"/>
    <mergeCell ref="AF64:AJ64"/>
    <mergeCell ref="BP65:BR65"/>
    <mergeCell ref="BP66:BR66"/>
    <mergeCell ref="BW60:CH66"/>
    <mergeCell ref="B61:C61"/>
    <mergeCell ref="D61:I61"/>
    <mergeCell ref="J61:K61"/>
    <mergeCell ref="L61:R61"/>
    <mergeCell ref="T61:X61"/>
    <mergeCell ref="Y61:AC61"/>
    <mergeCell ref="AD61:AE61"/>
    <mergeCell ref="AF61:AJ61"/>
    <mergeCell ref="AL61:AM61"/>
    <mergeCell ref="BS61:BU62"/>
    <mergeCell ref="B62:C62"/>
    <mergeCell ref="D62:I62"/>
    <mergeCell ref="J62:K62"/>
    <mergeCell ref="L62:R62"/>
    <mergeCell ref="T62:X62"/>
    <mergeCell ref="BP62:BR62"/>
    <mergeCell ref="B63:C63"/>
    <mergeCell ref="D63:I63"/>
    <mergeCell ref="J63:K63"/>
    <mergeCell ref="L63:R63"/>
    <mergeCell ref="T63:X63"/>
    <mergeCell ref="Y63:AC63"/>
    <mergeCell ref="AD63:AE63"/>
    <mergeCell ref="AF63:AJ63"/>
    <mergeCell ref="AV62:AW62"/>
    <mergeCell ref="AX62:AY62"/>
    <mergeCell ref="AZ62:BA62"/>
    <mergeCell ref="BB62:BC62"/>
    <mergeCell ref="BD62:BE62"/>
    <mergeCell ref="BF62:BG62"/>
    <mergeCell ref="AF62:AJ62"/>
    <mergeCell ref="B59:C59"/>
    <mergeCell ref="D59:I59"/>
    <mergeCell ref="J59:K59"/>
    <mergeCell ref="L59:R59"/>
    <mergeCell ref="T59:X59"/>
    <mergeCell ref="Y59:AC59"/>
    <mergeCell ref="AD59:AE59"/>
    <mergeCell ref="AT58:AU58"/>
    <mergeCell ref="AV58:AW58"/>
    <mergeCell ref="AF59:AJ59"/>
    <mergeCell ref="AN61:AO61"/>
    <mergeCell ref="AP61:AQ61"/>
    <mergeCell ref="AR61:AS61"/>
    <mergeCell ref="AT61:AU61"/>
    <mergeCell ref="AV61:AW61"/>
    <mergeCell ref="AX61:AY61"/>
    <mergeCell ref="B60:C60"/>
    <mergeCell ref="D60:I60"/>
    <mergeCell ref="J60:K60"/>
    <mergeCell ref="L60:R60"/>
    <mergeCell ref="T60:X60"/>
    <mergeCell ref="Y60:AC60"/>
    <mergeCell ref="AD60:AE60"/>
    <mergeCell ref="AF60:AJ60"/>
    <mergeCell ref="B55:C55"/>
    <mergeCell ref="D55:I55"/>
    <mergeCell ref="J55:K55"/>
    <mergeCell ref="BS57:BU58"/>
    <mergeCell ref="B58:C58"/>
    <mergeCell ref="D58:I58"/>
    <mergeCell ref="J58:K58"/>
    <mergeCell ref="L58:R58"/>
    <mergeCell ref="T58:X58"/>
    <mergeCell ref="Y58:AC58"/>
    <mergeCell ref="AX57:AY57"/>
    <mergeCell ref="AZ57:BA57"/>
    <mergeCell ref="BB57:BC57"/>
    <mergeCell ref="BD57:BE57"/>
    <mergeCell ref="BF57:BG57"/>
    <mergeCell ref="BH57:BI57"/>
    <mergeCell ref="AL57:AM57"/>
    <mergeCell ref="AN57:AO57"/>
    <mergeCell ref="AP57:AQ57"/>
    <mergeCell ref="AR57:AS57"/>
    <mergeCell ref="AT57:AU57"/>
    <mergeCell ref="AV57:AW57"/>
    <mergeCell ref="BF58:BG58"/>
    <mergeCell ref="BH58:BI58"/>
    <mergeCell ref="BP58:BR58"/>
    <mergeCell ref="AX58:AY58"/>
    <mergeCell ref="AZ58:BA58"/>
    <mergeCell ref="BB58:BC58"/>
    <mergeCell ref="BD58:BE58"/>
    <mergeCell ref="AD58:AE58"/>
    <mergeCell ref="AF58:AJ58"/>
    <mergeCell ref="AL58:AM58"/>
    <mergeCell ref="AD56:AE56"/>
    <mergeCell ref="AF56:AJ56"/>
    <mergeCell ref="B57:C57"/>
    <mergeCell ref="D57:I57"/>
    <mergeCell ref="J57:K57"/>
    <mergeCell ref="L57:R57"/>
    <mergeCell ref="T57:X57"/>
    <mergeCell ref="Y57:AC57"/>
    <mergeCell ref="AD57:AE57"/>
    <mergeCell ref="AF57:AJ57"/>
    <mergeCell ref="B56:C56"/>
    <mergeCell ref="D56:I56"/>
    <mergeCell ref="J56:K56"/>
    <mergeCell ref="L56:R56"/>
    <mergeCell ref="T56:X56"/>
    <mergeCell ref="Y56:AC56"/>
    <mergeCell ref="BP57:BR57"/>
    <mergeCell ref="BM57:BO58"/>
    <mergeCell ref="BK57:BL58"/>
    <mergeCell ref="AN58:AO58"/>
    <mergeCell ref="AP58:AQ58"/>
    <mergeCell ref="AR58:AS58"/>
    <mergeCell ref="L55:R55"/>
    <mergeCell ref="T55:X55"/>
    <mergeCell ref="Y55:AC55"/>
    <mergeCell ref="AD55:AE55"/>
    <mergeCell ref="AF55:AJ55"/>
    <mergeCell ref="AV54:AW54"/>
    <mergeCell ref="AX54:AY54"/>
    <mergeCell ref="AZ54:BA54"/>
    <mergeCell ref="BB54:BC54"/>
    <mergeCell ref="BD54:BE54"/>
    <mergeCell ref="BF54:BG54"/>
    <mergeCell ref="AF54:AJ54"/>
    <mergeCell ref="AL54:AM54"/>
    <mergeCell ref="BW52:CH57"/>
    <mergeCell ref="B53:C53"/>
    <mergeCell ref="D53:I53"/>
    <mergeCell ref="J53:K53"/>
    <mergeCell ref="L53:R53"/>
    <mergeCell ref="T53:X53"/>
    <mergeCell ref="Y53:AC53"/>
    <mergeCell ref="AD53:AE53"/>
    <mergeCell ref="AF53:AJ53"/>
    <mergeCell ref="AL53:AM53"/>
    <mergeCell ref="BS53:BU54"/>
    <mergeCell ref="B54:C54"/>
    <mergeCell ref="D54:I54"/>
    <mergeCell ref="J54:K54"/>
    <mergeCell ref="L54:R54"/>
    <mergeCell ref="T54:X54"/>
    <mergeCell ref="Y54:AC54"/>
    <mergeCell ref="AD54:AE54"/>
    <mergeCell ref="AZ53:BA53"/>
    <mergeCell ref="B50:C50"/>
    <mergeCell ref="D50:I50"/>
    <mergeCell ref="AF51:AJ51"/>
    <mergeCell ref="B52:C52"/>
    <mergeCell ref="D52:I52"/>
    <mergeCell ref="J52:K52"/>
    <mergeCell ref="L52:R52"/>
    <mergeCell ref="T52:X52"/>
    <mergeCell ref="Y52:AC52"/>
    <mergeCell ref="AD52:AE52"/>
    <mergeCell ref="AF52:AJ52"/>
    <mergeCell ref="Y50:AC50"/>
    <mergeCell ref="AN50:AO50"/>
    <mergeCell ref="AP50:AQ50"/>
    <mergeCell ref="AR50:AS50"/>
    <mergeCell ref="AN54:AO54"/>
    <mergeCell ref="AP54:AQ54"/>
    <mergeCell ref="AR54:AS54"/>
    <mergeCell ref="B51:C51"/>
    <mergeCell ref="D51:I51"/>
    <mergeCell ref="J51:K51"/>
    <mergeCell ref="L51:R51"/>
    <mergeCell ref="T51:X51"/>
    <mergeCell ref="Y51:AC51"/>
    <mergeCell ref="AD51:AE51"/>
    <mergeCell ref="AN53:AO53"/>
    <mergeCell ref="AP53:AQ53"/>
    <mergeCell ref="AR53:AS53"/>
    <mergeCell ref="AD50:AE50"/>
    <mergeCell ref="AF50:AJ50"/>
    <mergeCell ref="AL50:AM50"/>
    <mergeCell ref="AL49:AM49"/>
    <mergeCell ref="AN49:AO49"/>
    <mergeCell ref="AP49:AQ49"/>
    <mergeCell ref="AR49:AS49"/>
    <mergeCell ref="AT49:AU49"/>
    <mergeCell ref="J50:K50"/>
    <mergeCell ref="L50:R50"/>
    <mergeCell ref="T50:X50"/>
    <mergeCell ref="AD48:AE48"/>
    <mergeCell ref="AF48:AJ48"/>
    <mergeCell ref="BB53:BC53"/>
    <mergeCell ref="BD53:BE53"/>
    <mergeCell ref="BW48:CH48"/>
    <mergeCell ref="BF53:BG53"/>
    <mergeCell ref="BH53:BI53"/>
    <mergeCell ref="BK53:BL54"/>
    <mergeCell ref="AT54:AU54"/>
    <mergeCell ref="AT50:AU50"/>
    <mergeCell ref="AZ50:BA50"/>
    <mergeCell ref="BB50:BC50"/>
    <mergeCell ref="BM53:BO54"/>
    <mergeCell ref="BP53:BR53"/>
    <mergeCell ref="BH54:BI54"/>
    <mergeCell ref="AT53:AU53"/>
    <mergeCell ref="AV53:AW53"/>
    <mergeCell ref="AX53:AY53"/>
    <mergeCell ref="BP54:BR54"/>
    <mergeCell ref="B49:C49"/>
    <mergeCell ref="D49:I49"/>
    <mergeCell ref="J49:K49"/>
    <mergeCell ref="L49:R49"/>
    <mergeCell ref="T49:X49"/>
    <mergeCell ref="Y49:AC49"/>
    <mergeCell ref="AD49:AE49"/>
    <mergeCell ref="B48:C48"/>
    <mergeCell ref="D48:I48"/>
    <mergeCell ref="J48:K48"/>
    <mergeCell ref="L48:R48"/>
    <mergeCell ref="T48:X48"/>
    <mergeCell ref="Y48:AC48"/>
    <mergeCell ref="BW49:CH49"/>
    <mergeCell ref="AV49:AW49"/>
    <mergeCell ref="AX49:AY49"/>
    <mergeCell ref="AZ49:BA49"/>
    <mergeCell ref="BB49:BC49"/>
    <mergeCell ref="BD49:BE49"/>
    <mergeCell ref="BF49:BG49"/>
    <mergeCell ref="AF49:AJ49"/>
    <mergeCell ref="BH49:BI49"/>
    <mergeCell ref="BK49:BL50"/>
    <mergeCell ref="BM49:BO50"/>
    <mergeCell ref="BP49:BR49"/>
    <mergeCell ref="BS49:BU50"/>
    <mergeCell ref="BF50:BG50"/>
    <mergeCell ref="BH50:BI50"/>
    <mergeCell ref="BP50:BR50"/>
    <mergeCell ref="AV50:AW50"/>
    <mergeCell ref="AX50:AY50"/>
    <mergeCell ref="BD50:BE50"/>
    <mergeCell ref="BW46:CH46"/>
    <mergeCell ref="B47:C47"/>
    <mergeCell ref="D47:I47"/>
    <mergeCell ref="J47:K47"/>
    <mergeCell ref="L47:R47"/>
    <mergeCell ref="T47:X47"/>
    <mergeCell ref="Y47:AC47"/>
    <mergeCell ref="AD47:AE47"/>
    <mergeCell ref="AF47:AJ47"/>
    <mergeCell ref="BW47:CH47"/>
    <mergeCell ref="AZ46:BA46"/>
    <mergeCell ref="BB46:BC46"/>
    <mergeCell ref="BD46:BE46"/>
    <mergeCell ref="BF46:BG46"/>
    <mergeCell ref="BH46:BI46"/>
    <mergeCell ref="BP46:BR46"/>
    <mergeCell ref="AN46:AO46"/>
    <mergeCell ref="AP46:AQ46"/>
    <mergeCell ref="AR46:AS46"/>
    <mergeCell ref="AT46:AU46"/>
    <mergeCell ref="AV46:AW46"/>
    <mergeCell ref="AX46:AY46"/>
    <mergeCell ref="BW45:CH45"/>
    <mergeCell ref="B46:C46"/>
    <mergeCell ref="D46:I46"/>
    <mergeCell ref="J46:K46"/>
    <mergeCell ref="L46:R46"/>
    <mergeCell ref="T46:X46"/>
    <mergeCell ref="Y46:AC46"/>
    <mergeCell ref="AD46:AE46"/>
    <mergeCell ref="AF46:AJ46"/>
    <mergeCell ref="AL46:AM46"/>
    <mergeCell ref="BF45:BG45"/>
    <mergeCell ref="BH45:BI45"/>
    <mergeCell ref="BK45:BL46"/>
    <mergeCell ref="BM45:BO46"/>
    <mergeCell ref="BP45:BR45"/>
    <mergeCell ref="BS45:BU46"/>
    <mergeCell ref="AT45:AU45"/>
    <mergeCell ref="AV45:AW45"/>
    <mergeCell ref="AX45:AY45"/>
    <mergeCell ref="AZ45:BA45"/>
    <mergeCell ref="BB45:BC45"/>
    <mergeCell ref="BD45:BE45"/>
    <mergeCell ref="AD45:AE45"/>
    <mergeCell ref="AF45:AJ45"/>
    <mergeCell ref="AN45:AO45"/>
    <mergeCell ref="AP45:AQ45"/>
    <mergeCell ref="AR45:AS45"/>
    <mergeCell ref="B45:C45"/>
    <mergeCell ref="D45:I45"/>
    <mergeCell ref="J45:K45"/>
    <mergeCell ref="L45:R45"/>
    <mergeCell ref="T45:X45"/>
    <mergeCell ref="Y45:AC45"/>
    <mergeCell ref="B44:C44"/>
    <mergeCell ref="D44:I44"/>
    <mergeCell ref="J44:K44"/>
    <mergeCell ref="L44:R44"/>
    <mergeCell ref="T44:X44"/>
    <mergeCell ref="Y44:AC44"/>
    <mergeCell ref="AD44:AE44"/>
    <mergeCell ref="AF44:AJ44"/>
    <mergeCell ref="AL45:AM45"/>
    <mergeCell ref="BB42:BC42"/>
    <mergeCell ref="BD42:BE42"/>
    <mergeCell ref="BF42:BG42"/>
    <mergeCell ref="AF42:AJ42"/>
    <mergeCell ref="AL42:AM42"/>
    <mergeCell ref="AN42:AO42"/>
    <mergeCell ref="AP42:AQ42"/>
    <mergeCell ref="AR42:AS42"/>
    <mergeCell ref="AT42:AU42"/>
    <mergeCell ref="B43:C43"/>
    <mergeCell ref="D43:I43"/>
    <mergeCell ref="J43:K43"/>
    <mergeCell ref="L43:R43"/>
    <mergeCell ref="T43:X43"/>
    <mergeCell ref="Y43:AC43"/>
    <mergeCell ref="AD43:AE43"/>
    <mergeCell ref="AV42:AW42"/>
    <mergeCell ref="AX42:AY42"/>
    <mergeCell ref="AF43:AJ43"/>
    <mergeCell ref="BQ41:BU41"/>
    <mergeCell ref="B42:C42"/>
    <mergeCell ref="D42:I42"/>
    <mergeCell ref="J42:K42"/>
    <mergeCell ref="L42:R42"/>
    <mergeCell ref="T42:X42"/>
    <mergeCell ref="Y42:AC42"/>
    <mergeCell ref="AD42:AE42"/>
    <mergeCell ref="AV41:AW41"/>
    <mergeCell ref="AX41:AY41"/>
    <mergeCell ref="AZ41:BA41"/>
    <mergeCell ref="BB41:BC41"/>
    <mergeCell ref="BD41:BE41"/>
    <mergeCell ref="BF41:BG41"/>
    <mergeCell ref="AF41:AJ41"/>
    <mergeCell ref="AL41:AM41"/>
    <mergeCell ref="AN41:AO41"/>
    <mergeCell ref="AP41:AQ41"/>
    <mergeCell ref="AR41:AS41"/>
    <mergeCell ref="AT41:AU41"/>
    <mergeCell ref="BH42:BI42"/>
    <mergeCell ref="BK42:BP42"/>
    <mergeCell ref="BQ42:BU42"/>
    <mergeCell ref="AZ42:BA42"/>
    <mergeCell ref="B41:C41"/>
    <mergeCell ref="D41:I41"/>
    <mergeCell ref="J41:K41"/>
    <mergeCell ref="L41:R41"/>
    <mergeCell ref="T41:X41"/>
    <mergeCell ref="Y41:AC41"/>
    <mergeCell ref="AD41:AE41"/>
    <mergeCell ref="BH41:BI41"/>
    <mergeCell ref="BK41:BP41"/>
    <mergeCell ref="BQ39:BU39"/>
    <mergeCell ref="B40:C40"/>
    <mergeCell ref="D40:I40"/>
    <mergeCell ref="J40:K40"/>
    <mergeCell ref="L40:R40"/>
    <mergeCell ref="T40:X40"/>
    <mergeCell ref="Y40:AC40"/>
    <mergeCell ref="AD40:AE40"/>
    <mergeCell ref="AF40:AJ40"/>
    <mergeCell ref="BK40:BP40"/>
    <mergeCell ref="BQ40:BU40"/>
    <mergeCell ref="BH38:BI38"/>
    <mergeCell ref="BK38:BP38"/>
    <mergeCell ref="BQ38:BU38"/>
    <mergeCell ref="B39:C39"/>
    <mergeCell ref="D39:I39"/>
    <mergeCell ref="J39:K39"/>
    <mergeCell ref="L39:R39"/>
    <mergeCell ref="T39:X39"/>
    <mergeCell ref="Y39:AC39"/>
    <mergeCell ref="AD39:AE39"/>
    <mergeCell ref="AV38:AW38"/>
    <mergeCell ref="AX38:AY38"/>
    <mergeCell ref="AZ38:BA38"/>
    <mergeCell ref="BB38:BC38"/>
    <mergeCell ref="BD38:BE38"/>
    <mergeCell ref="BF38:BG38"/>
    <mergeCell ref="AF38:AJ38"/>
    <mergeCell ref="AL38:AM38"/>
    <mergeCell ref="AN38:AO38"/>
    <mergeCell ref="AP38:AQ38"/>
    <mergeCell ref="AR38:AS38"/>
    <mergeCell ref="AT38:AU38"/>
    <mergeCell ref="AF39:AJ39"/>
    <mergeCell ref="BK39:BP39"/>
    <mergeCell ref="B38:C38"/>
    <mergeCell ref="D38:I38"/>
    <mergeCell ref="J38:K38"/>
    <mergeCell ref="L38:R38"/>
    <mergeCell ref="T38:X38"/>
    <mergeCell ref="Y38:AC38"/>
    <mergeCell ref="AD38:AE38"/>
    <mergeCell ref="AV37:AW37"/>
    <mergeCell ref="AX37:AY37"/>
    <mergeCell ref="AF37:AJ37"/>
    <mergeCell ref="AL37:AM37"/>
    <mergeCell ref="AN37:AO37"/>
    <mergeCell ref="AP37:AQ37"/>
    <mergeCell ref="AR37:AS37"/>
    <mergeCell ref="AT37:AU37"/>
    <mergeCell ref="B37:C37"/>
    <mergeCell ref="D37:I37"/>
    <mergeCell ref="J37:K37"/>
    <mergeCell ref="L37:R37"/>
    <mergeCell ref="T37:X37"/>
    <mergeCell ref="Y37:AC37"/>
    <mergeCell ref="AD37:AE37"/>
    <mergeCell ref="B36:I36"/>
    <mergeCell ref="J36:K36"/>
    <mergeCell ref="L36:R36"/>
    <mergeCell ref="S36:X36"/>
    <mergeCell ref="Y36:AC36"/>
    <mergeCell ref="AD36:AE36"/>
    <mergeCell ref="BH37:BI37"/>
    <mergeCell ref="BK37:BP37"/>
    <mergeCell ref="BQ37:BU37"/>
    <mergeCell ref="AZ37:BA37"/>
    <mergeCell ref="BB37:BC37"/>
    <mergeCell ref="BD37:BE37"/>
    <mergeCell ref="BF37:BG37"/>
    <mergeCell ref="BR32:BS32"/>
    <mergeCell ref="BT32:BU32"/>
    <mergeCell ref="AC33:AD33"/>
    <mergeCell ref="AE33:AH33"/>
    <mergeCell ref="AI33:AL33"/>
    <mergeCell ref="AM33:AP33"/>
    <mergeCell ref="AQ33:AT33"/>
    <mergeCell ref="AU33:AX33"/>
    <mergeCell ref="AE32:AH32"/>
    <mergeCell ref="AI32:AL32"/>
    <mergeCell ref="AM32:AP32"/>
    <mergeCell ref="AQ32:AT32"/>
    <mergeCell ref="AU32:AX32"/>
    <mergeCell ref="AY32:BB32"/>
    <mergeCell ref="G33:I33"/>
    <mergeCell ref="J33:L33"/>
    <mergeCell ref="AF36:AJ36"/>
    <mergeCell ref="BK36:BP36"/>
    <mergeCell ref="BQ36:BU36"/>
    <mergeCell ref="M33:O33"/>
    <mergeCell ref="P33:R33"/>
    <mergeCell ref="S33:U33"/>
    <mergeCell ref="V33:X33"/>
    <mergeCell ref="BF31:BG31"/>
    <mergeCell ref="BH31:BK31"/>
    <mergeCell ref="BR31:BS31"/>
    <mergeCell ref="BT31:BU31"/>
    <mergeCell ref="B83:D84"/>
    <mergeCell ref="E83:G84"/>
    <mergeCell ref="H83:I84"/>
    <mergeCell ref="J83:K84"/>
    <mergeCell ref="L83:AA84"/>
    <mergeCell ref="AC32:AD32"/>
    <mergeCell ref="AE31:AH31"/>
    <mergeCell ref="AI31:AL31"/>
    <mergeCell ref="AM31:AP31"/>
    <mergeCell ref="AQ31:AT31"/>
    <mergeCell ref="AU31:AX31"/>
    <mergeCell ref="AY31:BB31"/>
    <mergeCell ref="B82:D82"/>
    <mergeCell ref="E82:G82"/>
    <mergeCell ref="H82:I82"/>
    <mergeCell ref="J82:K82"/>
    <mergeCell ref="L82:AA82"/>
    <mergeCell ref="AC31:AD31"/>
    <mergeCell ref="AY33:BB33"/>
    <mergeCell ref="BL33:BN34"/>
    <mergeCell ref="BO33:BR34"/>
    <mergeCell ref="BS33:BU34"/>
    <mergeCell ref="B35:U35"/>
    <mergeCell ref="V35:X35"/>
    <mergeCell ref="Y35:AG35"/>
    <mergeCell ref="AH35:AJ35"/>
    <mergeCell ref="BF32:BG32"/>
    <mergeCell ref="BH32:BK32"/>
    <mergeCell ref="AC30:AD30"/>
    <mergeCell ref="AE30:AF30"/>
    <mergeCell ref="AG30:AH30"/>
    <mergeCell ref="AI30:AJ30"/>
    <mergeCell ref="AK30:AL30"/>
    <mergeCell ref="AO29:AP29"/>
    <mergeCell ref="AQ29:AR29"/>
    <mergeCell ref="AS29:AT29"/>
    <mergeCell ref="AU29:AV29"/>
    <mergeCell ref="AW29:AX29"/>
    <mergeCell ref="AY29:AZ29"/>
    <mergeCell ref="AC29:AD29"/>
    <mergeCell ref="AE29:AF29"/>
    <mergeCell ref="AG29:AH29"/>
    <mergeCell ref="AI29:AJ29"/>
    <mergeCell ref="AK29:AL29"/>
    <mergeCell ref="AM29:AN29"/>
    <mergeCell ref="C79:K79"/>
    <mergeCell ref="L79:AA79"/>
    <mergeCell ref="AC28:AD28"/>
    <mergeCell ref="AE28:AF28"/>
    <mergeCell ref="AG28:AH28"/>
    <mergeCell ref="AI28:AJ28"/>
    <mergeCell ref="AK28:AL28"/>
    <mergeCell ref="AS27:AT27"/>
    <mergeCell ref="AU27:AV27"/>
    <mergeCell ref="AW27:AX27"/>
    <mergeCell ref="AY27:AZ27"/>
    <mergeCell ref="BA27:BB27"/>
    <mergeCell ref="BF27:BG27"/>
    <mergeCell ref="AG27:AH27"/>
    <mergeCell ref="AI27:AJ27"/>
    <mergeCell ref="AK27:AL27"/>
    <mergeCell ref="AI26:AJ26"/>
    <mergeCell ref="AY30:AZ30"/>
    <mergeCell ref="BA30:BB30"/>
    <mergeCell ref="AM27:AN27"/>
    <mergeCell ref="AO27:AP27"/>
    <mergeCell ref="AQ27:AR27"/>
    <mergeCell ref="AY28:AZ28"/>
    <mergeCell ref="BA28:BB28"/>
    <mergeCell ref="BF28:BG28"/>
    <mergeCell ref="AM28:AN28"/>
    <mergeCell ref="AO28:AP28"/>
    <mergeCell ref="AQ28:AR28"/>
    <mergeCell ref="AS28:AT28"/>
    <mergeCell ref="AU28:AV28"/>
    <mergeCell ref="AW28:AX28"/>
    <mergeCell ref="BF30:BG30"/>
    <mergeCell ref="C78:K78"/>
    <mergeCell ref="L78:M78"/>
    <mergeCell ref="N78:O78"/>
    <mergeCell ref="P78:S78"/>
    <mergeCell ref="T78:U78"/>
    <mergeCell ref="V78:W78"/>
    <mergeCell ref="X78:AA78"/>
    <mergeCell ref="AC27:AD27"/>
    <mergeCell ref="AE27:AF27"/>
    <mergeCell ref="AW26:AX26"/>
    <mergeCell ref="AY26:AZ26"/>
    <mergeCell ref="BA26:BB26"/>
    <mergeCell ref="BF26:BG26"/>
    <mergeCell ref="BH26:BK26"/>
    <mergeCell ref="BR26:BS26"/>
    <mergeCell ref="AK26:AL26"/>
    <mergeCell ref="C75:K75"/>
    <mergeCell ref="L75:O75"/>
    <mergeCell ref="AM26:AN26"/>
    <mergeCell ref="AO26:AP26"/>
    <mergeCell ref="AQ26:AR26"/>
    <mergeCell ref="AS26:AT26"/>
    <mergeCell ref="AU26:AV26"/>
    <mergeCell ref="BH27:BK27"/>
    <mergeCell ref="BR27:BS27"/>
    <mergeCell ref="BH28:BK28"/>
    <mergeCell ref="BR28:BS28"/>
    <mergeCell ref="BH30:BK30"/>
    <mergeCell ref="BR30:BS30"/>
    <mergeCell ref="AM30:AN30"/>
    <mergeCell ref="AO30:AP30"/>
    <mergeCell ref="AQ30:AR30"/>
    <mergeCell ref="C76:K76"/>
    <mergeCell ref="L76:M76"/>
    <mergeCell ref="N76:O76"/>
    <mergeCell ref="P76:S76"/>
    <mergeCell ref="T76:U76"/>
    <mergeCell ref="V76:W76"/>
    <mergeCell ref="X76:AA76"/>
    <mergeCell ref="AC25:AD26"/>
    <mergeCell ref="AE25:AH25"/>
    <mergeCell ref="BH25:BK25"/>
    <mergeCell ref="BR25:BS25"/>
    <mergeCell ref="BT25:BU25"/>
    <mergeCell ref="C77:K77"/>
    <mergeCell ref="L77:O77"/>
    <mergeCell ref="P77:S77"/>
    <mergeCell ref="T77:AA77"/>
    <mergeCell ref="AE26:AF26"/>
    <mergeCell ref="AG26:AH26"/>
    <mergeCell ref="AI25:AL25"/>
    <mergeCell ref="AM25:AP25"/>
    <mergeCell ref="AQ25:AT25"/>
    <mergeCell ref="AU25:AX25"/>
    <mergeCell ref="AY25:BB25"/>
    <mergeCell ref="BF25:BG25"/>
    <mergeCell ref="BT26:BU26"/>
    <mergeCell ref="BT27:BU27"/>
    <mergeCell ref="BT28:BU28"/>
    <mergeCell ref="BT30:BU30"/>
    <mergeCell ref="AS30:AT30"/>
    <mergeCell ref="AU30:AV30"/>
    <mergeCell ref="AW30:AX30"/>
    <mergeCell ref="BA29:BB29"/>
    <mergeCell ref="BR22:BS22"/>
    <mergeCell ref="BT22:BU22"/>
    <mergeCell ref="F74:K74"/>
    <mergeCell ref="L74:M74"/>
    <mergeCell ref="N74:O74"/>
    <mergeCell ref="P74:S74"/>
    <mergeCell ref="T74:U74"/>
    <mergeCell ref="V74:W74"/>
    <mergeCell ref="AK22:AM22"/>
    <mergeCell ref="AN22:AP22"/>
    <mergeCell ref="AQ22:AS22"/>
    <mergeCell ref="AT22:AV22"/>
    <mergeCell ref="AW22:AY22"/>
    <mergeCell ref="AZ22:BB22"/>
    <mergeCell ref="X74:AA74"/>
    <mergeCell ref="BF23:BG23"/>
    <mergeCell ref="BH23:BK23"/>
    <mergeCell ref="BR23:BS23"/>
    <mergeCell ref="BT23:BU23"/>
    <mergeCell ref="F73:K73"/>
    <mergeCell ref="L73:M73"/>
    <mergeCell ref="N73:O73"/>
    <mergeCell ref="P73:S73"/>
    <mergeCell ref="T73:U73"/>
    <mergeCell ref="BF24:BG24"/>
    <mergeCell ref="BH24:BK24"/>
    <mergeCell ref="BR24:BS24"/>
    <mergeCell ref="BT24:BU24"/>
    <mergeCell ref="BF29:BG29"/>
    <mergeCell ref="BH29:BK29"/>
    <mergeCell ref="BR29:BS29"/>
    <mergeCell ref="BT29:BU29"/>
    <mergeCell ref="BH21:BK21"/>
    <mergeCell ref="BF22:BG22"/>
    <mergeCell ref="BH22:BK22"/>
    <mergeCell ref="V73:W73"/>
    <mergeCell ref="X73:AA73"/>
    <mergeCell ref="AG22:AJ22"/>
    <mergeCell ref="AQ21:AS21"/>
    <mergeCell ref="BH18:BK18"/>
    <mergeCell ref="BR20:BS20"/>
    <mergeCell ref="BT20:BU20"/>
    <mergeCell ref="F72:K72"/>
    <mergeCell ref="L72:M72"/>
    <mergeCell ref="N72:O72"/>
    <mergeCell ref="Q72:R72"/>
    <mergeCell ref="T72:U72"/>
    <mergeCell ref="V72:W72"/>
    <mergeCell ref="Y72:Z72"/>
    <mergeCell ref="AG21:AJ21"/>
    <mergeCell ref="AQ20:AS20"/>
    <mergeCell ref="AT20:AV20"/>
    <mergeCell ref="AW20:AY20"/>
    <mergeCell ref="AZ20:BB20"/>
    <mergeCell ref="BF20:BG20"/>
    <mergeCell ref="BH20:BK20"/>
    <mergeCell ref="AK21:AM21"/>
    <mergeCell ref="AN21:AP21"/>
    <mergeCell ref="BR21:BS21"/>
    <mergeCell ref="BT21:BU21"/>
    <mergeCell ref="AT21:AV21"/>
    <mergeCell ref="AW21:AY21"/>
    <mergeCell ref="AZ21:BB21"/>
    <mergeCell ref="BF21:BG21"/>
    <mergeCell ref="BR18:BS18"/>
    <mergeCell ref="BT18:BU18"/>
    <mergeCell ref="C70:E74"/>
    <mergeCell ref="F70:K70"/>
    <mergeCell ref="L70:M70"/>
    <mergeCell ref="N70:O70"/>
    <mergeCell ref="P70:S70"/>
    <mergeCell ref="T70:U70"/>
    <mergeCell ref="BR19:BS19"/>
    <mergeCell ref="BT19:BU19"/>
    <mergeCell ref="F71:K71"/>
    <mergeCell ref="L71:M71"/>
    <mergeCell ref="N71:O71"/>
    <mergeCell ref="P71:S71"/>
    <mergeCell ref="T71:U71"/>
    <mergeCell ref="V71:W71"/>
    <mergeCell ref="X71:AA71"/>
    <mergeCell ref="AG20:AJ20"/>
    <mergeCell ref="AQ19:AS19"/>
    <mergeCell ref="AT19:AV19"/>
    <mergeCell ref="AW19:AY19"/>
    <mergeCell ref="AZ19:BB19"/>
    <mergeCell ref="BF19:BG19"/>
    <mergeCell ref="BH19:BK19"/>
    <mergeCell ref="V70:W70"/>
    <mergeCell ref="X70:AA70"/>
    <mergeCell ref="AC19:AF22"/>
    <mergeCell ref="AG19:AJ19"/>
    <mergeCell ref="AK19:AM19"/>
    <mergeCell ref="AN19:AP19"/>
    <mergeCell ref="AK20:AM20"/>
    <mergeCell ref="AN20:AP20"/>
    <mergeCell ref="BR16:BS16"/>
    <mergeCell ref="BT16:BU16"/>
    <mergeCell ref="AC17:AF18"/>
    <mergeCell ref="AG17:AJ17"/>
    <mergeCell ref="AK17:AM17"/>
    <mergeCell ref="AN17:AP17"/>
    <mergeCell ref="AQ17:AS17"/>
    <mergeCell ref="BT17:BU17"/>
    <mergeCell ref="B69:K69"/>
    <mergeCell ref="L69:AA69"/>
    <mergeCell ref="AG18:AJ18"/>
    <mergeCell ref="AK18:AM18"/>
    <mergeCell ref="AN18:AP18"/>
    <mergeCell ref="AQ18:AS18"/>
    <mergeCell ref="AT18:AV18"/>
    <mergeCell ref="AW18:AY18"/>
    <mergeCell ref="AZ18:BB18"/>
    <mergeCell ref="AT17:AV17"/>
    <mergeCell ref="AW17:AY17"/>
    <mergeCell ref="AZ17:BB17"/>
    <mergeCell ref="BF17:BG17"/>
    <mergeCell ref="BH17:BK17"/>
    <mergeCell ref="BR17:BS17"/>
    <mergeCell ref="BF18:BG18"/>
    <mergeCell ref="AC16:AJ16"/>
    <mergeCell ref="AK16:AM16"/>
    <mergeCell ref="AN16:AP16"/>
    <mergeCell ref="AQ16:AS16"/>
    <mergeCell ref="AT16:AV16"/>
    <mergeCell ref="AW16:AY16"/>
    <mergeCell ref="AZ16:BB16"/>
    <mergeCell ref="BF16:BG16"/>
    <mergeCell ref="BH16:BK16"/>
    <mergeCell ref="BH14:BK14"/>
    <mergeCell ref="BR14:BS14"/>
    <mergeCell ref="BT14:BU14"/>
    <mergeCell ref="B15:F15"/>
    <mergeCell ref="G15:I15"/>
    <mergeCell ref="J15:L15"/>
    <mergeCell ref="M15:O15"/>
    <mergeCell ref="P15:R15"/>
    <mergeCell ref="S15:U15"/>
    <mergeCell ref="V15:W15"/>
    <mergeCell ref="X15:AA15"/>
    <mergeCell ref="BF15:BG15"/>
    <mergeCell ref="BH15:BK15"/>
    <mergeCell ref="BR15:BS15"/>
    <mergeCell ref="BT15:BU15"/>
    <mergeCell ref="B13:F13"/>
    <mergeCell ref="G13:I13"/>
    <mergeCell ref="J13:L13"/>
    <mergeCell ref="M13:O13"/>
    <mergeCell ref="P13:R13"/>
    <mergeCell ref="S13:U13"/>
    <mergeCell ref="BR13:BS13"/>
    <mergeCell ref="BT13:BU13"/>
    <mergeCell ref="B14:F14"/>
    <mergeCell ref="G14:I14"/>
    <mergeCell ref="J14:L14"/>
    <mergeCell ref="M14:O14"/>
    <mergeCell ref="P14:R14"/>
    <mergeCell ref="S14:U14"/>
    <mergeCell ref="AC14:AJ14"/>
    <mergeCell ref="AK14:AL14"/>
    <mergeCell ref="AN14:BB14"/>
    <mergeCell ref="BF14:BG14"/>
    <mergeCell ref="BT11:BU11"/>
    <mergeCell ref="B12:F12"/>
    <mergeCell ref="G12:I12"/>
    <mergeCell ref="J12:L12"/>
    <mergeCell ref="M12:O12"/>
    <mergeCell ref="P12:R12"/>
    <mergeCell ref="S12:U12"/>
    <mergeCell ref="AC12:AJ12"/>
    <mergeCell ref="AK12:AL12"/>
    <mergeCell ref="AN12:BB12"/>
    <mergeCell ref="AC11:AJ11"/>
    <mergeCell ref="AK11:AL11"/>
    <mergeCell ref="AN11:BB11"/>
    <mergeCell ref="BF11:BG11"/>
    <mergeCell ref="BH11:BK11"/>
    <mergeCell ref="BR11:BS11"/>
    <mergeCell ref="BF12:BG12"/>
    <mergeCell ref="BH12:BK12"/>
    <mergeCell ref="BR12:BS12"/>
    <mergeCell ref="BT12:BU12"/>
    <mergeCell ref="B11:F11"/>
    <mergeCell ref="G11:I11"/>
    <mergeCell ref="J11:L11"/>
    <mergeCell ref="M11:O11"/>
    <mergeCell ref="P11:R11"/>
    <mergeCell ref="V14:X14"/>
    <mergeCell ref="Y14:AA14"/>
    <mergeCell ref="S11:U11"/>
    <mergeCell ref="AC13:AJ13"/>
    <mergeCell ref="AK13:AL13"/>
    <mergeCell ref="B8:F8"/>
    <mergeCell ref="G8:I8"/>
    <mergeCell ref="J8:L8"/>
    <mergeCell ref="M8:O8"/>
    <mergeCell ref="P8:R8"/>
    <mergeCell ref="B10:F10"/>
    <mergeCell ref="G10:I10"/>
    <mergeCell ref="J10:L10"/>
    <mergeCell ref="M10:O10"/>
    <mergeCell ref="P10:R10"/>
    <mergeCell ref="S10:U10"/>
    <mergeCell ref="BF9:BG9"/>
    <mergeCell ref="BH9:BK9"/>
    <mergeCell ref="BR9:BS9"/>
    <mergeCell ref="BT9:BU9"/>
    <mergeCell ref="AC10:AJ10"/>
    <mergeCell ref="AK10:AM10"/>
    <mergeCell ref="AN10:BB10"/>
    <mergeCell ref="BF10:BG10"/>
    <mergeCell ref="BH10:BK10"/>
    <mergeCell ref="BR10:BS10"/>
    <mergeCell ref="BT10:BU10"/>
    <mergeCell ref="B9:F9"/>
    <mergeCell ref="G9:I9"/>
    <mergeCell ref="J9:L9"/>
    <mergeCell ref="M9:O9"/>
    <mergeCell ref="P9:R9"/>
    <mergeCell ref="BH8:BK8"/>
    <mergeCell ref="BR8:BS8"/>
    <mergeCell ref="BT8:BU8"/>
    <mergeCell ref="B4:F4"/>
    <mergeCell ref="G4:I4"/>
    <mergeCell ref="BF6:BG6"/>
    <mergeCell ref="AM7:AN7"/>
    <mergeCell ref="AQ7:AR7"/>
    <mergeCell ref="AS7:AT7"/>
    <mergeCell ref="AU7:AV7"/>
    <mergeCell ref="AC7:AD7"/>
    <mergeCell ref="AE7:AF7"/>
    <mergeCell ref="AG7:AH7"/>
    <mergeCell ref="AI7:AJ7"/>
    <mergeCell ref="AK7:AL7"/>
    <mergeCell ref="BH6:BK6"/>
    <mergeCell ref="BR6:BS6"/>
    <mergeCell ref="BT6:BU6"/>
    <mergeCell ref="B7:F7"/>
    <mergeCell ref="G7:I7"/>
    <mergeCell ref="J7:L7"/>
    <mergeCell ref="M7:O7"/>
    <mergeCell ref="P7:R7"/>
    <mergeCell ref="S7:U7"/>
    <mergeCell ref="B6:F6"/>
    <mergeCell ref="G6:I6"/>
    <mergeCell ref="J6:L6"/>
    <mergeCell ref="M6:O6"/>
    <mergeCell ref="P6:R6"/>
    <mergeCell ref="S6:U6"/>
    <mergeCell ref="BA7:BB7"/>
    <mergeCell ref="BF7:BG7"/>
    <mergeCell ref="BH7:BK7"/>
    <mergeCell ref="BR7:BS7"/>
    <mergeCell ref="BT7:BU7"/>
    <mergeCell ref="B3:F3"/>
    <mergeCell ref="G3:I3"/>
    <mergeCell ref="J3:L3"/>
    <mergeCell ref="M3:O3"/>
    <mergeCell ref="P3:R3"/>
    <mergeCell ref="S3:U3"/>
    <mergeCell ref="A1:C1"/>
    <mergeCell ref="G1:H1"/>
    <mergeCell ref="AA1:AB1"/>
    <mergeCell ref="BA1:BB1"/>
    <mergeCell ref="BC1:BE1"/>
    <mergeCell ref="BF1:BJ1"/>
    <mergeCell ref="BF3:BG3"/>
    <mergeCell ref="BH3:BK3"/>
    <mergeCell ref="BR3:BS3"/>
    <mergeCell ref="BT3:BU3"/>
    <mergeCell ref="BH5:BK5"/>
    <mergeCell ref="BR5:BS5"/>
    <mergeCell ref="BT5:BU5"/>
    <mergeCell ref="AK5:AL5"/>
    <mergeCell ref="AM5:AN5"/>
    <mergeCell ref="AQ5:AR5"/>
    <mergeCell ref="AS5:AT5"/>
    <mergeCell ref="AU5:AV5"/>
    <mergeCell ref="AW5:AX5"/>
    <mergeCell ref="B5:F5"/>
    <mergeCell ref="G5:I5"/>
    <mergeCell ref="J5:L5"/>
    <mergeCell ref="M5:O5"/>
    <mergeCell ref="P5:R5"/>
    <mergeCell ref="S5:U5"/>
    <mergeCell ref="AY4:AZ4"/>
    <mergeCell ref="CA1:CH1"/>
    <mergeCell ref="BE2:BK2"/>
    <mergeCell ref="BR2:BS2"/>
    <mergeCell ref="BT2:BU2"/>
    <mergeCell ref="BA4:BB4"/>
    <mergeCell ref="BF4:BG4"/>
    <mergeCell ref="AC4:AD4"/>
    <mergeCell ref="AE4:AF4"/>
    <mergeCell ref="AG4:AH4"/>
    <mergeCell ref="AI4:AJ4"/>
    <mergeCell ref="AC5:AD5"/>
    <mergeCell ref="AE5:AF5"/>
    <mergeCell ref="AG5:AH5"/>
    <mergeCell ref="AI5:AJ5"/>
    <mergeCell ref="AY5:AZ5"/>
    <mergeCell ref="BA5:BB5"/>
    <mergeCell ref="AM8:AN8"/>
    <mergeCell ref="AQ8:AR8"/>
    <mergeCell ref="AS8:AT8"/>
    <mergeCell ref="AU8:AV8"/>
    <mergeCell ref="AW8:AX8"/>
    <mergeCell ref="AY8:AZ8"/>
    <mergeCell ref="AC8:AD8"/>
    <mergeCell ref="AE8:AF8"/>
    <mergeCell ref="AG8:AH8"/>
    <mergeCell ref="AI8:AJ8"/>
    <mergeCell ref="AK8:AL8"/>
    <mergeCell ref="BF5:BG5"/>
    <mergeCell ref="AW7:AX7"/>
    <mergeCell ref="AY7:AZ7"/>
    <mergeCell ref="BA8:BB8"/>
    <mergeCell ref="BF8:BG8"/>
    <mergeCell ref="V3:X3"/>
    <mergeCell ref="Y3:AA3"/>
    <mergeCell ref="V4:X4"/>
    <mergeCell ref="Y4:AA4"/>
    <mergeCell ref="S4:U4"/>
    <mergeCell ref="V5:X5"/>
    <mergeCell ref="Y5:AA5"/>
    <mergeCell ref="V6:X6"/>
    <mergeCell ref="Y6:AA6"/>
    <mergeCell ref="V7:X7"/>
    <mergeCell ref="Y7:AA7"/>
    <mergeCell ref="V8:X8"/>
    <mergeCell ref="Y8:AA8"/>
    <mergeCell ref="V9:X9"/>
    <mergeCell ref="Y9:AA9"/>
    <mergeCell ref="V10:X10"/>
    <mergeCell ref="Y10:AA10"/>
    <mergeCell ref="S8:U8"/>
    <mergeCell ref="S9:U9"/>
    <mergeCell ref="J4:L4"/>
    <mergeCell ref="M4:O4"/>
    <mergeCell ref="P4:R4"/>
    <mergeCell ref="BH4:BK4"/>
    <mergeCell ref="BR4:BS4"/>
    <mergeCell ref="BT4:BU4"/>
    <mergeCell ref="AK4:AL4"/>
    <mergeCell ref="AM4:AN4"/>
    <mergeCell ref="AQ4:AR4"/>
    <mergeCell ref="AS4:AT4"/>
    <mergeCell ref="AU4:AV4"/>
    <mergeCell ref="AW4:AX4"/>
    <mergeCell ref="V11:X11"/>
    <mergeCell ref="Y11:AA11"/>
    <mergeCell ref="AN13:BB13"/>
    <mergeCell ref="BF13:BG13"/>
    <mergeCell ref="BH13:BK13"/>
    <mergeCell ref="V12:X12"/>
    <mergeCell ref="Y12:AA12"/>
    <mergeCell ref="V13:X13"/>
    <mergeCell ref="Y13:AA13"/>
  </mergeCells>
  <phoneticPr fontId="2"/>
  <conditionalFormatting sqref="G15:U15">
    <cfRule type="cellIs" dxfId="29" priority="26" operator="lessThan">
      <formula>700000</formula>
    </cfRule>
  </conditionalFormatting>
  <conditionalFormatting sqref="G23:U23">
    <cfRule type="cellIs" dxfId="28" priority="11" operator="between">
      <formula>0.95</formula>
      <formula>0.9</formula>
    </cfRule>
    <cfRule type="cellIs" dxfId="27" priority="12" operator="lessThan">
      <formula>0.9</formula>
    </cfRule>
  </conditionalFormatting>
  <conditionalFormatting sqref="G20:X22">
    <cfRule type="cellIs" dxfId="26" priority="9" operator="between">
      <formula>0.95</formula>
      <formula>0.9</formula>
    </cfRule>
    <cfRule type="cellIs" dxfId="25" priority="10" operator="lessThan">
      <formula>0.9</formula>
    </cfRule>
  </conditionalFormatting>
  <conditionalFormatting sqref="G24:X24">
    <cfRule type="cellIs" dxfId="24" priority="21" operator="lessThan">
      <formula>0.4</formula>
    </cfRule>
    <cfRule type="cellIs" dxfId="23" priority="22" operator="lessThan">
      <formula>0.5</formula>
    </cfRule>
  </conditionalFormatting>
  <conditionalFormatting sqref="G6:AA6">
    <cfRule type="cellIs" dxfId="22" priority="1" operator="between">
      <formula>0.95</formula>
      <formula>0.9</formula>
    </cfRule>
    <cfRule type="cellIs" dxfId="21" priority="6" operator="lessThan">
      <formula>0.9</formula>
    </cfRule>
  </conditionalFormatting>
  <conditionalFormatting sqref="G8:AA8">
    <cfRule type="cellIs" dxfId="20" priority="4" operator="lessThan">
      <formula>0.4</formula>
    </cfRule>
    <cfRule type="cellIs" dxfId="19" priority="5" operator="lessThan">
      <formula>0.5</formula>
    </cfRule>
  </conditionalFormatting>
  <conditionalFormatting sqref="G10:AA10">
    <cfRule type="cellIs" dxfId="18" priority="3" operator="lessThan">
      <formula>0.9</formula>
    </cfRule>
  </conditionalFormatting>
  <conditionalFormatting sqref="G12:AA12">
    <cfRule type="expression" dxfId="17" priority="2">
      <formula>AND(G12&lt;&gt;"",G12&gt;0.3)</formula>
    </cfRule>
  </conditionalFormatting>
  <conditionalFormatting sqref="G14:AA14">
    <cfRule type="containsBlanks" dxfId="16" priority="7">
      <formula>LEN(TRIM(G14))=0</formula>
    </cfRule>
  </conditionalFormatting>
  <conditionalFormatting sqref="J27:AA31">
    <cfRule type="containsBlanks" dxfId="15" priority="8">
      <formula>LEN(TRIM(J27))=0</formula>
    </cfRule>
  </conditionalFormatting>
  <conditionalFormatting sqref="P75:AA75">
    <cfRule type="cellIs" dxfId="14" priority="35" operator="equal">
      <formula>"完"</formula>
    </cfRule>
  </conditionalFormatting>
  <conditionalFormatting sqref="AH35:AJ35">
    <cfRule type="cellIs" dxfId="13" priority="33" operator="equal">
      <formula>"Ⅱ算定済"</formula>
    </cfRule>
    <cfRule type="cellIs" dxfId="12" priority="34" operator="equal">
      <formula>"Ⅰ算定済"</formula>
    </cfRule>
  </conditionalFormatting>
  <conditionalFormatting sqref="BF3:BU32 P75:AA75 AH35:AJ35 AC5:AN5 AQ5:BB5 AC8:AN8 AQ8:BB8 AC11:BB14 AK17:BB21 AE27:BB29 AE32:BB32 BK37:BP42 D37:AJ66 AL38:BI38 AL42:BI42 BW45:CH49 AL46:BI46 AL50:BI50 AL54:BI54 AL58:BI58 AL62:BI62 AL66:BI66 P70:S71 P72 S72 X72 AA72 P73:S73 X73:AA73 X76:AA76 P76:S78 X78:AA78 L79:AA79 B83:G84 L83:AA84">
    <cfRule type="containsBlanks" dxfId="11" priority="37">
      <formula>LEN(TRIM(B3))=0</formula>
    </cfRule>
  </conditionalFormatting>
  <conditionalFormatting sqref="BL3:BQ32">
    <cfRule type="cellIs" dxfId="10" priority="36" operator="equal">
      <formula>"完"</formula>
    </cfRule>
  </conditionalFormatting>
  <dataValidations count="23">
    <dataValidation type="list" allowBlank="1" showInputMessage="1" showErrorMessage="1" sqref="BL3:BQ32" xr:uid="{C97E630A-DD2F-45E8-814B-E5A9471A4457}">
      <formula1>"完"</formula1>
    </dataValidation>
    <dataValidation type="list" allowBlank="1" showInputMessage="1" showErrorMessage="1" sqref="B83:D84" xr:uid="{92A939BD-A579-4140-8267-5923F3F80BFD}">
      <formula1>"Ⅰ,Ⅱ,Ⅲ"</formula1>
    </dataValidation>
    <dataValidation type="list" allowBlank="1" showInputMessage="1" showErrorMessage="1" sqref="AD37:AE66" xr:uid="{F3908431-F72E-410D-9B72-6F8493EC39A5}">
      <formula1>"済"</formula1>
    </dataValidation>
    <dataValidation type="list" allowBlank="1" showInputMessage="1" showErrorMessage="1" sqref="AM11:AM14" xr:uid="{EBA2D68A-396D-4694-AF0D-4244B4C38846}">
      <formula1>"週,月"</formula1>
    </dataValidation>
    <dataValidation type="list" allowBlank="1" showInputMessage="1" showErrorMessage="1" sqref="BF3:BG32" xr:uid="{94151248-ECAE-426E-BAC6-76D5CE7F146D}">
      <formula1>"時給,常時給,月給"</formula1>
    </dataValidation>
    <dataValidation type="list" allowBlank="1" showInputMessage="1" showErrorMessage="1" sqref="X78:AA78 BT3:BT32 P70:S71 P72 S72 P73:S74 X73:AA74 AA72 X72 X70:AA71 X76:AA76 P76:S78 BR3:BR32" xr:uid="{6E34732D-EC1B-4F25-BC40-37382DB4ED35}">
      <formula1>"●"</formula1>
    </dataValidation>
    <dataValidation type="list" allowBlank="1" showInputMessage="1" showErrorMessage="1" sqref="P75" xr:uid="{08589936-03C0-4DC6-ACFC-AA395DFDF7B6}">
      <formula1>"1,完"</formula1>
    </dataValidation>
    <dataValidation type="list" allowBlank="1" showInputMessage="1" showErrorMessage="1" sqref="Q75" xr:uid="{FBEE3760-1980-400C-9DFB-D553D191A2BB}">
      <formula1>"2,完"</formula1>
    </dataValidation>
    <dataValidation type="list" allowBlank="1" showInputMessage="1" showErrorMessage="1" sqref="R75" xr:uid="{B0D929DE-C757-4593-B635-55B676218EAB}">
      <formula1>"3,完"</formula1>
    </dataValidation>
    <dataValidation type="list" allowBlank="1" showInputMessage="1" showErrorMessage="1" sqref="S75" xr:uid="{65C013EE-0472-4317-822D-090FE749FAF5}">
      <formula1>"4,完"</formula1>
    </dataValidation>
    <dataValidation type="list" allowBlank="1" showInputMessage="1" showErrorMessage="1" sqref="T75" xr:uid="{6FB0AFA0-37D5-4D98-9439-37CEF67825DF}">
      <formula1>"5,完"</formula1>
    </dataValidation>
    <dataValidation type="list" allowBlank="1" showInputMessage="1" showErrorMessage="1" sqref="U75" xr:uid="{C8406C64-9BE1-49B7-929E-1360190964DA}">
      <formula1>"6,完"</formula1>
    </dataValidation>
    <dataValidation type="list" allowBlank="1" showInputMessage="1" showErrorMessage="1" sqref="V75" xr:uid="{59D95964-8786-42E3-A275-2740C9188E4B}">
      <formula1>"7,完"</formula1>
    </dataValidation>
    <dataValidation type="list" allowBlank="1" showInputMessage="1" showErrorMessage="1" sqref="W75" xr:uid="{4F932A90-61EB-4000-A68E-FB760A54B940}">
      <formula1>"8,完"</formula1>
    </dataValidation>
    <dataValidation type="list" allowBlank="1" showInputMessage="1" showErrorMessage="1" sqref="X75" xr:uid="{DE86DD6A-7C30-493F-BA84-3084333A18C4}">
      <formula1>"9,完"</formula1>
    </dataValidation>
    <dataValidation type="list" allowBlank="1" showInputMessage="1" showErrorMessage="1" sqref="Y75" xr:uid="{FED10150-B1D0-47BE-9A69-46B18052FBBC}">
      <formula1>"10,完"</formula1>
    </dataValidation>
    <dataValidation type="list" allowBlank="1" showInputMessage="1" showErrorMessage="1" sqref="Z75" xr:uid="{CA7C9E20-BC3D-46CF-90BC-1B7C013C9D01}">
      <formula1>"11,完"</formula1>
    </dataValidation>
    <dataValidation type="list" allowBlank="1" showInputMessage="1" showErrorMessage="1" sqref="AA75" xr:uid="{90C57B8D-3E16-47F5-A98B-463EB5966DD7}">
      <formula1>"12,完"</formula1>
    </dataValidation>
    <dataValidation type="list" allowBlank="1" showInputMessage="1" showErrorMessage="1" sqref="J37:K66" xr:uid="{3827DCCA-7C14-4404-84C6-3E173888C08A}">
      <formula1>"6,5,4,3,2,1,なし"</formula1>
    </dataValidation>
    <dataValidation type="list" allowBlank="1" showInputMessage="1" showErrorMessage="1" sqref="S37:S66" xr:uid="{BC956097-5DFC-4276-933F-B96F0125A4A1}">
      <formula1>"◎,○,△,➡"</formula1>
    </dataValidation>
    <dataValidation type="list" allowBlank="1" showInputMessage="1" showErrorMessage="1" sqref="AH35:AJ35" xr:uid="{50F22E58-AB30-4AA1-8E41-2F6D457E6BD5}">
      <formula1>"Ⅰ算定済,Ⅱ算定済"</formula1>
    </dataValidation>
    <dataValidation type="list" allowBlank="1" showInputMessage="1" showErrorMessage="1" sqref="BK37:BP42" xr:uid="{F63E1D62-013C-4067-8088-3BC31ABB8140}">
      <formula1>"転倒・転落,誤嚥・窒息,誤薬,行方不明,他害,利用者同士トラブル,自傷,入浴事故,医療急変,その他"</formula1>
    </dataValidation>
    <dataValidation type="list" allowBlank="1" showInputMessage="1" showErrorMessage="1" sqref="Y37:AC66" xr:uid="{80882F40-CCC6-45DA-8911-6E46E201BB4F}">
      <formula1>"重度支援Ⅰ,重度支援Ⅱ"</formula1>
    </dataValidation>
  </dataValidations>
  <hyperlinks>
    <hyperlink ref="BX6" r:id="rId1" xr:uid="{0A7DCA41-DA7E-470B-9EF2-26D52BCAFA77}"/>
    <hyperlink ref="B19:F19" r:id="rId2" display="利用日数" xr:uid="{C15E428E-8B11-4C54-B0DB-FA13B60B1FAA}"/>
    <hyperlink ref="B9:F9" r:id="rId3" display="..\04.サビ管_ラシエル\03. ご入居者利用状況一覧\西浅田⑤.xlsx" xr:uid="{70963336-5B2B-4A22-AE67-D5DF2F165435}"/>
    <hyperlink ref="B7:F7" r:id="rId4" display="短期稼働日数" xr:uid="{86DF878B-FFC5-4D0B-A8FE-4BF42C1956E6}"/>
    <hyperlink ref="B30:E31" r:id="rId5" display="派遣時間数" xr:uid="{BEEF486D-E9AF-4AA5-B7F2-C13C8B29FB34}"/>
    <hyperlink ref="B23:F23" r:id="rId6" display="短期稼働日数" xr:uid="{36B86982-9F51-4296-83FD-70F72577358C}"/>
    <hyperlink ref="B21:F21" r:id="rId7" display="利用日数(予定 ) " xr:uid="{4F374218-6A31-4349-A61D-6E5559651528}"/>
    <hyperlink ref="B35:U35" r:id="rId8" display="ご入居者平均区分" xr:uid="{2D813D2C-7040-45DB-B188-600E3DB9B037}"/>
  </hyperlinks>
  <printOptions horizontalCentered="1" verticalCentered="1"/>
  <pageMargins left="0.11811023622047245" right="0.11811023622047245" top="0.15748031496062992" bottom="0.15748031496062992" header="0" footer="0"/>
  <pageSetup paperSize="9" scale="29" orientation="landscape" r:id="rId9"/>
  <drawing r:id="rId10"/>
  <legacyDrawing r:id="rId11"/>
  <mc:AlternateContent xmlns:mc="http://schemas.openxmlformats.org/markup-compatibility/2006">
    <mc:Choice Requires="x14">
      <controls>
        <mc:AlternateContent xmlns:mc="http://schemas.openxmlformats.org/markup-compatibility/2006">
          <mc:Choice Requires="x14">
            <control shapeId="59405" r:id="rId12" name="TaskCheck_BW3">
              <controlPr defaultSize="0" autoFill="0" autoLine="0" autoPict="0">
                <anchor moveWithCells="1">
                  <from>
                    <xdr:col>74</xdr:col>
                    <xdr:colOff>25400</xdr:colOff>
                    <xdr:row>2</xdr:row>
                    <xdr:rowOff>12700</xdr:rowOff>
                  </from>
                  <to>
                    <xdr:col>75</xdr:col>
                    <xdr:colOff>127000</xdr:colOff>
                    <xdr:row>2</xdr:row>
                    <xdr:rowOff>279400</xdr:rowOff>
                  </to>
                </anchor>
              </controlPr>
            </control>
          </mc:Choice>
        </mc:AlternateContent>
        <mc:AlternateContent xmlns:mc="http://schemas.openxmlformats.org/markup-compatibility/2006">
          <mc:Choice Requires="x14">
            <control shapeId="59406" r:id="rId13" name="TaskCheck_BW4">
              <controlPr defaultSize="0" autoFill="0" autoLine="0" autoPict="0">
                <anchor moveWithCells="1">
                  <from>
                    <xdr:col>74</xdr:col>
                    <xdr:colOff>25400</xdr:colOff>
                    <xdr:row>3</xdr:row>
                    <xdr:rowOff>12700</xdr:rowOff>
                  </from>
                  <to>
                    <xdr:col>75</xdr:col>
                    <xdr:colOff>127000</xdr:colOff>
                    <xdr:row>3</xdr:row>
                    <xdr:rowOff>279400</xdr:rowOff>
                  </to>
                </anchor>
              </controlPr>
            </control>
          </mc:Choice>
        </mc:AlternateContent>
        <mc:AlternateContent xmlns:mc="http://schemas.openxmlformats.org/markup-compatibility/2006">
          <mc:Choice Requires="x14">
            <control shapeId="59407" r:id="rId14" name="TaskCheck_BW5">
              <controlPr defaultSize="0" autoFill="0" autoLine="0" autoPict="0">
                <anchor moveWithCells="1">
                  <from>
                    <xdr:col>74</xdr:col>
                    <xdr:colOff>25400</xdr:colOff>
                    <xdr:row>4</xdr:row>
                    <xdr:rowOff>12700</xdr:rowOff>
                  </from>
                  <to>
                    <xdr:col>75</xdr:col>
                    <xdr:colOff>127000</xdr:colOff>
                    <xdr:row>4</xdr:row>
                    <xdr:rowOff>279400</xdr:rowOff>
                  </to>
                </anchor>
              </controlPr>
            </control>
          </mc:Choice>
        </mc:AlternateContent>
        <mc:AlternateContent xmlns:mc="http://schemas.openxmlformats.org/markup-compatibility/2006">
          <mc:Choice Requires="x14">
            <control shapeId="59408" r:id="rId15" name="TaskCheck_BW6">
              <controlPr defaultSize="0" autoFill="0" autoLine="0" autoPict="0">
                <anchor moveWithCells="1">
                  <from>
                    <xdr:col>74</xdr:col>
                    <xdr:colOff>25400</xdr:colOff>
                    <xdr:row>5</xdr:row>
                    <xdr:rowOff>12700</xdr:rowOff>
                  </from>
                  <to>
                    <xdr:col>75</xdr:col>
                    <xdr:colOff>127000</xdr:colOff>
                    <xdr:row>5</xdr:row>
                    <xdr:rowOff>279400</xdr:rowOff>
                  </to>
                </anchor>
              </controlPr>
            </control>
          </mc:Choice>
        </mc:AlternateContent>
        <mc:AlternateContent xmlns:mc="http://schemas.openxmlformats.org/markup-compatibility/2006">
          <mc:Choice Requires="x14">
            <control shapeId="59409" r:id="rId16" name="TaskCheck_BW7">
              <controlPr defaultSize="0" autoFill="0" autoLine="0" autoPict="0">
                <anchor moveWithCells="1">
                  <from>
                    <xdr:col>74</xdr:col>
                    <xdr:colOff>25400</xdr:colOff>
                    <xdr:row>6</xdr:row>
                    <xdr:rowOff>12700</xdr:rowOff>
                  </from>
                  <to>
                    <xdr:col>75</xdr:col>
                    <xdr:colOff>127000</xdr:colOff>
                    <xdr:row>6</xdr:row>
                    <xdr:rowOff>279400</xdr:rowOff>
                  </to>
                </anchor>
              </controlPr>
            </control>
          </mc:Choice>
        </mc:AlternateContent>
        <mc:AlternateContent xmlns:mc="http://schemas.openxmlformats.org/markup-compatibility/2006">
          <mc:Choice Requires="x14">
            <control shapeId="59410" r:id="rId17" name="TaskCheck_BW8">
              <controlPr defaultSize="0" autoFill="0" autoLine="0" autoPict="0">
                <anchor moveWithCells="1">
                  <from>
                    <xdr:col>74</xdr:col>
                    <xdr:colOff>25400</xdr:colOff>
                    <xdr:row>7</xdr:row>
                    <xdr:rowOff>12700</xdr:rowOff>
                  </from>
                  <to>
                    <xdr:col>75</xdr:col>
                    <xdr:colOff>127000</xdr:colOff>
                    <xdr:row>7</xdr:row>
                    <xdr:rowOff>279400</xdr:rowOff>
                  </to>
                </anchor>
              </controlPr>
            </control>
          </mc:Choice>
        </mc:AlternateContent>
        <mc:AlternateContent xmlns:mc="http://schemas.openxmlformats.org/markup-compatibility/2006">
          <mc:Choice Requires="x14">
            <control shapeId="59411" r:id="rId18" name="TaskCheck_BW9">
              <controlPr defaultSize="0" autoFill="0" autoLine="0" autoPict="0">
                <anchor moveWithCells="1">
                  <from>
                    <xdr:col>74</xdr:col>
                    <xdr:colOff>25400</xdr:colOff>
                    <xdr:row>8</xdr:row>
                    <xdr:rowOff>12700</xdr:rowOff>
                  </from>
                  <to>
                    <xdr:col>75</xdr:col>
                    <xdr:colOff>127000</xdr:colOff>
                    <xdr:row>8</xdr:row>
                    <xdr:rowOff>279400</xdr:rowOff>
                  </to>
                </anchor>
              </controlPr>
            </control>
          </mc:Choice>
        </mc:AlternateContent>
        <mc:AlternateContent xmlns:mc="http://schemas.openxmlformats.org/markup-compatibility/2006">
          <mc:Choice Requires="x14">
            <control shapeId="59412" r:id="rId19" name="TaskCheck_BW10">
              <controlPr defaultSize="0" autoFill="0" autoLine="0" autoPict="0">
                <anchor moveWithCells="1">
                  <from>
                    <xdr:col>74</xdr:col>
                    <xdr:colOff>25400</xdr:colOff>
                    <xdr:row>9</xdr:row>
                    <xdr:rowOff>12700</xdr:rowOff>
                  </from>
                  <to>
                    <xdr:col>75</xdr:col>
                    <xdr:colOff>127000</xdr:colOff>
                    <xdr:row>9</xdr:row>
                    <xdr:rowOff>279400</xdr:rowOff>
                  </to>
                </anchor>
              </controlPr>
            </control>
          </mc:Choice>
        </mc:AlternateContent>
        <mc:AlternateContent xmlns:mc="http://schemas.openxmlformats.org/markup-compatibility/2006">
          <mc:Choice Requires="x14">
            <control shapeId="59413" r:id="rId20" name="TaskCheck_BW11">
              <controlPr defaultSize="0" autoFill="0" autoLine="0" autoPict="0">
                <anchor moveWithCells="1">
                  <from>
                    <xdr:col>74</xdr:col>
                    <xdr:colOff>25400</xdr:colOff>
                    <xdr:row>10</xdr:row>
                    <xdr:rowOff>12700</xdr:rowOff>
                  </from>
                  <to>
                    <xdr:col>75</xdr:col>
                    <xdr:colOff>127000</xdr:colOff>
                    <xdr:row>10</xdr:row>
                    <xdr:rowOff>279400</xdr:rowOff>
                  </to>
                </anchor>
              </controlPr>
            </control>
          </mc:Choice>
        </mc:AlternateContent>
        <mc:AlternateContent xmlns:mc="http://schemas.openxmlformats.org/markup-compatibility/2006">
          <mc:Choice Requires="x14">
            <control shapeId="59414" r:id="rId21" name="TaskCheck_BW12">
              <controlPr defaultSize="0" autoFill="0" autoLine="0" autoPict="0">
                <anchor moveWithCells="1">
                  <from>
                    <xdr:col>74</xdr:col>
                    <xdr:colOff>25400</xdr:colOff>
                    <xdr:row>11</xdr:row>
                    <xdr:rowOff>12700</xdr:rowOff>
                  </from>
                  <to>
                    <xdr:col>75</xdr:col>
                    <xdr:colOff>127000</xdr:colOff>
                    <xdr:row>11</xdr:row>
                    <xdr:rowOff>279400</xdr:rowOff>
                  </to>
                </anchor>
              </controlPr>
            </control>
          </mc:Choice>
        </mc:AlternateContent>
        <mc:AlternateContent xmlns:mc="http://schemas.openxmlformats.org/markup-compatibility/2006">
          <mc:Choice Requires="x14">
            <control shapeId="59415" r:id="rId22" name="TaskCheck_BW13">
              <controlPr defaultSize="0" autoFill="0" autoLine="0" autoPict="0">
                <anchor moveWithCells="1">
                  <from>
                    <xdr:col>74</xdr:col>
                    <xdr:colOff>25400</xdr:colOff>
                    <xdr:row>12</xdr:row>
                    <xdr:rowOff>12700</xdr:rowOff>
                  </from>
                  <to>
                    <xdr:col>75</xdr:col>
                    <xdr:colOff>127000</xdr:colOff>
                    <xdr:row>12</xdr:row>
                    <xdr:rowOff>279400</xdr:rowOff>
                  </to>
                </anchor>
              </controlPr>
            </control>
          </mc:Choice>
        </mc:AlternateContent>
        <mc:AlternateContent xmlns:mc="http://schemas.openxmlformats.org/markup-compatibility/2006">
          <mc:Choice Requires="x14">
            <control shapeId="59416" r:id="rId23" name="TaskCheck_BW14">
              <controlPr defaultSize="0" autoFill="0" autoLine="0" autoPict="0">
                <anchor moveWithCells="1">
                  <from>
                    <xdr:col>74</xdr:col>
                    <xdr:colOff>25400</xdr:colOff>
                    <xdr:row>13</xdr:row>
                    <xdr:rowOff>12700</xdr:rowOff>
                  </from>
                  <to>
                    <xdr:col>75</xdr:col>
                    <xdr:colOff>127000</xdr:colOff>
                    <xdr:row>13</xdr:row>
                    <xdr:rowOff>279400</xdr:rowOff>
                  </to>
                </anchor>
              </controlPr>
            </control>
          </mc:Choice>
        </mc:AlternateContent>
        <mc:AlternateContent xmlns:mc="http://schemas.openxmlformats.org/markup-compatibility/2006">
          <mc:Choice Requires="x14">
            <control shapeId="59417" r:id="rId24" name="TaskCheck_BW15">
              <controlPr defaultSize="0" autoFill="0" autoLine="0" autoPict="0">
                <anchor moveWithCells="1">
                  <from>
                    <xdr:col>74</xdr:col>
                    <xdr:colOff>25400</xdr:colOff>
                    <xdr:row>14</xdr:row>
                    <xdr:rowOff>12700</xdr:rowOff>
                  </from>
                  <to>
                    <xdr:col>75</xdr:col>
                    <xdr:colOff>127000</xdr:colOff>
                    <xdr:row>14</xdr:row>
                    <xdr:rowOff>279400</xdr:rowOff>
                  </to>
                </anchor>
              </controlPr>
            </control>
          </mc:Choice>
        </mc:AlternateContent>
        <mc:AlternateContent xmlns:mc="http://schemas.openxmlformats.org/markup-compatibility/2006">
          <mc:Choice Requires="x14">
            <control shapeId="59418" r:id="rId25" name="TaskCheck_BW16">
              <controlPr defaultSize="0" autoFill="0" autoLine="0" autoPict="0">
                <anchor moveWithCells="1">
                  <from>
                    <xdr:col>74</xdr:col>
                    <xdr:colOff>25400</xdr:colOff>
                    <xdr:row>15</xdr:row>
                    <xdr:rowOff>12700</xdr:rowOff>
                  </from>
                  <to>
                    <xdr:col>75</xdr:col>
                    <xdr:colOff>127000</xdr:colOff>
                    <xdr:row>15</xdr:row>
                    <xdr:rowOff>279400</xdr:rowOff>
                  </to>
                </anchor>
              </controlPr>
            </control>
          </mc:Choice>
        </mc:AlternateContent>
        <mc:AlternateContent xmlns:mc="http://schemas.openxmlformats.org/markup-compatibility/2006">
          <mc:Choice Requires="x14">
            <control shapeId="59419" r:id="rId26" name="TaskCheck_BW19">
              <controlPr defaultSize="0" autoFill="0" autoLine="0" autoPict="0">
                <anchor moveWithCells="1">
                  <from>
                    <xdr:col>74</xdr:col>
                    <xdr:colOff>25400</xdr:colOff>
                    <xdr:row>18</xdr:row>
                    <xdr:rowOff>12700</xdr:rowOff>
                  </from>
                  <to>
                    <xdr:col>75</xdr:col>
                    <xdr:colOff>127000</xdr:colOff>
                    <xdr:row>18</xdr:row>
                    <xdr:rowOff>279400</xdr:rowOff>
                  </to>
                </anchor>
              </controlPr>
            </control>
          </mc:Choice>
        </mc:AlternateContent>
        <mc:AlternateContent xmlns:mc="http://schemas.openxmlformats.org/markup-compatibility/2006">
          <mc:Choice Requires="x14">
            <control shapeId="59420" r:id="rId27" name="TaskCheck_BW20">
              <controlPr defaultSize="0" autoFill="0" autoLine="0" autoPict="0">
                <anchor moveWithCells="1">
                  <from>
                    <xdr:col>74</xdr:col>
                    <xdr:colOff>25400</xdr:colOff>
                    <xdr:row>19</xdr:row>
                    <xdr:rowOff>12700</xdr:rowOff>
                  </from>
                  <to>
                    <xdr:col>75</xdr:col>
                    <xdr:colOff>127000</xdr:colOff>
                    <xdr:row>19</xdr:row>
                    <xdr:rowOff>279400</xdr:rowOff>
                  </to>
                </anchor>
              </controlPr>
            </control>
          </mc:Choice>
        </mc:AlternateContent>
        <mc:AlternateContent xmlns:mc="http://schemas.openxmlformats.org/markup-compatibility/2006">
          <mc:Choice Requires="x14">
            <control shapeId="59421" r:id="rId28" name="TaskCheck_BW21">
              <controlPr defaultSize="0" autoFill="0" autoLine="0" autoPict="0">
                <anchor moveWithCells="1">
                  <from>
                    <xdr:col>74</xdr:col>
                    <xdr:colOff>25400</xdr:colOff>
                    <xdr:row>20</xdr:row>
                    <xdr:rowOff>12700</xdr:rowOff>
                  </from>
                  <to>
                    <xdr:col>75</xdr:col>
                    <xdr:colOff>127000</xdr:colOff>
                    <xdr:row>20</xdr:row>
                    <xdr:rowOff>279400</xdr:rowOff>
                  </to>
                </anchor>
              </controlPr>
            </control>
          </mc:Choice>
        </mc:AlternateContent>
        <mc:AlternateContent xmlns:mc="http://schemas.openxmlformats.org/markup-compatibility/2006">
          <mc:Choice Requires="x14">
            <control shapeId="59422" r:id="rId29" name="TaskCheck_BW22">
              <controlPr defaultSize="0" autoFill="0" autoLine="0" autoPict="0">
                <anchor moveWithCells="1">
                  <from>
                    <xdr:col>74</xdr:col>
                    <xdr:colOff>25400</xdr:colOff>
                    <xdr:row>21</xdr:row>
                    <xdr:rowOff>12700</xdr:rowOff>
                  </from>
                  <to>
                    <xdr:col>75</xdr:col>
                    <xdr:colOff>127000</xdr:colOff>
                    <xdr:row>21</xdr:row>
                    <xdr:rowOff>279400</xdr:rowOff>
                  </to>
                </anchor>
              </controlPr>
            </control>
          </mc:Choice>
        </mc:AlternateContent>
        <mc:AlternateContent xmlns:mc="http://schemas.openxmlformats.org/markup-compatibility/2006">
          <mc:Choice Requires="x14">
            <control shapeId="59423" r:id="rId30" name="TaskCheck_BW23">
              <controlPr defaultSize="0" autoFill="0" autoLine="0" autoPict="0">
                <anchor moveWithCells="1">
                  <from>
                    <xdr:col>74</xdr:col>
                    <xdr:colOff>25400</xdr:colOff>
                    <xdr:row>22</xdr:row>
                    <xdr:rowOff>12700</xdr:rowOff>
                  </from>
                  <to>
                    <xdr:col>75</xdr:col>
                    <xdr:colOff>127000</xdr:colOff>
                    <xdr:row>22</xdr:row>
                    <xdr:rowOff>279400</xdr:rowOff>
                  </to>
                </anchor>
              </controlPr>
            </control>
          </mc:Choice>
        </mc:AlternateContent>
        <mc:AlternateContent xmlns:mc="http://schemas.openxmlformats.org/markup-compatibility/2006">
          <mc:Choice Requires="x14">
            <control shapeId="59424" r:id="rId31" name="TaskCheck_BW24">
              <controlPr defaultSize="0" autoFill="0" autoLine="0" autoPict="0">
                <anchor moveWithCells="1">
                  <from>
                    <xdr:col>74</xdr:col>
                    <xdr:colOff>25400</xdr:colOff>
                    <xdr:row>23</xdr:row>
                    <xdr:rowOff>12700</xdr:rowOff>
                  </from>
                  <to>
                    <xdr:col>75</xdr:col>
                    <xdr:colOff>127000</xdr:colOff>
                    <xdr:row>23</xdr:row>
                    <xdr:rowOff>279400</xdr:rowOff>
                  </to>
                </anchor>
              </controlPr>
            </control>
          </mc:Choice>
        </mc:AlternateContent>
        <mc:AlternateContent xmlns:mc="http://schemas.openxmlformats.org/markup-compatibility/2006">
          <mc:Choice Requires="x14">
            <control shapeId="59425" r:id="rId32" name="TaskCheck_BW25">
              <controlPr defaultSize="0" autoFill="0" autoLine="0" autoPict="0">
                <anchor moveWithCells="1">
                  <from>
                    <xdr:col>74</xdr:col>
                    <xdr:colOff>25400</xdr:colOff>
                    <xdr:row>24</xdr:row>
                    <xdr:rowOff>12700</xdr:rowOff>
                  </from>
                  <to>
                    <xdr:col>75</xdr:col>
                    <xdr:colOff>127000</xdr:colOff>
                    <xdr:row>24</xdr:row>
                    <xdr:rowOff>279400</xdr:rowOff>
                  </to>
                </anchor>
              </controlPr>
            </control>
          </mc:Choice>
        </mc:AlternateContent>
        <mc:AlternateContent xmlns:mc="http://schemas.openxmlformats.org/markup-compatibility/2006">
          <mc:Choice Requires="x14">
            <control shapeId="59426" r:id="rId33" name="TaskCheck_BW26">
              <controlPr defaultSize="0" autoFill="0" autoLine="0" autoPict="0">
                <anchor moveWithCells="1">
                  <from>
                    <xdr:col>74</xdr:col>
                    <xdr:colOff>25400</xdr:colOff>
                    <xdr:row>25</xdr:row>
                    <xdr:rowOff>12700</xdr:rowOff>
                  </from>
                  <to>
                    <xdr:col>75</xdr:col>
                    <xdr:colOff>127000</xdr:colOff>
                    <xdr:row>25</xdr:row>
                    <xdr:rowOff>279400</xdr:rowOff>
                  </to>
                </anchor>
              </controlPr>
            </control>
          </mc:Choice>
        </mc:AlternateContent>
        <mc:AlternateContent xmlns:mc="http://schemas.openxmlformats.org/markup-compatibility/2006">
          <mc:Choice Requires="x14">
            <control shapeId="59427" r:id="rId34" name="TaskCheck_BW27">
              <controlPr defaultSize="0" autoFill="0" autoLine="0" autoPict="0">
                <anchor moveWithCells="1">
                  <from>
                    <xdr:col>74</xdr:col>
                    <xdr:colOff>25400</xdr:colOff>
                    <xdr:row>26</xdr:row>
                    <xdr:rowOff>12700</xdr:rowOff>
                  </from>
                  <to>
                    <xdr:col>75</xdr:col>
                    <xdr:colOff>127000</xdr:colOff>
                    <xdr:row>26</xdr:row>
                    <xdr:rowOff>279400</xdr:rowOff>
                  </to>
                </anchor>
              </controlPr>
            </control>
          </mc:Choice>
        </mc:AlternateContent>
        <mc:AlternateContent xmlns:mc="http://schemas.openxmlformats.org/markup-compatibility/2006">
          <mc:Choice Requires="x14">
            <control shapeId="59428" r:id="rId35" name="TaskCheck_BW28">
              <controlPr defaultSize="0" autoFill="0" autoLine="0" autoPict="0">
                <anchor moveWithCells="1">
                  <from>
                    <xdr:col>74</xdr:col>
                    <xdr:colOff>25400</xdr:colOff>
                    <xdr:row>27</xdr:row>
                    <xdr:rowOff>12700</xdr:rowOff>
                  </from>
                  <to>
                    <xdr:col>75</xdr:col>
                    <xdr:colOff>127000</xdr:colOff>
                    <xdr:row>27</xdr:row>
                    <xdr:rowOff>279400</xdr:rowOff>
                  </to>
                </anchor>
              </controlPr>
            </control>
          </mc:Choice>
        </mc:AlternateContent>
        <mc:AlternateContent xmlns:mc="http://schemas.openxmlformats.org/markup-compatibility/2006">
          <mc:Choice Requires="x14">
            <control shapeId="59429" r:id="rId36" name="TaskCheck_BW29">
              <controlPr defaultSize="0" autoFill="0" autoLine="0" autoPict="0">
                <anchor moveWithCells="1">
                  <from>
                    <xdr:col>74</xdr:col>
                    <xdr:colOff>25400</xdr:colOff>
                    <xdr:row>28</xdr:row>
                    <xdr:rowOff>12700</xdr:rowOff>
                  </from>
                  <to>
                    <xdr:col>75</xdr:col>
                    <xdr:colOff>127000</xdr:colOff>
                    <xdr:row>28</xdr:row>
                    <xdr:rowOff>279400</xdr:rowOff>
                  </to>
                </anchor>
              </controlPr>
            </control>
          </mc:Choice>
        </mc:AlternateContent>
        <mc:AlternateContent xmlns:mc="http://schemas.openxmlformats.org/markup-compatibility/2006">
          <mc:Choice Requires="x14">
            <control shapeId="59430" r:id="rId37" name="TaskCheck_BW30">
              <controlPr defaultSize="0" autoFill="0" autoLine="0" autoPict="0">
                <anchor moveWithCells="1">
                  <from>
                    <xdr:col>74</xdr:col>
                    <xdr:colOff>25400</xdr:colOff>
                    <xdr:row>29</xdr:row>
                    <xdr:rowOff>12700</xdr:rowOff>
                  </from>
                  <to>
                    <xdr:col>75</xdr:col>
                    <xdr:colOff>127000</xdr:colOff>
                    <xdr:row>29</xdr:row>
                    <xdr:rowOff>279400</xdr:rowOff>
                  </to>
                </anchor>
              </controlPr>
            </control>
          </mc:Choice>
        </mc:AlternateContent>
        <mc:AlternateContent xmlns:mc="http://schemas.openxmlformats.org/markup-compatibility/2006">
          <mc:Choice Requires="x14">
            <control shapeId="59431" r:id="rId38" name="TaskCheck_BW31">
              <controlPr defaultSize="0" autoFill="0" autoLine="0" autoPict="0">
                <anchor moveWithCells="1">
                  <from>
                    <xdr:col>74</xdr:col>
                    <xdr:colOff>25400</xdr:colOff>
                    <xdr:row>30</xdr:row>
                    <xdr:rowOff>12700</xdr:rowOff>
                  </from>
                  <to>
                    <xdr:col>75</xdr:col>
                    <xdr:colOff>127000</xdr:colOff>
                    <xdr:row>30</xdr:row>
                    <xdr:rowOff>279400</xdr:rowOff>
                  </to>
                </anchor>
              </controlPr>
            </control>
          </mc:Choice>
        </mc:AlternateContent>
        <mc:AlternateContent xmlns:mc="http://schemas.openxmlformats.org/markup-compatibility/2006">
          <mc:Choice Requires="x14">
            <control shapeId="59432" r:id="rId39" name="TaskCheck_BW32">
              <controlPr defaultSize="0" autoFill="0" autoLine="0" autoPict="0">
                <anchor moveWithCells="1">
                  <from>
                    <xdr:col>74</xdr:col>
                    <xdr:colOff>25400</xdr:colOff>
                    <xdr:row>31</xdr:row>
                    <xdr:rowOff>12700</xdr:rowOff>
                  </from>
                  <to>
                    <xdr:col>75</xdr:col>
                    <xdr:colOff>127000</xdr:colOff>
                    <xdr:row>31</xdr:row>
                    <xdr:rowOff>279400</xdr:rowOff>
                  </to>
                </anchor>
              </controlPr>
            </control>
          </mc:Choice>
        </mc:AlternateContent>
        <mc:AlternateContent xmlns:mc="http://schemas.openxmlformats.org/markup-compatibility/2006">
          <mc:Choice Requires="x14">
            <control shapeId="59433" r:id="rId40" name="TaskCheck_BW33">
              <controlPr defaultSize="0" autoFill="0" autoLine="0" autoPict="0">
                <anchor moveWithCells="1">
                  <from>
                    <xdr:col>74</xdr:col>
                    <xdr:colOff>25400</xdr:colOff>
                    <xdr:row>32</xdr:row>
                    <xdr:rowOff>12700</xdr:rowOff>
                  </from>
                  <to>
                    <xdr:col>75</xdr:col>
                    <xdr:colOff>127000</xdr:colOff>
                    <xdr:row>32</xdr:row>
                    <xdr:rowOff>279400</xdr:rowOff>
                  </to>
                </anchor>
              </controlPr>
            </control>
          </mc:Choice>
        </mc:AlternateContent>
        <mc:AlternateContent xmlns:mc="http://schemas.openxmlformats.org/markup-compatibility/2006">
          <mc:Choice Requires="x14">
            <control shapeId="59434" r:id="rId41" name="TaskCheck_BW36">
              <controlPr defaultSize="0" autoFill="0" autoLine="0" autoPict="0">
                <anchor moveWithCells="1">
                  <from>
                    <xdr:col>74</xdr:col>
                    <xdr:colOff>25400</xdr:colOff>
                    <xdr:row>35</xdr:row>
                    <xdr:rowOff>12700</xdr:rowOff>
                  </from>
                  <to>
                    <xdr:col>75</xdr:col>
                    <xdr:colOff>127000</xdr:colOff>
                    <xdr:row>35</xdr:row>
                    <xdr:rowOff>279400</xdr:rowOff>
                  </to>
                </anchor>
              </controlPr>
            </control>
          </mc:Choice>
        </mc:AlternateContent>
        <mc:AlternateContent xmlns:mc="http://schemas.openxmlformats.org/markup-compatibility/2006">
          <mc:Choice Requires="x14">
            <control shapeId="59435" r:id="rId42" name="TaskCheck_BQ37">
              <controlPr defaultSize="0" autoFill="0" autoLine="0" autoPict="0">
                <anchor moveWithCells="1">
                  <from>
                    <xdr:col>68</xdr:col>
                    <xdr:colOff>25400</xdr:colOff>
                    <xdr:row>36</xdr:row>
                    <xdr:rowOff>12700</xdr:rowOff>
                  </from>
                  <to>
                    <xdr:col>69</xdr:col>
                    <xdr:colOff>127000</xdr:colOff>
                    <xdr:row>36</xdr:row>
                    <xdr:rowOff>279400</xdr:rowOff>
                  </to>
                </anchor>
              </controlPr>
            </control>
          </mc:Choice>
        </mc:AlternateContent>
        <mc:AlternateContent xmlns:mc="http://schemas.openxmlformats.org/markup-compatibility/2006">
          <mc:Choice Requires="x14">
            <control shapeId="59436" r:id="rId43" name="TaskCheck_BW37">
              <controlPr defaultSize="0" autoFill="0" autoLine="0" autoPict="0">
                <anchor moveWithCells="1">
                  <from>
                    <xdr:col>74</xdr:col>
                    <xdr:colOff>25400</xdr:colOff>
                    <xdr:row>36</xdr:row>
                    <xdr:rowOff>12700</xdr:rowOff>
                  </from>
                  <to>
                    <xdr:col>75</xdr:col>
                    <xdr:colOff>127000</xdr:colOff>
                    <xdr:row>36</xdr:row>
                    <xdr:rowOff>279400</xdr:rowOff>
                  </to>
                </anchor>
              </controlPr>
            </control>
          </mc:Choice>
        </mc:AlternateContent>
        <mc:AlternateContent xmlns:mc="http://schemas.openxmlformats.org/markup-compatibility/2006">
          <mc:Choice Requires="x14">
            <control shapeId="59437" r:id="rId44" name="TaskCheck_BQ38">
              <controlPr defaultSize="0" autoFill="0" autoLine="0" autoPict="0">
                <anchor moveWithCells="1">
                  <from>
                    <xdr:col>68</xdr:col>
                    <xdr:colOff>25400</xdr:colOff>
                    <xdr:row>37</xdr:row>
                    <xdr:rowOff>12700</xdr:rowOff>
                  </from>
                  <to>
                    <xdr:col>69</xdr:col>
                    <xdr:colOff>127000</xdr:colOff>
                    <xdr:row>37</xdr:row>
                    <xdr:rowOff>279400</xdr:rowOff>
                  </to>
                </anchor>
              </controlPr>
            </control>
          </mc:Choice>
        </mc:AlternateContent>
        <mc:AlternateContent xmlns:mc="http://schemas.openxmlformats.org/markup-compatibility/2006">
          <mc:Choice Requires="x14">
            <control shapeId="59438" r:id="rId45" name="TaskCheck_BW38">
              <controlPr defaultSize="0" autoFill="0" autoLine="0" autoPict="0">
                <anchor moveWithCells="1">
                  <from>
                    <xdr:col>74</xdr:col>
                    <xdr:colOff>25400</xdr:colOff>
                    <xdr:row>37</xdr:row>
                    <xdr:rowOff>12700</xdr:rowOff>
                  </from>
                  <to>
                    <xdr:col>75</xdr:col>
                    <xdr:colOff>127000</xdr:colOff>
                    <xdr:row>37</xdr:row>
                    <xdr:rowOff>279400</xdr:rowOff>
                  </to>
                </anchor>
              </controlPr>
            </control>
          </mc:Choice>
        </mc:AlternateContent>
        <mc:AlternateContent xmlns:mc="http://schemas.openxmlformats.org/markup-compatibility/2006">
          <mc:Choice Requires="x14">
            <control shapeId="59439" r:id="rId46" name="TaskCheck_BQ39">
              <controlPr defaultSize="0" autoFill="0" autoLine="0" autoPict="0">
                <anchor moveWithCells="1">
                  <from>
                    <xdr:col>68</xdr:col>
                    <xdr:colOff>25400</xdr:colOff>
                    <xdr:row>38</xdr:row>
                    <xdr:rowOff>12700</xdr:rowOff>
                  </from>
                  <to>
                    <xdr:col>69</xdr:col>
                    <xdr:colOff>127000</xdr:colOff>
                    <xdr:row>38</xdr:row>
                    <xdr:rowOff>279400</xdr:rowOff>
                  </to>
                </anchor>
              </controlPr>
            </control>
          </mc:Choice>
        </mc:AlternateContent>
        <mc:AlternateContent xmlns:mc="http://schemas.openxmlformats.org/markup-compatibility/2006">
          <mc:Choice Requires="x14">
            <control shapeId="59440" r:id="rId47" name="TaskCheck_BW39">
              <controlPr defaultSize="0" autoFill="0" autoLine="0" autoPict="0">
                <anchor moveWithCells="1">
                  <from>
                    <xdr:col>74</xdr:col>
                    <xdr:colOff>25400</xdr:colOff>
                    <xdr:row>38</xdr:row>
                    <xdr:rowOff>12700</xdr:rowOff>
                  </from>
                  <to>
                    <xdr:col>75</xdr:col>
                    <xdr:colOff>127000</xdr:colOff>
                    <xdr:row>38</xdr:row>
                    <xdr:rowOff>279400</xdr:rowOff>
                  </to>
                </anchor>
              </controlPr>
            </control>
          </mc:Choice>
        </mc:AlternateContent>
        <mc:AlternateContent xmlns:mc="http://schemas.openxmlformats.org/markup-compatibility/2006">
          <mc:Choice Requires="x14">
            <control shapeId="59441" r:id="rId48" name="TaskCheck_BQ40">
              <controlPr defaultSize="0" autoFill="0" autoLine="0" autoPict="0">
                <anchor moveWithCells="1">
                  <from>
                    <xdr:col>68</xdr:col>
                    <xdr:colOff>25400</xdr:colOff>
                    <xdr:row>39</xdr:row>
                    <xdr:rowOff>12700</xdr:rowOff>
                  </from>
                  <to>
                    <xdr:col>69</xdr:col>
                    <xdr:colOff>127000</xdr:colOff>
                    <xdr:row>39</xdr:row>
                    <xdr:rowOff>279400</xdr:rowOff>
                  </to>
                </anchor>
              </controlPr>
            </control>
          </mc:Choice>
        </mc:AlternateContent>
        <mc:AlternateContent xmlns:mc="http://schemas.openxmlformats.org/markup-compatibility/2006">
          <mc:Choice Requires="x14">
            <control shapeId="59442" r:id="rId49" name="TaskCheck_BW40">
              <controlPr defaultSize="0" autoFill="0" autoLine="0" autoPict="0">
                <anchor moveWithCells="1">
                  <from>
                    <xdr:col>74</xdr:col>
                    <xdr:colOff>25400</xdr:colOff>
                    <xdr:row>39</xdr:row>
                    <xdr:rowOff>12700</xdr:rowOff>
                  </from>
                  <to>
                    <xdr:col>75</xdr:col>
                    <xdr:colOff>127000</xdr:colOff>
                    <xdr:row>39</xdr:row>
                    <xdr:rowOff>279400</xdr:rowOff>
                  </to>
                </anchor>
              </controlPr>
            </control>
          </mc:Choice>
        </mc:AlternateContent>
        <mc:AlternateContent xmlns:mc="http://schemas.openxmlformats.org/markup-compatibility/2006">
          <mc:Choice Requires="x14">
            <control shapeId="59443" r:id="rId50" name="TaskCheck_BQ41">
              <controlPr defaultSize="0" autoFill="0" autoLine="0" autoPict="0">
                <anchor moveWithCells="1">
                  <from>
                    <xdr:col>68</xdr:col>
                    <xdr:colOff>25400</xdr:colOff>
                    <xdr:row>40</xdr:row>
                    <xdr:rowOff>12700</xdr:rowOff>
                  </from>
                  <to>
                    <xdr:col>69</xdr:col>
                    <xdr:colOff>127000</xdr:colOff>
                    <xdr:row>40</xdr:row>
                    <xdr:rowOff>279400</xdr:rowOff>
                  </to>
                </anchor>
              </controlPr>
            </control>
          </mc:Choice>
        </mc:AlternateContent>
        <mc:AlternateContent xmlns:mc="http://schemas.openxmlformats.org/markup-compatibility/2006">
          <mc:Choice Requires="x14">
            <control shapeId="59444" r:id="rId51" name="TaskCheck_BW41">
              <controlPr defaultSize="0" autoFill="0" autoLine="0" autoPict="0">
                <anchor moveWithCells="1">
                  <from>
                    <xdr:col>74</xdr:col>
                    <xdr:colOff>25400</xdr:colOff>
                    <xdr:row>40</xdr:row>
                    <xdr:rowOff>12700</xdr:rowOff>
                  </from>
                  <to>
                    <xdr:col>75</xdr:col>
                    <xdr:colOff>127000</xdr:colOff>
                    <xdr:row>40</xdr:row>
                    <xdr:rowOff>279400</xdr:rowOff>
                  </to>
                </anchor>
              </controlPr>
            </control>
          </mc:Choice>
        </mc:AlternateContent>
        <mc:AlternateContent xmlns:mc="http://schemas.openxmlformats.org/markup-compatibility/2006">
          <mc:Choice Requires="x14">
            <control shapeId="59445" r:id="rId52" name="TaskCheck_BQ42">
              <controlPr defaultSize="0" autoFill="0" autoLine="0" autoPict="0">
                <anchor moveWithCells="1">
                  <from>
                    <xdr:col>68</xdr:col>
                    <xdr:colOff>25400</xdr:colOff>
                    <xdr:row>41</xdr:row>
                    <xdr:rowOff>12700</xdr:rowOff>
                  </from>
                  <to>
                    <xdr:col>69</xdr:col>
                    <xdr:colOff>127000</xdr:colOff>
                    <xdr:row>41</xdr:row>
                    <xdr:rowOff>279400</xdr:rowOff>
                  </to>
                </anchor>
              </controlPr>
            </control>
          </mc:Choice>
        </mc:AlternateContent>
        <mc:AlternateContent xmlns:mc="http://schemas.openxmlformats.org/markup-compatibility/2006">
          <mc:Choice Requires="x14">
            <control shapeId="59446" r:id="rId53" name="TaskCheck_BW42">
              <controlPr defaultSize="0" autoFill="0" autoLine="0" autoPict="0">
                <anchor moveWithCells="1">
                  <from>
                    <xdr:col>74</xdr:col>
                    <xdr:colOff>25400</xdr:colOff>
                    <xdr:row>41</xdr:row>
                    <xdr:rowOff>12700</xdr:rowOff>
                  </from>
                  <to>
                    <xdr:col>75</xdr:col>
                    <xdr:colOff>127000</xdr:colOff>
                    <xdr:row>41</xdr:row>
                    <xdr:rowOff>279400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AC40A-0D3E-49BB-AC53-02E3EADB37BC}">
  <sheetPr codeName="Sheet1">
    <pageSetUpPr fitToPage="1"/>
  </sheetPr>
  <dimension ref="A1:AU61"/>
  <sheetViews>
    <sheetView zoomScale="60" zoomScaleNormal="60" workbookViewId="0">
      <pane xSplit="1" ySplit="2" topLeftCell="C3" activePane="bottomRight" state="frozen"/>
      <selection sqref="A1:C1"/>
      <selection pane="topRight" sqref="A1:C1"/>
      <selection pane="bottomLeft" sqref="A1:C1"/>
      <selection pane="bottomRight" activeCell="D3" sqref="D3"/>
    </sheetView>
  </sheetViews>
  <sheetFormatPr defaultColWidth="3.08203125" defaultRowHeight="19.5" customHeight="1"/>
  <cols>
    <col min="1" max="1" width="11.58203125" style="2" customWidth="1"/>
    <col min="2" max="2" width="11.58203125" style="2" hidden="1" customWidth="1"/>
    <col min="3" max="4" width="11.58203125" style="154" customWidth="1"/>
    <col min="5" max="10" width="11.58203125" style="155" customWidth="1"/>
    <col min="11" max="13" width="11.58203125" style="156" customWidth="1"/>
    <col min="14" max="23" width="11.58203125" style="155" customWidth="1"/>
    <col min="24" max="24" width="12.08203125" style="155" customWidth="1"/>
    <col min="25" max="25" width="11.58203125" style="3" customWidth="1"/>
    <col min="26" max="26" width="3.08203125" style="2"/>
    <col min="27" max="27" width="0" style="1" hidden="1" customWidth="1"/>
    <col min="28" max="28" width="11.5" style="1" hidden="1" customWidth="1"/>
    <col min="29" max="30" width="11.5" style="108" hidden="1" customWidth="1"/>
    <col min="31" max="44" width="11.5" style="2" hidden="1" customWidth="1"/>
    <col min="45" max="59" width="11.5" style="2" customWidth="1"/>
    <col min="60" max="16384" width="3.08203125" style="2"/>
  </cols>
  <sheetData>
    <row r="1" spans="1:47" s="10" customFormat="1" ht="28" customHeight="1" thickBot="1">
      <c r="A1" s="923" t="s">
        <v>257</v>
      </c>
      <c r="B1" s="923"/>
      <c r="C1" s="923"/>
      <c r="D1" s="10" t="s">
        <v>42</v>
      </c>
      <c r="E1" s="10" t="s">
        <v>152</v>
      </c>
      <c r="F1" s="10" t="s">
        <v>153</v>
      </c>
      <c r="G1" s="10" t="s">
        <v>154</v>
      </c>
      <c r="H1" s="10" t="s">
        <v>155</v>
      </c>
      <c r="I1" s="10" t="s">
        <v>156</v>
      </c>
      <c r="J1" s="157" t="s">
        <v>219</v>
      </c>
      <c r="K1" s="10" t="s">
        <v>157</v>
      </c>
      <c r="L1" s="157" t="s">
        <v>219</v>
      </c>
      <c r="M1" s="157" t="s">
        <v>219</v>
      </c>
      <c r="N1" s="10" t="s">
        <v>158</v>
      </c>
      <c r="O1" s="10" t="s">
        <v>159</v>
      </c>
      <c r="P1" s="10" t="s">
        <v>160</v>
      </c>
      <c r="R1" s="10" t="s">
        <v>161</v>
      </c>
      <c r="S1" s="10" t="s">
        <v>162</v>
      </c>
      <c r="T1" s="10" t="s">
        <v>163</v>
      </c>
      <c r="U1" s="10" t="s">
        <v>164</v>
      </c>
      <c r="W1" s="11">
        <v>700000</v>
      </c>
      <c r="X1" s="12" t="s">
        <v>165</v>
      </c>
      <c r="Y1" s="12"/>
      <c r="AC1" s="13"/>
      <c r="AD1" s="13"/>
    </row>
    <row r="2" spans="1:47" s="9" customFormat="1" ht="39" customHeight="1" thickBot="1">
      <c r="A2" s="14" t="s">
        <v>258</v>
      </c>
      <c r="B2" s="14"/>
      <c r="C2" s="15" t="s">
        <v>166</v>
      </c>
      <c r="D2" s="16" t="s">
        <v>167</v>
      </c>
      <c r="E2" s="17" t="s">
        <v>168</v>
      </c>
      <c r="F2" s="17" t="s">
        <v>169</v>
      </c>
      <c r="G2" s="17" t="s">
        <v>170</v>
      </c>
      <c r="H2" s="17" t="s">
        <v>171</v>
      </c>
      <c r="I2" s="17" t="s">
        <v>172</v>
      </c>
      <c r="J2" s="17" t="s">
        <v>220</v>
      </c>
      <c r="K2" s="18" t="s">
        <v>221</v>
      </c>
      <c r="L2" s="18" t="s">
        <v>222</v>
      </c>
      <c r="M2" s="18" t="s">
        <v>223</v>
      </c>
      <c r="N2" s="17" t="s">
        <v>174</v>
      </c>
      <c r="O2" s="17" t="s">
        <v>176</v>
      </c>
      <c r="P2" s="17" t="s">
        <v>177</v>
      </c>
      <c r="Q2" s="19" t="s">
        <v>178</v>
      </c>
      <c r="R2" s="20" t="s">
        <v>180</v>
      </c>
      <c r="S2" s="17" t="s">
        <v>181</v>
      </c>
      <c r="T2" s="17" t="s">
        <v>182</v>
      </c>
      <c r="U2" s="17" t="s">
        <v>183</v>
      </c>
      <c r="V2" s="21" t="s">
        <v>184</v>
      </c>
      <c r="W2" s="22" t="s">
        <v>185</v>
      </c>
      <c r="X2" s="23" t="s">
        <v>186</v>
      </c>
      <c r="Y2" s="24" t="s">
        <v>187</v>
      </c>
      <c r="AA2" s="4"/>
      <c r="AB2" s="25" t="s">
        <v>188</v>
      </c>
      <c r="AC2" s="26" t="s">
        <v>166</v>
      </c>
      <c r="AD2" s="27" t="s">
        <v>167</v>
      </c>
      <c r="AE2" s="17" t="s">
        <v>168</v>
      </c>
      <c r="AF2" s="17" t="s">
        <v>169</v>
      </c>
      <c r="AG2" s="17" t="s">
        <v>170</v>
      </c>
      <c r="AH2" s="17" t="s">
        <v>171</v>
      </c>
      <c r="AI2" s="17" t="s">
        <v>172</v>
      </c>
      <c r="AJ2" s="18" t="s">
        <v>173</v>
      </c>
      <c r="AK2" s="17" t="s">
        <v>174</v>
      </c>
      <c r="AL2" s="17" t="s">
        <v>177</v>
      </c>
      <c r="AM2" s="17" t="s">
        <v>180</v>
      </c>
      <c r="AN2" s="17" t="s">
        <v>181</v>
      </c>
      <c r="AO2" s="17" t="s">
        <v>182</v>
      </c>
      <c r="AP2" s="28" t="s">
        <v>183</v>
      </c>
      <c r="AQ2" s="29" t="s">
        <v>185</v>
      </c>
      <c r="AR2" s="30" t="s">
        <v>187</v>
      </c>
      <c r="AS2" s="924" t="s">
        <v>189</v>
      </c>
      <c r="AT2" s="925"/>
      <c r="AU2" s="926"/>
    </row>
    <row r="3" spans="1:47" ht="19.5" customHeight="1" thickBot="1">
      <c r="A3" s="8" t="s">
        <v>151</v>
      </c>
      <c r="B3" s="8"/>
      <c r="C3" s="31">
        <v>51.4</v>
      </c>
      <c r="D3" s="32">
        <v>4.3499999999999996</v>
      </c>
      <c r="E3" s="33">
        <v>0</v>
      </c>
      <c r="F3" s="33">
        <v>0</v>
      </c>
      <c r="G3" s="33">
        <v>0</v>
      </c>
      <c r="H3" s="33">
        <v>5</v>
      </c>
      <c r="I3" s="34">
        <v>616</v>
      </c>
      <c r="J3" s="230">
        <v>20</v>
      </c>
      <c r="K3" s="35">
        <v>0.99354838709677418</v>
      </c>
      <c r="L3" s="222">
        <v>48</v>
      </c>
      <c r="M3" s="222">
        <v>0</v>
      </c>
      <c r="N3" s="36">
        <v>20</v>
      </c>
      <c r="O3" s="37">
        <v>548</v>
      </c>
      <c r="P3" s="38">
        <v>0</v>
      </c>
      <c r="Q3" s="39"/>
      <c r="R3" s="40">
        <v>13</v>
      </c>
      <c r="S3" s="34">
        <v>473374</v>
      </c>
      <c r="T3" s="34">
        <v>37980</v>
      </c>
      <c r="U3" s="34">
        <v>296308.85599999991</v>
      </c>
      <c r="V3" s="41">
        <v>0.384975257913241</v>
      </c>
      <c r="W3" s="42">
        <f>IFERROR(U3+S3+T3,"-")</f>
        <v>807662.85599999991</v>
      </c>
      <c r="X3" s="43">
        <f>U3+S3+T3</f>
        <v>807662.85599999991</v>
      </c>
      <c r="Y3" s="44">
        <f t="shared" ref="Y3" ca="1" si="0">IFERROR(RANK(X3,$X$3:$X$60,0),"")</f>
        <v>6</v>
      </c>
      <c r="AB3" s="45" t="s">
        <v>190</v>
      </c>
      <c r="AC3" s="46" t="e">
        <f>SUMIF(#REF!, $AB3, C:C)</f>
        <v>#REF!</v>
      </c>
      <c r="AD3" s="47" t="e">
        <f>SUMIF(#REF!, $AB3, D:D)</f>
        <v>#REF!</v>
      </c>
      <c r="AE3" s="48" t="e">
        <f>SUMIF(#REF!, $AB3, E:E)</f>
        <v>#REF!</v>
      </c>
      <c r="AF3" s="48" t="e">
        <f>SUMIF(#REF!, $AB3, F:F)</f>
        <v>#REF!</v>
      </c>
      <c r="AG3" s="48" t="e">
        <f>SUMIF(#REF!, $AB3, G:G)</f>
        <v>#REF!</v>
      </c>
      <c r="AH3" s="48" t="e">
        <f>SUMIF(#REF!, $AB3, H:H)</f>
        <v>#REF!</v>
      </c>
      <c r="AI3" s="48" t="e">
        <f>SUMIF(#REF!, $AB3, I:I)</f>
        <v>#REF!</v>
      </c>
      <c r="AJ3" s="49" t="e">
        <f>SUMIF(#REF!, $AB3, K:K)</f>
        <v>#REF!</v>
      </c>
      <c r="AK3" s="48" t="e">
        <f>SUMIF(#REF!, $AB3, N:N)</f>
        <v>#REF!</v>
      </c>
      <c r="AL3" s="48" t="e">
        <f>SUMIF(#REF!, $AB3, P:P)</f>
        <v>#REF!</v>
      </c>
      <c r="AM3" s="48" t="e">
        <f>SUMIF(#REF!, $AB3, R:R)</f>
        <v>#REF!</v>
      </c>
      <c r="AN3" s="48" t="e">
        <f>SUMIF(#REF!, $AB3, S:S)</f>
        <v>#REF!</v>
      </c>
      <c r="AO3" s="48" t="e">
        <f>SUMIF(#REF!, $AB3, T:T)</f>
        <v>#REF!</v>
      </c>
      <c r="AP3" s="50" t="e">
        <f>SUMIF(#REF!, $AB3, U:U)</f>
        <v>#REF!</v>
      </c>
      <c r="AQ3" s="51" t="e">
        <f>SUMIF(#REF!, $AB3, W:W)</f>
        <v>#REF!</v>
      </c>
      <c r="AR3" s="52" t="str">
        <f>IFERROR(RANK(AQ3,$AQ$3:$AQ$9,0),"")</f>
        <v/>
      </c>
      <c r="AS3" s="53" cm="1">
        <f t="array" aca="1" ref="AS3:AS46" ca="1">_xlfn.SORTBY(Y3:Y46, Y3:Y46, 1, ROW(Y3:Y46), 1)</f>
        <v>1</v>
      </c>
      <c r="AT3" s="58" t="str" cm="1">
        <f t="array" aca="1" ref="AT3" ca="1">INDEX($A$3:$A$46, MATCH(1, (Y$3:Y$46=AS3) * (COUNTIF($AS$3:AS3, Y$3:Y$46)=1), 0))</f>
        <v>下手野</v>
      </c>
      <c r="AU3" s="43">
        <f t="shared" ref="AU3:AU45" ca="1" si="1">IFERROR(_xlfn.XLOOKUP(AT3, A$3:A$45, X$3:X$45, ""), "")</f>
        <v>905728.82400000002</v>
      </c>
    </row>
    <row r="4" spans="1:47" ht="19.5" customHeight="1" thickBot="1">
      <c r="A4" s="6" t="s">
        <v>191</v>
      </c>
      <c r="B4" s="6"/>
      <c r="C4" s="59">
        <v>48.233333333333334</v>
      </c>
      <c r="D4" s="60">
        <v>4.2333333333333334</v>
      </c>
      <c r="E4" s="61">
        <v>0</v>
      </c>
      <c r="F4" s="61">
        <v>0</v>
      </c>
      <c r="G4" s="61">
        <v>0</v>
      </c>
      <c r="H4" s="61">
        <v>2</v>
      </c>
      <c r="I4" s="62">
        <v>841</v>
      </c>
      <c r="J4" s="231">
        <v>30</v>
      </c>
      <c r="K4" s="63">
        <v>0.9043010752688172</v>
      </c>
      <c r="L4" s="223">
        <v>23</v>
      </c>
      <c r="M4" s="223">
        <v>0</v>
      </c>
      <c r="N4" s="64">
        <v>26</v>
      </c>
      <c r="O4" s="64">
        <v>853</v>
      </c>
      <c r="P4" s="65">
        <v>62</v>
      </c>
      <c r="Q4" s="66">
        <v>14090.909090909092</v>
      </c>
      <c r="R4" s="67">
        <v>155</v>
      </c>
      <c r="S4" s="62">
        <v>594452</v>
      </c>
      <c r="T4" s="62">
        <v>16740</v>
      </c>
      <c r="U4" s="62">
        <v>408291.60800000007</v>
      </c>
      <c r="V4" s="68">
        <v>0.40717448083697988</v>
      </c>
      <c r="W4" s="69">
        <f>IFERROR(U4+S4+T4,"-")</f>
        <v>1019483.608</v>
      </c>
      <c r="X4" s="70">
        <f>IFERROR((U4+S4+T4+Q4)/30*20,"-")</f>
        <v>689049.67806060612</v>
      </c>
      <c r="Y4" s="71">
        <f ca="1">IFERROR(RANK(X4,$X$3:$X$60,0),"")</f>
        <v>23</v>
      </c>
      <c r="AB4" s="72" t="s">
        <v>192</v>
      </c>
      <c r="AC4" s="73" t="e">
        <f>SUMIF(#REF!, $AB4, C:C)</f>
        <v>#REF!</v>
      </c>
      <c r="AD4" s="74" t="e">
        <f>SUMIF(#REF!, $AB4, D:D)</f>
        <v>#REF!</v>
      </c>
      <c r="AE4" s="75" t="e">
        <f>SUMIF(#REF!, $AB4, E:E)</f>
        <v>#REF!</v>
      </c>
      <c r="AF4" s="75" t="e">
        <f>SUMIF(#REF!, $AB4, F:F)</f>
        <v>#REF!</v>
      </c>
      <c r="AG4" s="75" t="e">
        <f>SUMIF(#REF!, $AB4, G:G)</f>
        <v>#REF!</v>
      </c>
      <c r="AH4" s="75" t="e">
        <f>SUMIF(#REF!, $AB4, H:H)</f>
        <v>#REF!</v>
      </c>
      <c r="AI4" s="75" t="e">
        <f>SUMIF(#REF!, $AB4, I:I)</f>
        <v>#REF!</v>
      </c>
      <c r="AJ4" s="76" t="e">
        <f>SUMIF(#REF!, $AB4, K:K)</f>
        <v>#REF!</v>
      </c>
      <c r="AK4" s="75" t="e">
        <f>SUMIF(#REF!, $AB4, N:N)</f>
        <v>#REF!</v>
      </c>
      <c r="AL4" s="75" t="e">
        <f>SUMIF(#REF!, $AB4, P:P)</f>
        <v>#REF!</v>
      </c>
      <c r="AM4" s="75" t="e">
        <f>SUMIF(#REF!, $AB4, R:R)</f>
        <v>#REF!</v>
      </c>
      <c r="AN4" s="75" t="e">
        <f>SUMIF(#REF!, $AB4, S:S)</f>
        <v>#REF!</v>
      </c>
      <c r="AO4" s="75" t="e">
        <f>SUMIF(#REF!, $AB4, T:T)</f>
        <v>#REF!</v>
      </c>
      <c r="AP4" s="77" t="e">
        <f>SUMIF(#REF!, $AB4, U:U)</f>
        <v>#REF!</v>
      </c>
      <c r="AQ4" s="78" t="e">
        <f>SUMIF(#REF!, $AB4, W:W)</f>
        <v>#REF!</v>
      </c>
      <c r="AR4" s="79" t="str">
        <f t="shared" ref="AR4:AR9" si="2">IFERROR(RANK(AQ4,$AQ$3:$AQ$9,0),"")</f>
        <v/>
      </c>
      <c r="AS4" s="54">
        <f ca="1"/>
        <v>2</v>
      </c>
      <c r="AT4" s="80" t="str" cm="1">
        <f t="array" aca="1" ref="AT4" ca="1">INDEX($A$3:$A$46, MATCH(1, (Y$3:Y$46=AS4) * (COUNTIF($AS$3:AS4, Y$3:Y$46)=1), 0))</f>
        <v>仁豊野</v>
      </c>
      <c r="AU4" s="70">
        <f t="shared" ca="1" si="1"/>
        <v>875883.00799999991</v>
      </c>
    </row>
    <row r="5" spans="1:47" ht="19.5" customHeight="1" thickBot="1">
      <c r="A5" s="7" t="s">
        <v>150</v>
      </c>
      <c r="B5" s="7"/>
      <c r="C5" s="81">
        <v>46.5</v>
      </c>
      <c r="D5" s="82">
        <v>4.1500000000000004</v>
      </c>
      <c r="E5" s="83">
        <v>0</v>
      </c>
      <c r="F5" s="83">
        <v>0</v>
      </c>
      <c r="G5" s="83">
        <v>0</v>
      </c>
      <c r="H5" s="83">
        <v>3</v>
      </c>
      <c r="I5" s="84">
        <v>618</v>
      </c>
      <c r="J5" s="232">
        <v>20</v>
      </c>
      <c r="K5" s="85">
        <v>0.99677419354838714</v>
      </c>
      <c r="L5" s="224">
        <v>0</v>
      </c>
      <c r="M5" s="224">
        <v>0</v>
      </c>
      <c r="N5" s="86">
        <v>15</v>
      </c>
      <c r="O5" s="86">
        <v>168</v>
      </c>
      <c r="P5" s="87">
        <v>80</v>
      </c>
      <c r="Q5" s="66">
        <v>18181.81818181818</v>
      </c>
      <c r="R5" s="88">
        <v>93</v>
      </c>
      <c r="S5" s="84">
        <v>429681</v>
      </c>
      <c r="T5" s="84">
        <v>21600</v>
      </c>
      <c r="U5" s="84">
        <v>219860.32800000001</v>
      </c>
      <c r="V5" s="89">
        <v>0.33848551050165049</v>
      </c>
      <c r="W5" s="90">
        <f t="shared" ref="W5:W8" si="3">IFERROR(U5+S5+T5,"-")</f>
        <v>671141.32799999998</v>
      </c>
      <c r="X5" s="91">
        <f>IFERROR(U5+S5+T5+Q5,"-")</f>
        <v>689323.14618181821</v>
      </c>
      <c r="Y5" s="92">
        <f t="shared" ref="Y5:Y55" ca="1" si="4">IFERROR(RANK(X5,$X$3:$X$60,0),"")</f>
        <v>22</v>
      </c>
      <c r="AB5" s="72" t="s">
        <v>193</v>
      </c>
      <c r="AC5" s="73" t="e">
        <f>SUMIF(#REF!, $AB5, C:C)</f>
        <v>#REF!</v>
      </c>
      <c r="AD5" s="74" t="e">
        <f>SUMIF(#REF!, $AB5, D:D)</f>
        <v>#REF!</v>
      </c>
      <c r="AE5" s="75" t="e">
        <f>SUMIF(#REF!, $AB5, E:E)</f>
        <v>#REF!</v>
      </c>
      <c r="AF5" s="75" t="e">
        <f>SUMIF(#REF!, $AB5, F:F)</f>
        <v>#REF!</v>
      </c>
      <c r="AG5" s="75" t="e">
        <f>SUMIF(#REF!, $AB5, G:G)</f>
        <v>#REF!</v>
      </c>
      <c r="AH5" s="75" t="e">
        <f>SUMIF(#REF!, $AB5, H:H)</f>
        <v>#REF!</v>
      </c>
      <c r="AI5" s="75" t="e">
        <f>SUMIF(#REF!, $AB5, I:I)</f>
        <v>#REF!</v>
      </c>
      <c r="AJ5" s="76" t="e">
        <f>SUMIF(#REF!, $AB5, K:K)</f>
        <v>#REF!</v>
      </c>
      <c r="AK5" s="75" t="e">
        <f>SUMIF(#REF!, $AB5, N:N)</f>
        <v>#REF!</v>
      </c>
      <c r="AL5" s="75" t="e">
        <f>SUMIF(#REF!, $AB5, P:P)</f>
        <v>#REF!</v>
      </c>
      <c r="AM5" s="75" t="e">
        <f>SUMIF(#REF!, $AB5, R:R)</f>
        <v>#REF!</v>
      </c>
      <c r="AN5" s="75" t="e">
        <f>SUMIF(#REF!, $AB5, S:S)</f>
        <v>#REF!</v>
      </c>
      <c r="AO5" s="75" t="e">
        <f>SUMIF(#REF!, $AB5, T:T)</f>
        <v>#REF!</v>
      </c>
      <c r="AP5" s="77" t="e">
        <f>SUMIF(#REF!, $AB5, U:U)</f>
        <v>#REF!</v>
      </c>
      <c r="AQ5" s="78" t="e">
        <f>SUMIF(#REF!, $AB5, W:W)</f>
        <v>#REF!</v>
      </c>
      <c r="AR5" s="79" t="str">
        <f t="shared" si="2"/>
        <v/>
      </c>
      <c r="AS5" s="55">
        <f ca="1"/>
        <v>3</v>
      </c>
      <c r="AT5" s="93" t="str" cm="1">
        <f t="array" aca="1" ref="AT5" ca="1">INDEX($A$3:$A$46, MATCH(1, (Y$3:Y$46=AS5) * (COUNTIF($AS$3:AS5, Y$3:Y$46)=1), 0))</f>
        <v>舞多聞</v>
      </c>
      <c r="AU5" s="91">
        <f t="shared" ca="1" si="1"/>
        <v>846335.77600000007</v>
      </c>
    </row>
    <row r="6" spans="1:47" ht="19.5" customHeight="1" thickBot="1">
      <c r="A6" s="6" t="s">
        <v>149</v>
      </c>
      <c r="B6" s="6"/>
      <c r="C6" s="59">
        <v>47.10526315789474</v>
      </c>
      <c r="D6" s="60">
        <v>3.8421052631578947</v>
      </c>
      <c r="E6" s="61">
        <v>0</v>
      </c>
      <c r="F6" s="61">
        <v>0</v>
      </c>
      <c r="G6" s="61">
        <v>0</v>
      </c>
      <c r="H6" s="61">
        <v>0</v>
      </c>
      <c r="I6" s="62">
        <v>604</v>
      </c>
      <c r="J6" s="231">
        <v>20</v>
      </c>
      <c r="K6" s="63">
        <v>0.97419354838709682</v>
      </c>
      <c r="L6" s="223">
        <v>9</v>
      </c>
      <c r="M6" s="223">
        <v>0</v>
      </c>
      <c r="N6" s="64">
        <v>3</v>
      </c>
      <c r="O6" s="94">
        <v>594</v>
      </c>
      <c r="P6" s="95">
        <v>0</v>
      </c>
      <c r="Q6" s="96"/>
      <c r="R6" s="67">
        <v>134</v>
      </c>
      <c r="S6" s="62">
        <v>370669</v>
      </c>
      <c r="T6" s="62">
        <v>0</v>
      </c>
      <c r="U6" s="62">
        <v>273144.45600000001</v>
      </c>
      <c r="V6" s="68">
        <v>0.4242602472104901</v>
      </c>
      <c r="W6" s="69">
        <f t="shared" si="3"/>
        <v>643813.45600000001</v>
      </c>
      <c r="X6" s="70">
        <f>IFERROR(U6+S6+T6,"-")</f>
        <v>643813.45600000001</v>
      </c>
      <c r="Y6" s="71">
        <f t="shared" ca="1" si="4"/>
        <v>32</v>
      </c>
      <c r="AB6" s="72" t="s">
        <v>194</v>
      </c>
      <c r="AC6" s="73" t="e">
        <f>SUMIF(#REF!, $AB6, C:C)</f>
        <v>#REF!</v>
      </c>
      <c r="AD6" s="74" t="e">
        <f>SUMIF(#REF!, $AB6, D:D)</f>
        <v>#REF!</v>
      </c>
      <c r="AE6" s="75" t="e">
        <f>SUMIF(#REF!, $AB6, E:E)</f>
        <v>#REF!</v>
      </c>
      <c r="AF6" s="75" t="e">
        <f>SUMIF(#REF!, $AB6, F:F)</f>
        <v>#REF!</v>
      </c>
      <c r="AG6" s="75" t="e">
        <f>SUMIF(#REF!, $AB6, G:G)</f>
        <v>#REF!</v>
      </c>
      <c r="AH6" s="75" t="e">
        <f>SUMIF(#REF!, $AB6, H:H)</f>
        <v>#REF!</v>
      </c>
      <c r="AI6" s="75" t="e">
        <f>SUMIF(#REF!, $AB6, I:I)</f>
        <v>#REF!</v>
      </c>
      <c r="AJ6" s="76" t="e">
        <f>SUMIF(#REF!, $AB6, K:K)</f>
        <v>#REF!</v>
      </c>
      <c r="AK6" s="75" t="e">
        <f>SUMIF(#REF!, $AB6, N:N)</f>
        <v>#REF!</v>
      </c>
      <c r="AL6" s="75" t="e">
        <f>SUMIF(#REF!, $AB6, P:P)</f>
        <v>#REF!</v>
      </c>
      <c r="AM6" s="75" t="e">
        <f>SUMIF(#REF!, $AB6, R:R)</f>
        <v>#REF!</v>
      </c>
      <c r="AN6" s="75" t="e">
        <f>SUMIF(#REF!, $AB6, S:S)</f>
        <v>#REF!</v>
      </c>
      <c r="AO6" s="75" t="e">
        <f>SUMIF(#REF!, $AB6, T:T)</f>
        <v>#REF!</v>
      </c>
      <c r="AP6" s="77" t="e">
        <f>SUMIF(#REF!, $AB6, U:U)</f>
        <v>#REF!</v>
      </c>
      <c r="AQ6" s="78" t="e">
        <f>SUMIF(#REF!, $AB6, W:W)</f>
        <v>#REF!</v>
      </c>
      <c r="AR6" s="79" t="str">
        <f t="shared" si="2"/>
        <v/>
      </c>
      <c r="AS6" s="54">
        <f ca="1"/>
        <v>4</v>
      </c>
      <c r="AT6" s="80" t="str" cm="1">
        <f t="array" aca="1" ref="AT6" ca="1">INDEX($A$3:$A$46, MATCH(1, (Y$3:Y$46=AS6) * (COUNTIF($AS$3:AS6, Y$3:Y$46)=1), 0))</f>
        <v>加茂</v>
      </c>
      <c r="AU6" s="70">
        <f t="shared" ca="1" si="1"/>
        <v>839001.59199999995</v>
      </c>
    </row>
    <row r="7" spans="1:47" ht="19.5" customHeight="1" thickBot="1">
      <c r="A7" s="7" t="s">
        <v>195</v>
      </c>
      <c r="B7" s="7"/>
      <c r="C7" s="81">
        <v>52.65</v>
      </c>
      <c r="D7" s="82">
        <v>4.1500000000000004</v>
      </c>
      <c r="E7" s="83">
        <v>0</v>
      </c>
      <c r="F7" s="83">
        <v>0</v>
      </c>
      <c r="G7" s="83">
        <v>0</v>
      </c>
      <c r="H7" s="83">
        <v>4</v>
      </c>
      <c r="I7" s="84">
        <v>601</v>
      </c>
      <c r="J7" s="232">
        <v>20</v>
      </c>
      <c r="K7" s="85">
        <v>0.96935483870967742</v>
      </c>
      <c r="L7" s="224">
        <v>10</v>
      </c>
      <c r="M7" s="224">
        <v>0</v>
      </c>
      <c r="N7" s="86">
        <v>15</v>
      </c>
      <c r="O7" s="86">
        <v>456</v>
      </c>
      <c r="P7" s="87">
        <v>176</v>
      </c>
      <c r="Q7" s="66">
        <v>40000</v>
      </c>
      <c r="R7" s="88">
        <v>194</v>
      </c>
      <c r="S7" s="84">
        <v>373277</v>
      </c>
      <c r="T7" s="84">
        <v>27900</v>
      </c>
      <c r="U7" s="84">
        <v>257206.44000000003</v>
      </c>
      <c r="V7" s="89">
        <v>0.40795114301495372</v>
      </c>
      <c r="W7" s="90">
        <f t="shared" si="3"/>
        <v>658383.44000000006</v>
      </c>
      <c r="X7" s="91">
        <f>IFERROR(U7+S7+T7+Q7,"-")</f>
        <v>698383.44000000006</v>
      </c>
      <c r="Y7" s="92">
        <f t="shared" ca="1" si="4"/>
        <v>20</v>
      </c>
      <c r="AB7" s="97" t="s">
        <v>196</v>
      </c>
      <c r="AC7" s="73" t="e">
        <f>SUMIF(#REF!, $AB7, C:C)</f>
        <v>#REF!</v>
      </c>
      <c r="AD7" s="74" t="e">
        <f>SUMIF(#REF!, $AB7, D:D)</f>
        <v>#REF!</v>
      </c>
      <c r="AE7" s="75" t="e">
        <f>SUMIF(#REF!, $AB7, E:E)</f>
        <v>#REF!</v>
      </c>
      <c r="AF7" s="75" t="e">
        <f>SUMIF(#REF!, $AB7, F:F)</f>
        <v>#REF!</v>
      </c>
      <c r="AG7" s="75" t="e">
        <f>SUMIF(#REF!, $AB7, G:G)</f>
        <v>#REF!</v>
      </c>
      <c r="AH7" s="75" t="e">
        <f>SUMIF(#REF!, $AB7, H:H)</f>
        <v>#REF!</v>
      </c>
      <c r="AI7" s="75" t="e">
        <f>SUMIF(#REF!, $AB7, I:I)</f>
        <v>#REF!</v>
      </c>
      <c r="AJ7" s="76" t="e">
        <f>SUMIF(#REF!, $AB7, K:K)</f>
        <v>#REF!</v>
      </c>
      <c r="AK7" s="75" t="e">
        <f>SUMIF(#REF!, $AB7, N:N)</f>
        <v>#REF!</v>
      </c>
      <c r="AL7" s="75" t="e">
        <f>SUMIF(#REF!, $AB7, P:P)</f>
        <v>#REF!</v>
      </c>
      <c r="AM7" s="75" t="e">
        <f>SUMIF(#REF!, $AB7, R:R)</f>
        <v>#REF!</v>
      </c>
      <c r="AN7" s="75" t="e">
        <f>SUMIF(#REF!, $AB7, S:S)</f>
        <v>#REF!</v>
      </c>
      <c r="AO7" s="75" t="e">
        <f>SUMIF(#REF!, $AB7, T:T)</f>
        <v>#REF!</v>
      </c>
      <c r="AP7" s="77" t="e">
        <f>SUMIF(#REF!, $AB7, U:U)</f>
        <v>#REF!</v>
      </c>
      <c r="AQ7" s="78" t="e">
        <f>SUMIF(#REF!, $AB7, W:W)</f>
        <v>#REF!</v>
      </c>
      <c r="AR7" s="79" t="str">
        <f t="shared" si="2"/>
        <v/>
      </c>
      <c r="AS7" s="55">
        <f ca="1"/>
        <v>5</v>
      </c>
      <c r="AT7" s="93" t="str" cm="1">
        <f t="array" aca="1" ref="AT7" ca="1">INDEX($A$3:$A$46, MATCH(1, (Y$3:Y$46=AS7) * (COUNTIF($AS$3:AS7, Y$3:Y$46)=1), 0))</f>
        <v>西宮今津</v>
      </c>
      <c r="AU7" s="91">
        <f t="shared" ca="1" si="1"/>
        <v>835965.41599999997</v>
      </c>
    </row>
    <row r="8" spans="1:47" ht="19.5" customHeight="1" thickBot="1">
      <c r="A8" s="6" t="s">
        <v>148</v>
      </c>
      <c r="B8" s="6"/>
      <c r="C8" s="59">
        <v>49.15</v>
      </c>
      <c r="D8" s="60">
        <v>4.0999999999999996</v>
      </c>
      <c r="E8" s="61">
        <v>0</v>
      </c>
      <c r="F8" s="61">
        <v>0</v>
      </c>
      <c r="G8" s="61">
        <v>0</v>
      </c>
      <c r="H8" s="61">
        <v>0</v>
      </c>
      <c r="I8" s="62">
        <v>620</v>
      </c>
      <c r="J8" s="231">
        <v>20</v>
      </c>
      <c r="K8" s="63">
        <v>1</v>
      </c>
      <c r="L8" s="223">
        <v>31</v>
      </c>
      <c r="M8" s="223">
        <v>0</v>
      </c>
      <c r="N8" s="64">
        <v>16</v>
      </c>
      <c r="O8" s="64">
        <v>277</v>
      </c>
      <c r="P8" s="65">
        <v>112</v>
      </c>
      <c r="Q8" s="66">
        <v>25454.545454545456</v>
      </c>
      <c r="R8" s="67">
        <v>117</v>
      </c>
      <c r="S8" s="62">
        <v>413626</v>
      </c>
      <c r="T8" s="62">
        <v>0</v>
      </c>
      <c r="U8" s="62">
        <v>234462.58399999997</v>
      </c>
      <c r="V8" s="68">
        <v>0.36177551925525037</v>
      </c>
      <c r="W8" s="69">
        <f t="shared" si="3"/>
        <v>648088.58400000003</v>
      </c>
      <c r="X8" s="70">
        <f>IFERROR(U8+S8+T8+Q8,"-")</f>
        <v>673543.12945454544</v>
      </c>
      <c r="Y8" s="71">
        <f t="shared" ca="1" si="4"/>
        <v>24</v>
      </c>
      <c r="AB8" s="72" t="s">
        <v>197</v>
      </c>
      <c r="AC8" s="73" t="e">
        <f>SUMIF(#REF!, $AB8, C:C)</f>
        <v>#REF!</v>
      </c>
      <c r="AD8" s="74" t="e">
        <f>SUMIF(#REF!, $AB8, D:D)</f>
        <v>#REF!</v>
      </c>
      <c r="AE8" s="75" t="e">
        <f>SUMIF(#REF!, $AB8, E:E)</f>
        <v>#REF!</v>
      </c>
      <c r="AF8" s="75" t="e">
        <f>SUMIF(#REF!, $AB8, F:F)</f>
        <v>#REF!</v>
      </c>
      <c r="AG8" s="75" t="e">
        <f>SUMIF(#REF!, $AB8, G:G)</f>
        <v>#REF!</v>
      </c>
      <c r="AH8" s="75" t="e">
        <f>SUMIF(#REF!, $AB8, H:H)</f>
        <v>#REF!</v>
      </c>
      <c r="AI8" s="75" t="e">
        <f>SUMIF(#REF!, $AB8, I:I)</f>
        <v>#REF!</v>
      </c>
      <c r="AJ8" s="76" t="e">
        <f>SUMIF(#REF!, $AB8, K:K)</f>
        <v>#REF!</v>
      </c>
      <c r="AK8" s="75" t="e">
        <f>SUMIF(#REF!, $AB8, N:N)</f>
        <v>#REF!</v>
      </c>
      <c r="AL8" s="75" t="e">
        <f>SUMIF(#REF!, $AB8, P:P)</f>
        <v>#REF!</v>
      </c>
      <c r="AM8" s="75" t="e">
        <f>SUMIF(#REF!, $AB8, R:R)</f>
        <v>#REF!</v>
      </c>
      <c r="AN8" s="75" t="e">
        <f>SUMIF(#REF!, $AB8, S:S)</f>
        <v>#REF!</v>
      </c>
      <c r="AO8" s="75" t="e">
        <f>SUMIF(#REF!, $AB8, T:T)</f>
        <v>#REF!</v>
      </c>
      <c r="AP8" s="77" t="e">
        <f>SUMIF(#REF!, $AB8, U:U)</f>
        <v>#REF!</v>
      </c>
      <c r="AQ8" s="78" t="e">
        <f>SUMIF(#REF!, $AB8, W:W)</f>
        <v>#REF!</v>
      </c>
      <c r="AR8" s="79" t="str">
        <f t="shared" si="2"/>
        <v/>
      </c>
      <c r="AS8" s="54">
        <f ca="1"/>
        <v>6</v>
      </c>
      <c r="AT8" s="80" t="str" cm="1">
        <f t="array" aca="1" ref="AT8" ca="1">INDEX($A$3:$A$46, MATCH(1, (Y$3:Y$46=AS8) * (COUNTIF($AS$3:AS8, Y$3:Y$46)=1), 0))</f>
        <v>石巻</v>
      </c>
      <c r="AU8" s="70">
        <f t="shared" ca="1" si="1"/>
        <v>807662.85599999991</v>
      </c>
    </row>
    <row r="9" spans="1:47" ht="19.5" customHeight="1" thickBot="1">
      <c r="A9" s="7" t="s">
        <v>198</v>
      </c>
      <c r="B9" s="7"/>
      <c r="C9" s="81">
        <v>45.25</v>
      </c>
      <c r="D9" s="82">
        <v>4.4000000000000004</v>
      </c>
      <c r="E9" s="83">
        <v>0</v>
      </c>
      <c r="F9" s="83">
        <v>0</v>
      </c>
      <c r="G9" s="83">
        <v>0</v>
      </c>
      <c r="H9" s="83">
        <v>0</v>
      </c>
      <c r="I9" s="84">
        <v>607</v>
      </c>
      <c r="J9" s="232">
        <v>20</v>
      </c>
      <c r="K9" s="85">
        <v>0.9790322580645161</v>
      </c>
      <c r="L9" s="224">
        <v>20</v>
      </c>
      <c r="M9" s="224">
        <v>0</v>
      </c>
      <c r="N9" s="86">
        <v>12</v>
      </c>
      <c r="O9" s="86">
        <v>468</v>
      </c>
      <c r="P9" s="87">
        <v>211</v>
      </c>
      <c r="Q9" s="66">
        <v>47954.545454545449</v>
      </c>
      <c r="R9" s="88">
        <v>136</v>
      </c>
      <c r="S9" s="84">
        <v>403055</v>
      </c>
      <c r="T9" s="84">
        <v>0</v>
      </c>
      <c r="U9" s="84">
        <v>260880.27200000003</v>
      </c>
      <c r="V9" s="89">
        <v>0.3929302795047166</v>
      </c>
      <c r="W9" s="90">
        <f>IFERROR(U9+S9+T9,"-")</f>
        <v>663935.272</v>
      </c>
      <c r="X9" s="91">
        <f>IFERROR(U9+S9+T9+Q9,"-")</f>
        <v>711889.81745454541</v>
      </c>
      <c r="Y9" s="92">
        <f t="shared" ca="1" si="4"/>
        <v>17</v>
      </c>
      <c r="AB9" s="98" t="s">
        <v>199</v>
      </c>
      <c r="AC9" s="99" t="e">
        <f>SUMIF(#REF!, $AB9, C:C)</f>
        <v>#REF!</v>
      </c>
      <c r="AD9" s="100" t="e">
        <f>SUMIF(#REF!, $AB9, D:D)</f>
        <v>#REF!</v>
      </c>
      <c r="AE9" s="101" t="e">
        <f>SUMIF(#REF!, $AB9, E:E)</f>
        <v>#REF!</v>
      </c>
      <c r="AF9" s="101" t="e">
        <f>SUMIF(#REF!, $AB9, F:F)</f>
        <v>#REF!</v>
      </c>
      <c r="AG9" s="101" t="e">
        <f>SUMIF(#REF!, $AB9, G:G)</f>
        <v>#REF!</v>
      </c>
      <c r="AH9" s="101" t="e">
        <f>SUMIF(#REF!, $AB9, H:H)</f>
        <v>#REF!</v>
      </c>
      <c r="AI9" s="101" t="e">
        <f>SUMIF(#REF!, $AB9, I:I)</f>
        <v>#REF!</v>
      </c>
      <c r="AJ9" s="102" t="e">
        <f>SUMIF(#REF!, $AB9, K:K)</f>
        <v>#REF!</v>
      </c>
      <c r="AK9" s="101" t="e">
        <f>SUMIF(#REF!, $AB9, N:N)</f>
        <v>#REF!</v>
      </c>
      <c r="AL9" s="101" t="e">
        <f>SUMIF(#REF!, $AB9, P:P)</f>
        <v>#REF!</v>
      </c>
      <c r="AM9" s="101" t="e">
        <f>SUMIF(#REF!, $AB9, R:R)</f>
        <v>#REF!</v>
      </c>
      <c r="AN9" s="101" t="e">
        <f>SUMIF(#REF!, $AB9, S:S)</f>
        <v>#REF!</v>
      </c>
      <c r="AO9" s="101" t="e">
        <f>SUMIF(#REF!, $AB9, T:T)</f>
        <v>#REF!</v>
      </c>
      <c r="AP9" s="103" t="e">
        <f>SUMIF(#REF!, $AB9, U:U)</f>
        <v>#REF!</v>
      </c>
      <c r="AQ9" s="104" t="e">
        <f>SUMIF(#REF!, $AB9, W:W)</f>
        <v>#REF!</v>
      </c>
      <c r="AR9" s="105" t="str">
        <f t="shared" si="2"/>
        <v/>
      </c>
      <c r="AS9" s="55">
        <f ca="1"/>
        <v>7</v>
      </c>
      <c r="AT9" s="93" t="str" cm="1">
        <f t="array" aca="1" ref="AT9" ca="1">INDEX($A$3:$A$46, MATCH(1, (Y$3:Y$46=AS9) * (COUNTIF($AS$3:AS9, Y$3:Y$46)=1), 0))</f>
        <v>昇町</v>
      </c>
      <c r="AU9" s="91">
        <f t="shared" ca="1" si="1"/>
        <v>788408.19200000004</v>
      </c>
    </row>
    <row r="10" spans="1:47" ht="19.5" customHeight="1">
      <c r="A10" s="6" t="s">
        <v>147</v>
      </c>
      <c r="B10" s="6"/>
      <c r="C10" s="59">
        <v>52.7</v>
      </c>
      <c r="D10" s="60">
        <v>4.5999999999999996</v>
      </c>
      <c r="E10" s="61">
        <v>0</v>
      </c>
      <c r="F10" s="61">
        <v>0</v>
      </c>
      <c r="G10" s="61">
        <v>0</v>
      </c>
      <c r="H10" s="61">
        <v>3</v>
      </c>
      <c r="I10" s="62">
        <v>620</v>
      </c>
      <c r="J10" s="231">
        <v>20</v>
      </c>
      <c r="K10" s="63">
        <v>1</v>
      </c>
      <c r="L10" s="223">
        <v>61</v>
      </c>
      <c r="M10" s="223">
        <v>0</v>
      </c>
      <c r="N10" s="64">
        <v>12</v>
      </c>
      <c r="O10" s="94">
        <v>560</v>
      </c>
      <c r="P10" s="106">
        <v>0</v>
      </c>
      <c r="Q10" s="107"/>
      <c r="R10" s="67">
        <v>244</v>
      </c>
      <c r="S10" s="62">
        <v>450075</v>
      </c>
      <c r="T10" s="62">
        <v>22320</v>
      </c>
      <c r="U10" s="62">
        <v>290142.77600000007</v>
      </c>
      <c r="V10" s="68">
        <v>0.3919694789928958</v>
      </c>
      <c r="W10" s="69">
        <f t="shared" ref="W10:W31" si="5">IFERROR(U10+S10+T10,"-")</f>
        <v>762537.77600000007</v>
      </c>
      <c r="X10" s="70">
        <f>IFERROR(U10+S10+T10,"-")</f>
        <v>762537.77600000007</v>
      </c>
      <c r="Y10" s="71">
        <f t="shared" ca="1" si="4"/>
        <v>11</v>
      </c>
      <c r="AS10" s="54">
        <f ca="1"/>
        <v>8</v>
      </c>
      <c r="AT10" s="80" t="str" cm="1">
        <f t="array" aca="1" ref="AT10" ca="1">INDEX($A$3:$A$46, MATCH(1, (Y$3:Y$46=AS10) * (COUNTIF($AS$3:AS10, Y$3:Y$46)=1), 0))</f>
        <v>石清水</v>
      </c>
      <c r="AU10" s="70">
        <f t="shared" ca="1" si="1"/>
        <v>779098.32000000007</v>
      </c>
    </row>
    <row r="11" spans="1:47" ht="19.399999999999999" customHeight="1">
      <c r="A11" s="7" t="s">
        <v>146</v>
      </c>
      <c r="B11" s="7"/>
      <c r="C11" s="81">
        <v>55.157894736842103</v>
      </c>
      <c r="D11" s="82">
        <v>4.45</v>
      </c>
      <c r="E11" s="83">
        <v>0</v>
      </c>
      <c r="F11" s="83">
        <v>0</v>
      </c>
      <c r="G11" s="83">
        <v>0</v>
      </c>
      <c r="H11" s="83">
        <v>3</v>
      </c>
      <c r="I11" s="84">
        <v>618</v>
      </c>
      <c r="J11" s="232">
        <v>20</v>
      </c>
      <c r="K11" s="85">
        <v>0.99677419354838714</v>
      </c>
      <c r="L11" s="224">
        <v>5</v>
      </c>
      <c r="M11" s="224">
        <v>0</v>
      </c>
      <c r="N11" s="86">
        <v>7</v>
      </c>
      <c r="O11" s="109">
        <v>596</v>
      </c>
      <c r="P11" s="88">
        <v>0</v>
      </c>
      <c r="Q11" s="110"/>
      <c r="R11" s="88">
        <v>135</v>
      </c>
      <c r="S11" s="84">
        <v>450989</v>
      </c>
      <c r="T11" s="84">
        <v>16740</v>
      </c>
      <c r="U11" s="84">
        <v>296992.67200000002</v>
      </c>
      <c r="V11" s="89">
        <v>0.39705875573913796</v>
      </c>
      <c r="W11" s="90">
        <f t="shared" si="5"/>
        <v>764721.67200000002</v>
      </c>
      <c r="X11" s="91">
        <f t="shared" ref="X11:X12" si="6">IFERROR(U11+S11+T11,"-")</f>
        <v>764721.67200000002</v>
      </c>
      <c r="Y11" s="92">
        <f t="shared" ca="1" si="4"/>
        <v>10</v>
      </c>
      <c r="AS11" s="55">
        <f ca="1"/>
        <v>9</v>
      </c>
      <c r="AT11" s="93" t="str" cm="1">
        <f t="array" aca="1" ref="AT11" ca="1">INDEX($A$3:$A$46, MATCH(1, (Y$3:Y$46=AS11) * (COUNTIF($AS$3:AS11, Y$3:Y$46)=1), 0))</f>
        <v>南部町</v>
      </c>
      <c r="AU11" s="91">
        <f t="shared" ca="1" si="1"/>
        <v>769126.38399999996</v>
      </c>
    </row>
    <row r="12" spans="1:47" s="1" customFormat="1" ht="19.5" customHeight="1" thickBot="1">
      <c r="A12" s="6" t="s">
        <v>145</v>
      </c>
      <c r="B12" s="6"/>
      <c r="C12" s="59">
        <v>47.35</v>
      </c>
      <c r="D12" s="60">
        <v>3.8</v>
      </c>
      <c r="E12" s="61">
        <v>0</v>
      </c>
      <c r="F12" s="61">
        <v>0</v>
      </c>
      <c r="G12" s="61">
        <v>0</v>
      </c>
      <c r="H12" s="61">
        <v>0</v>
      </c>
      <c r="I12" s="62">
        <v>618</v>
      </c>
      <c r="J12" s="231">
        <v>20</v>
      </c>
      <c r="K12" s="63">
        <v>0.99677419354838714</v>
      </c>
      <c r="L12" s="223">
        <v>14</v>
      </c>
      <c r="M12" s="223">
        <v>0</v>
      </c>
      <c r="N12" s="64">
        <v>14</v>
      </c>
      <c r="O12" s="94">
        <v>584</v>
      </c>
      <c r="P12" s="111">
        <v>0</v>
      </c>
      <c r="Q12" s="112"/>
      <c r="R12" s="67">
        <v>248</v>
      </c>
      <c r="S12" s="62">
        <v>379047</v>
      </c>
      <c r="T12" s="62">
        <v>0</v>
      </c>
      <c r="U12" s="62">
        <v>271575.54399999999</v>
      </c>
      <c r="V12" s="68">
        <v>0.41740875182462167</v>
      </c>
      <c r="W12" s="69">
        <f t="shared" si="5"/>
        <v>650622.54399999999</v>
      </c>
      <c r="X12" s="70">
        <f t="shared" si="6"/>
        <v>650622.54399999999</v>
      </c>
      <c r="Y12" s="71">
        <f t="shared" ca="1" si="4"/>
        <v>30</v>
      </c>
      <c r="AA12" s="927" t="s">
        <v>200</v>
      </c>
      <c r="AB12" s="928" t="s">
        <v>107</v>
      </c>
      <c r="AC12" s="930" t="s">
        <v>166</v>
      </c>
      <c r="AD12" s="932" t="s">
        <v>167</v>
      </c>
      <c r="AE12" s="919" t="s">
        <v>168</v>
      </c>
      <c r="AF12" s="919" t="s">
        <v>169</v>
      </c>
      <c r="AG12" s="919" t="s">
        <v>170</v>
      </c>
      <c r="AH12" s="919" t="s">
        <v>171</v>
      </c>
      <c r="AI12" s="919" t="s">
        <v>172</v>
      </c>
      <c r="AJ12" s="921" t="s">
        <v>173</v>
      </c>
      <c r="AK12" s="919" t="s">
        <v>174</v>
      </c>
      <c r="AL12" s="919" t="s">
        <v>177</v>
      </c>
      <c r="AM12" s="919" t="s">
        <v>180</v>
      </c>
      <c r="AN12" s="919" t="s">
        <v>181</v>
      </c>
      <c r="AO12" s="919" t="s">
        <v>182</v>
      </c>
      <c r="AP12" s="934" t="s">
        <v>183</v>
      </c>
      <c r="AQ12" s="936" t="s">
        <v>185</v>
      </c>
      <c r="AR12" s="917" t="s">
        <v>187</v>
      </c>
      <c r="AS12" s="54">
        <f ca="1"/>
        <v>10</v>
      </c>
      <c r="AT12" s="80" t="str" cm="1">
        <f t="array" aca="1" ref="AT12" ca="1">INDEX($A$3:$A$46, MATCH(1, (Y$3:Y$46=AS12) * (COUNTIF($AS$3:AS12, Y$3:Y$46)=1), 0))</f>
        <v>春日部</v>
      </c>
      <c r="AU12" s="70">
        <f t="shared" ca="1" si="1"/>
        <v>764721.67200000002</v>
      </c>
    </row>
    <row r="13" spans="1:47" ht="19.5" customHeight="1" thickBot="1">
      <c r="A13" s="7" t="s">
        <v>201</v>
      </c>
      <c r="B13" s="7"/>
      <c r="C13" s="81">
        <v>56.4</v>
      </c>
      <c r="D13" s="82">
        <v>4.2</v>
      </c>
      <c r="E13" s="83">
        <v>0</v>
      </c>
      <c r="F13" s="83">
        <v>0</v>
      </c>
      <c r="G13" s="83">
        <v>0</v>
      </c>
      <c r="H13" s="83">
        <v>0</v>
      </c>
      <c r="I13" s="84">
        <v>620</v>
      </c>
      <c r="J13" s="232">
        <v>20</v>
      </c>
      <c r="K13" s="85">
        <v>1</v>
      </c>
      <c r="L13" s="224">
        <v>11</v>
      </c>
      <c r="M13" s="224">
        <v>0</v>
      </c>
      <c r="N13" s="86">
        <v>13</v>
      </c>
      <c r="O13" s="86">
        <v>590</v>
      </c>
      <c r="P13" s="87">
        <v>189</v>
      </c>
      <c r="Q13" s="66">
        <v>42954.545454545456</v>
      </c>
      <c r="R13" s="88">
        <v>134</v>
      </c>
      <c r="S13" s="84">
        <v>403655</v>
      </c>
      <c r="T13" s="84">
        <v>0</v>
      </c>
      <c r="U13" s="84">
        <v>279111.65600000002</v>
      </c>
      <c r="V13" s="89">
        <v>0.40879508913803786</v>
      </c>
      <c r="W13" s="90">
        <f t="shared" si="5"/>
        <v>682766.65599999996</v>
      </c>
      <c r="X13" s="91">
        <f>IFERROR(U13+S13+T13+Q13,"-")</f>
        <v>725721.20145454537</v>
      </c>
      <c r="Y13" s="92">
        <f t="shared" ca="1" si="4"/>
        <v>15</v>
      </c>
      <c r="AA13" s="927"/>
      <c r="AB13" s="929"/>
      <c r="AC13" s="931"/>
      <c r="AD13" s="933"/>
      <c r="AE13" s="920"/>
      <c r="AF13" s="920"/>
      <c r="AG13" s="920"/>
      <c r="AH13" s="920"/>
      <c r="AI13" s="920"/>
      <c r="AJ13" s="922"/>
      <c r="AK13" s="920"/>
      <c r="AL13" s="920"/>
      <c r="AM13" s="920"/>
      <c r="AN13" s="920"/>
      <c r="AO13" s="920"/>
      <c r="AP13" s="935"/>
      <c r="AQ13" s="937"/>
      <c r="AR13" s="918"/>
      <c r="AS13" s="55">
        <f ca="1"/>
        <v>11</v>
      </c>
      <c r="AT13" s="93" t="str" cm="1">
        <f t="array" aca="1" ref="AT13" ca="1">INDEX($A$3:$A$46, MATCH(1, (Y$3:Y$46=AS13) * (COUNTIF($AS$3:AS13, Y$3:Y$46)=1), 0))</f>
        <v>南中丸</v>
      </c>
      <c r="AU13" s="91">
        <f t="shared" ca="1" si="1"/>
        <v>762537.77600000007</v>
      </c>
    </row>
    <row r="14" spans="1:47" ht="19.5" customHeight="1">
      <c r="A14" s="6" t="s">
        <v>202</v>
      </c>
      <c r="B14" s="6"/>
      <c r="C14" s="59">
        <v>46</v>
      </c>
      <c r="D14" s="60">
        <v>2.6923076923076925</v>
      </c>
      <c r="E14" s="61">
        <v>0</v>
      </c>
      <c r="F14" s="61">
        <v>0</v>
      </c>
      <c r="G14" s="61">
        <v>0</v>
      </c>
      <c r="H14" s="61">
        <v>0</v>
      </c>
      <c r="I14" s="62">
        <v>370</v>
      </c>
      <c r="J14" s="231">
        <v>13</v>
      </c>
      <c r="K14" s="63">
        <v>0.91811414392059554</v>
      </c>
      <c r="L14" s="223">
        <v>0</v>
      </c>
      <c r="M14" s="223">
        <v>0</v>
      </c>
      <c r="N14" s="64">
        <v>8</v>
      </c>
      <c r="O14" s="94" t="s">
        <v>265</v>
      </c>
      <c r="P14" s="113"/>
      <c r="Q14" s="107"/>
      <c r="R14" s="114"/>
      <c r="S14" s="62">
        <v>96095</v>
      </c>
      <c r="T14" s="62">
        <v>0</v>
      </c>
      <c r="U14" s="62">
        <v>63725.232000000011</v>
      </c>
      <c r="V14" s="68">
        <v>0.39873069387109888</v>
      </c>
      <c r="W14" s="69">
        <f t="shared" si="5"/>
        <v>159820.23200000002</v>
      </c>
      <c r="X14" s="91">
        <f>IFERROR((U14+S14+T14)/13*20,"-")</f>
        <v>245877.28000000003</v>
      </c>
      <c r="Y14" s="71">
        <f t="shared" ca="1" si="4"/>
        <v>41</v>
      </c>
      <c r="AA14" s="1" t="e">
        <f>COUNTIF(#REF!, "白鳥健成")</f>
        <v>#REF!</v>
      </c>
      <c r="AB14" s="45" t="s">
        <v>190</v>
      </c>
      <c r="AC14" s="46" t="e">
        <f>SUMIF(#REF!, $AB14, C:C)/$AA14</f>
        <v>#REF!</v>
      </c>
      <c r="AD14" s="47" t="e">
        <f>SUMIF(#REF!, $AB14, D:D)/$AA14</f>
        <v>#REF!</v>
      </c>
      <c r="AE14" s="115" t="e">
        <f>SUMIF(#REF!, $AB14, E:E)/$AA14</f>
        <v>#REF!</v>
      </c>
      <c r="AF14" s="115" t="e">
        <f>SUMIF(#REF!, $AB14, F:F)/$AA14</f>
        <v>#REF!</v>
      </c>
      <c r="AG14" s="115" t="e">
        <f>SUMIF(#REF!, $AB14, G:G)/$AA14</f>
        <v>#REF!</v>
      </c>
      <c r="AH14" s="115" t="e">
        <f>SUMIF(#REF!, $AB14, H:H)/$AA14</f>
        <v>#REF!</v>
      </c>
      <c r="AI14" s="48" t="e">
        <f>SUMIF(#REF!, $AB14, I:I)/$AA14</f>
        <v>#REF!</v>
      </c>
      <c r="AJ14" s="49" t="e">
        <f>SUMIF(#REF!, $AB14, K:K)/$AA14</f>
        <v>#REF!</v>
      </c>
      <c r="AK14" s="48" t="e">
        <f>SUMIF(#REF!, $AB14, N:N)/$AA14</f>
        <v>#REF!</v>
      </c>
      <c r="AL14" s="48" t="e">
        <f>SUMIF(#REF!, $AB14, P:P)/$AA14</f>
        <v>#REF!</v>
      </c>
      <c r="AM14" s="48" t="e">
        <f>SUMIF(#REF!, $AB14, R:R)/$AA14</f>
        <v>#REF!</v>
      </c>
      <c r="AN14" s="48" t="e">
        <f>SUMIF(#REF!, $AB14, S:S)/$AA14</f>
        <v>#REF!</v>
      </c>
      <c r="AO14" s="48" t="e">
        <f>SUMIF(#REF!, $AB14, T:T)/$AA14</f>
        <v>#REF!</v>
      </c>
      <c r="AP14" s="50" t="e">
        <f>SUMIF(#REF!, $AB14, U:U)/$AA14</f>
        <v>#REF!</v>
      </c>
      <c r="AQ14" s="51" t="e">
        <f>SUMIF(#REF!, $AB14, W:W)/$AA14</f>
        <v>#REF!</v>
      </c>
      <c r="AR14" s="52" t="str">
        <f>IFERROR(RANK(AQ14,$AQ$14:$AQ$20,0),"")</f>
        <v/>
      </c>
      <c r="AS14" s="54">
        <f ca="1"/>
        <v>12</v>
      </c>
      <c r="AT14" s="80" t="str" cm="1">
        <f t="array" aca="1" ref="AT14" ca="1">INDEX($A$3:$A$46, MATCH(1, (Y$3:Y$46=AS14) * (COUNTIF($AS$3:AS14, Y$3:Y$46)=1), 0))</f>
        <v>平井</v>
      </c>
      <c r="AU14" s="70">
        <f t="shared" ca="1" si="1"/>
        <v>761969.64290909097</v>
      </c>
    </row>
    <row r="15" spans="1:47" ht="19.5" customHeight="1">
      <c r="A15" s="7" t="s">
        <v>144</v>
      </c>
      <c r="B15" s="7"/>
      <c r="C15" s="81">
        <v>49.684210526315788</v>
      </c>
      <c r="D15" s="82">
        <v>3.8</v>
      </c>
      <c r="E15" s="83">
        <v>0</v>
      </c>
      <c r="F15" s="83">
        <v>0</v>
      </c>
      <c r="G15" s="83">
        <v>0</v>
      </c>
      <c r="H15" s="83">
        <v>2</v>
      </c>
      <c r="I15" s="84">
        <v>620</v>
      </c>
      <c r="J15" s="232">
        <v>20</v>
      </c>
      <c r="K15" s="85">
        <v>1</v>
      </c>
      <c r="L15" s="224">
        <v>8</v>
      </c>
      <c r="M15" s="224">
        <v>0</v>
      </c>
      <c r="N15" s="86">
        <v>10</v>
      </c>
      <c r="O15" s="109">
        <v>616</v>
      </c>
      <c r="P15" s="88">
        <v>0</v>
      </c>
      <c r="Q15" s="110"/>
      <c r="R15" s="88">
        <v>288</v>
      </c>
      <c r="S15" s="84">
        <v>364719</v>
      </c>
      <c r="T15" s="84">
        <v>11160</v>
      </c>
      <c r="U15" s="84">
        <v>273203.72000000003</v>
      </c>
      <c r="V15" s="89">
        <v>0.42827087268501746</v>
      </c>
      <c r="W15" s="90">
        <f t="shared" si="5"/>
        <v>649082.72</v>
      </c>
      <c r="X15" s="91">
        <f t="shared" ref="X15:X16" si="7">IFERROR(U15+S15+T15,"-")</f>
        <v>649082.72</v>
      </c>
      <c r="Y15" s="92">
        <f t="shared" ca="1" si="4"/>
        <v>31</v>
      </c>
      <c r="AA15" s="1" t="e">
        <f>COUNTIF(#REF!, "綱島康裕")</f>
        <v>#REF!</v>
      </c>
      <c r="AB15" s="72" t="s">
        <v>192</v>
      </c>
      <c r="AC15" s="73" t="e">
        <f>SUMIF(#REF!, $AB15, C:C)/$AA15</f>
        <v>#REF!</v>
      </c>
      <c r="AD15" s="74" t="e">
        <f>SUMIF(#REF!, $AB15, D:D)/$AA15</f>
        <v>#REF!</v>
      </c>
      <c r="AE15" s="116" t="e">
        <f>SUMIF(#REF!, $AB15, E:E)/$AA15</f>
        <v>#REF!</v>
      </c>
      <c r="AF15" s="116" t="e">
        <f>SUMIF(#REF!, $AB15, F:F)/$AA15</f>
        <v>#REF!</v>
      </c>
      <c r="AG15" s="116" t="e">
        <f>SUMIF(#REF!, $AB15, G:G)/$AA15</f>
        <v>#REF!</v>
      </c>
      <c r="AH15" s="116" t="e">
        <f>SUMIF(#REF!, $AB15, H:H)/$AA15</f>
        <v>#REF!</v>
      </c>
      <c r="AI15" s="75" t="e">
        <f>SUMIF(#REF!, $AB15, I:I)/$AA15</f>
        <v>#REF!</v>
      </c>
      <c r="AJ15" s="76" t="e">
        <f>SUMIF(#REF!, $AB15, K:K)/$AA15</f>
        <v>#REF!</v>
      </c>
      <c r="AK15" s="75" t="e">
        <f>SUMIF(#REF!, $AB15, N:N)/$AA15</f>
        <v>#REF!</v>
      </c>
      <c r="AL15" s="75" t="e">
        <f>SUMIF(#REF!, $AB15, P:P)/$AA15</f>
        <v>#REF!</v>
      </c>
      <c r="AM15" s="75" t="e">
        <f>SUMIF(#REF!, $AB15, R:R)/$AA15</f>
        <v>#REF!</v>
      </c>
      <c r="AN15" s="75" t="e">
        <f>SUMIF(#REF!, $AB15, S:S)/$AA15</f>
        <v>#REF!</v>
      </c>
      <c r="AO15" s="75" t="e">
        <f>SUMIF(#REF!, $AB15, T:T)/$AA15</f>
        <v>#REF!</v>
      </c>
      <c r="AP15" s="77" t="e">
        <f>SUMIF(#REF!, $AB15, U:U)/$AA15</f>
        <v>#REF!</v>
      </c>
      <c r="AQ15" s="78" t="e">
        <f>SUMIF(#REF!, $AB15, W:W)/$AA15</f>
        <v>#REF!</v>
      </c>
      <c r="AR15" s="79" t="str">
        <f>IFERROR(RANK(AQ15,$AQ$14:$AQ$20,0),"")</f>
        <v/>
      </c>
      <c r="AS15" s="55">
        <f ca="1"/>
        <v>13</v>
      </c>
      <c r="AT15" s="93" t="str" cm="1">
        <f t="array" aca="1" ref="AT15" ca="1">INDEX($A$3:$A$46, MATCH(1, (Y$3:Y$46=AS15) * (COUNTIF($AS$3:AS15, Y$3:Y$46)=1), 0))</f>
        <v>柳井</v>
      </c>
      <c r="AU15" s="91">
        <f t="shared" ca="1" si="1"/>
        <v>749365.55199999991</v>
      </c>
    </row>
    <row r="16" spans="1:47" ht="19.5" customHeight="1">
      <c r="A16" s="6" t="s">
        <v>143</v>
      </c>
      <c r="B16" s="6"/>
      <c r="C16" s="59">
        <v>53.8</v>
      </c>
      <c r="D16" s="60">
        <v>4.0999999999999996</v>
      </c>
      <c r="E16" s="61">
        <v>0</v>
      </c>
      <c r="F16" s="61">
        <v>0</v>
      </c>
      <c r="G16" s="61">
        <v>0</v>
      </c>
      <c r="H16" s="61">
        <v>0</v>
      </c>
      <c r="I16" s="62">
        <v>616</v>
      </c>
      <c r="J16" s="231">
        <v>20</v>
      </c>
      <c r="K16" s="63">
        <v>0.99354838709677418</v>
      </c>
      <c r="L16" s="223">
        <v>31</v>
      </c>
      <c r="M16" s="223">
        <v>0</v>
      </c>
      <c r="N16" s="64">
        <v>8</v>
      </c>
      <c r="O16" s="94">
        <v>585</v>
      </c>
      <c r="P16" s="67">
        <v>0</v>
      </c>
      <c r="Q16" s="117"/>
      <c r="R16" s="67">
        <v>94</v>
      </c>
      <c r="S16" s="62">
        <v>429234</v>
      </c>
      <c r="T16" s="62">
        <v>0</v>
      </c>
      <c r="U16" s="62">
        <v>286145.80799999996</v>
      </c>
      <c r="V16" s="68">
        <v>0.39999145181352391</v>
      </c>
      <c r="W16" s="69">
        <f t="shared" si="5"/>
        <v>715379.80799999996</v>
      </c>
      <c r="X16" s="70">
        <f t="shared" si="7"/>
        <v>715379.80799999996</v>
      </c>
      <c r="Y16" s="71">
        <f t="shared" ca="1" si="4"/>
        <v>16</v>
      </c>
      <c r="AA16" s="1" t="e">
        <f>COUNTIF(#REF!, "高山慶太")</f>
        <v>#REF!</v>
      </c>
      <c r="AB16" s="72" t="s">
        <v>193</v>
      </c>
      <c r="AC16" s="73" t="e">
        <f>SUMIF(#REF!, $AB16, C:C)/$AA16</f>
        <v>#REF!</v>
      </c>
      <c r="AD16" s="74" t="e">
        <f>SUMIF(#REF!, $AB16, D:D)/$AA16</f>
        <v>#REF!</v>
      </c>
      <c r="AE16" s="116" t="e">
        <f>SUMIF(#REF!, $AB16, E:E)/$AA16</f>
        <v>#REF!</v>
      </c>
      <c r="AF16" s="116" t="e">
        <f>SUMIF(#REF!, $AB16, F:F)/$AA16</f>
        <v>#REF!</v>
      </c>
      <c r="AG16" s="116" t="e">
        <f>SUMIF(#REF!, $AB16, G:G)/$AA16</f>
        <v>#REF!</v>
      </c>
      <c r="AH16" s="116" t="e">
        <f>SUMIF(#REF!, $AB16, H:H)/$AA16</f>
        <v>#REF!</v>
      </c>
      <c r="AI16" s="75" t="e">
        <f>SUMIF(#REF!, $AB16, I:I)/$AA16</f>
        <v>#REF!</v>
      </c>
      <c r="AJ16" s="76" t="e">
        <f>SUMIF(#REF!, $AB16, K:K)/$AA16</f>
        <v>#REF!</v>
      </c>
      <c r="AK16" s="75" t="e">
        <f>SUMIF(#REF!, $AB16, N:N)/$AA16</f>
        <v>#REF!</v>
      </c>
      <c r="AL16" s="75" t="e">
        <f>SUMIF(#REF!, $AB16, P:P)/$AA16</f>
        <v>#REF!</v>
      </c>
      <c r="AM16" s="75" t="e">
        <f>SUMIF(#REF!, $AB16, R:R)/$AA16</f>
        <v>#REF!</v>
      </c>
      <c r="AN16" s="75" t="e">
        <f>SUMIF(#REF!, $AB16, S:S)/$AA16</f>
        <v>#REF!</v>
      </c>
      <c r="AO16" s="75" t="e">
        <f>SUMIF(#REF!, $AB16, T:T)/$AA16</f>
        <v>#REF!</v>
      </c>
      <c r="AP16" s="77" t="e">
        <f>SUMIF(#REF!, $AB16, U:U)/$AA16</f>
        <v>#REF!</v>
      </c>
      <c r="AQ16" s="78" t="e">
        <f>SUMIF(#REF!, $AB16, W:W)/$AA16</f>
        <v>#REF!</v>
      </c>
      <c r="AR16" s="79" t="str">
        <f t="shared" ref="AR16" si="8">IFERROR(RANK(AQ16,$AQ$14:$AQ$20,0),"")</f>
        <v/>
      </c>
      <c r="AS16" s="54">
        <f ca="1"/>
        <v>14</v>
      </c>
      <c r="AT16" s="80" t="str" cm="1">
        <f t="array" aca="1" ref="AT16" ca="1">INDEX($A$3:$A$46, MATCH(1, (Y$3:Y$46=AS16) * (COUNTIF($AS$3:AS16, Y$3:Y$46)=1), 0))</f>
        <v>和歌山</v>
      </c>
      <c r="AU16" s="70">
        <f t="shared" ca="1" si="1"/>
        <v>743288.83199999994</v>
      </c>
    </row>
    <row r="17" spans="1:47" ht="19.5" customHeight="1">
      <c r="A17" s="7" t="s">
        <v>203</v>
      </c>
      <c r="B17" s="7"/>
      <c r="C17" s="81">
        <v>55.6</v>
      </c>
      <c r="D17" s="82">
        <v>3.1</v>
      </c>
      <c r="E17" s="83">
        <v>0</v>
      </c>
      <c r="F17" s="83">
        <v>0</v>
      </c>
      <c r="G17" s="83">
        <v>0</v>
      </c>
      <c r="H17" s="83">
        <v>0</v>
      </c>
      <c r="I17" s="84">
        <v>310</v>
      </c>
      <c r="J17" s="232">
        <v>10</v>
      </c>
      <c r="K17" s="85">
        <v>1</v>
      </c>
      <c r="L17" s="224">
        <v>0</v>
      </c>
      <c r="M17" s="224">
        <v>0</v>
      </c>
      <c r="N17" s="86">
        <v>6</v>
      </c>
      <c r="O17" s="109">
        <v>280</v>
      </c>
      <c r="P17" s="118"/>
      <c r="Q17" s="110"/>
      <c r="R17" s="118"/>
      <c r="S17" s="84">
        <v>93341</v>
      </c>
      <c r="T17" s="84">
        <v>0</v>
      </c>
      <c r="U17" s="84">
        <v>91873.744000000006</v>
      </c>
      <c r="V17" s="89">
        <v>0.49603904103876312</v>
      </c>
      <c r="W17" s="90">
        <f t="shared" si="5"/>
        <v>185214.74400000001</v>
      </c>
      <c r="X17" s="91">
        <f>IFERROR((U17+S17+T17)/10*20,"-")</f>
        <v>370429.48800000001</v>
      </c>
      <c r="Y17" s="92">
        <f t="shared" ca="1" si="4"/>
        <v>39</v>
      </c>
      <c r="AA17" s="1" t="e">
        <f>COUNTIF(#REF!, "川越悠史")</f>
        <v>#REF!</v>
      </c>
      <c r="AB17" s="72" t="s">
        <v>194</v>
      </c>
      <c r="AC17" s="73" t="e">
        <f>SUMIF(#REF!, $AB17, C:C)/$AA17</f>
        <v>#REF!</v>
      </c>
      <c r="AD17" s="74" t="e">
        <f>SUMIF(#REF!, $AB17, D:D)/$AA17</f>
        <v>#REF!</v>
      </c>
      <c r="AE17" s="116" t="e">
        <f>SUMIF(#REF!, $AB17, E:E)/$AA17</f>
        <v>#REF!</v>
      </c>
      <c r="AF17" s="116" t="e">
        <f>SUMIF(#REF!, $AB17, F:F)/$AA17</f>
        <v>#REF!</v>
      </c>
      <c r="AG17" s="116" t="e">
        <f>SUMIF(#REF!, $AB17, G:G)/$AA17</f>
        <v>#REF!</v>
      </c>
      <c r="AH17" s="116" t="e">
        <f>SUMIF(#REF!, $AB17, H:H)/$AA17</f>
        <v>#REF!</v>
      </c>
      <c r="AI17" s="75" t="e">
        <f>SUMIF(#REF!, $AB17, I:I)/$AA17</f>
        <v>#REF!</v>
      </c>
      <c r="AJ17" s="76" t="e">
        <f>SUMIF(#REF!, $AB17, K:K)/$AA17</f>
        <v>#REF!</v>
      </c>
      <c r="AK17" s="75" t="e">
        <f>SUMIF(#REF!, $AB17, N:N)/$AA17</f>
        <v>#REF!</v>
      </c>
      <c r="AL17" s="75" t="e">
        <f>SUMIF(#REF!, $AB17, P:P)/$AA17</f>
        <v>#REF!</v>
      </c>
      <c r="AM17" s="75" t="e">
        <f>SUMIF(#REF!, $AB17, R:R)/$AA17</f>
        <v>#REF!</v>
      </c>
      <c r="AN17" s="75" t="e">
        <f>SUMIF(#REF!, $AB17, S:S)/$AA17</f>
        <v>#REF!</v>
      </c>
      <c r="AO17" s="75" t="e">
        <f>SUMIF(#REF!, $AB17, T:T)/$AA17</f>
        <v>#REF!</v>
      </c>
      <c r="AP17" s="77" t="e">
        <f>SUMIF(#REF!, $AB17, U:U)/$AA17</f>
        <v>#REF!</v>
      </c>
      <c r="AQ17" s="78" t="e">
        <f>SUMIF(#REF!, $AB17, W:W)/$AA17</f>
        <v>#REF!</v>
      </c>
      <c r="AR17" s="79" t="str">
        <f>IFERROR(RANK(AQ17,$AQ$14:$AQ$20,0),"")</f>
        <v/>
      </c>
      <c r="AS17" s="55">
        <f ca="1"/>
        <v>15</v>
      </c>
      <c r="AT17" s="93" t="str" cm="1">
        <f t="array" aca="1" ref="AT17" ca="1">INDEX($A$3:$A$46, MATCH(1, (Y$3:Y$46=AS17) * (COUNTIF($AS$3:AS17, Y$3:Y$46)=1), 0))</f>
        <v>谷田</v>
      </c>
      <c r="AU17" s="91">
        <f t="shared" ca="1" si="1"/>
        <v>725721.20145454537</v>
      </c>
    </row>
    <row r="18" spans="1:47" ht="19.5" customHeight="1">
      <c r="A18" s="6" t="s">
        <v>204</v>
      </c>
      <c r="B18" s="6"/>
      <c r="C18" s="59">
        <v>59.736842105263158</v>
      </c>
      <c r="D18" s="60">
        <v>4.1052631578947372</v>
      </c>
      <c r="E18" s="61">
        <v>0</v>
      </c>
      <c r="F18" s="61">
        <v>0</v>
      </c>
      <c r="G18" s="61">
        <v>0</v>
      </c>
      <c r="H18" s="61">
        <v>2</v>
      </c>
      <c r="I18" s="62">
        <v>587</v>
      </c>
      <c r="J18" s="231">
        <v>20</v>
      </c>
      <c r="K18" s="63">
        <v>0.9467741935483871</v>
      </c>
      <c r="L18" s="223">
        <v>29</v>
      </c>
      <c r="M18" s="223">
        <v>0</v>
      </c>
      <c r="N18" s="64">
        <v>6</v>
      </c>
      <c r="O18" s="94">
        <v>588</v>
      </c>
      <c r="P18" s="67">
        <v>0</v>
      </c>
      <c r="Q18" s="117"/>
      <c r="R18" s="67">
        <v>176</v>
      </c>
      <c r="S18" s="62">
        <v>375983</v>
      </c>
      <c r="T18" s="62">
        <v>10800</v>
      </c>
      <c r="U18" s="62">
        <v>270012.56799999997</v>
      </c>
      <c r="V18" s="68">
        <v>0.41797897907559634</v>
      </c>
      <c r="W18" s="69">
        <f t="shared" si="5"/>
        <v>656795.56799999997</v>
      </c>
      <c r="X18" s="70">
        <f t="shared" ref="X18" si="9">IFERROR(U18+S18+T18,"-")</f>
        <v>656795.56799999997</v>
      </c>
      <c r="Y18" s="71">
        <f t="shared" ca="1" si="4"/>
        <v>28</v>
      </c>
      <c r="AA18" s="1" t="e">
        <f>COUNTIF(#REF!, "三澤佑貴")</f>
        <v>#REF!</v>
      </c>
      <c r="AB18" s="97" t="s">
        <v>196</v>
      </c>
      <c r="AC18" s="73" t="e">
        <f>SUMIF(#REF!, $AB18, C:C)/$AA18</f>
        <v>#REF!</v>
      </c>
      <c r="AD18" s="74" t="e">
        <f>SUMIF(#REF!, $AB18, D:D)/$AA18</f>
        <v>#REF!</v>
      </c>
      <c r="AE18" s="116" t="e">
        <f>SUMIF(#REF!, $AB18, E:E)/$AA18</f>
        <v>#REF!</v>
      </c>
      <c r="AF18" s="116" t="e">
        <f>SUMIF(#REF!, $AB18, F:F)/$AA18</f>
        <v>#REF!</v>
      </c>
      <c r="AG18" s="116" t="e">
        <f>SUMIF(#REF!, $AB18, G:G)/$AA18</f>
        <v>#REF!</v>
      </c>
      <c r="AH18" s="116" t="e">
        <f>SUMIF(#REF!, $AB18, H:H)/$AA18</f>
        <v>#REF!</v>
      </c>
      <c r="AI18" s="75" t="e">
        <f>SUMIF(#REF!, $AB18, I:I)/$AA18</f>
        <v>#REF!</v>
      </c>
      <c r="AJ18" s="76" t="e">
        <f>SUMIF(#REF!, $AB18, K:K)/$AA18</f>
        <v>#REF!</v>
      </c>
      <c r="AK18" s="75" t="e">
        <f>SUMIF(#REF!, $AB18, N:N)/$AA18</f>
        <v>#REF!</v>
      </c>
      <c r="AL18" s="75" t="e">
        <f>SUMIF(#REF!, $AB18, P:P)/$AA18</f>
        <v>#REF!</v>
      </c>
      <c r="AM18" s="75" t="e">
        <f>SUMIF(#REF!, $AB18, R:R)/$AA18</f>
        <v>#REF!</v>
      </c>
      <c r="AN18" s="75" t="e">
        <f>SUMIF(#REF!, $AB18, S:S)/$AA18</f>
        <v>#REF!</v>
      </c>
      <c r="AO18" s="75" t="e">
        <f>SUMIF(#REF!, $AB18, T:T)/$AA18</f>
        <v>#REF!</v>
      </c>
      <c r="AP18" s="77" t="e">
        <f>SUMIF(#REF!, $AB18, U:U)/$AA18</f>
        <v>#REF!</v>
      </c>
      <c r="AQ18" s="78" t="e">
        <f>SUMIF(#REF!, $AB18, W:W)/$AA18</f>
        <v>#REF!</v>
      </c>
      <c r="AR18" s="79" t="str">
        <f>IFERROR(RANK(AQ18,$AQ$14:$AQ$20,0),"")</f>
        <v/>
      </c>
      <c r="AS18" s="54">
        <f ca="1"/>
        <v>16</v>
      </c>
      <c r="AT18" s="80" t="str" cm="1">
        <f t="array" aca="1" ref="AT18" ca="1">INDEX($A$3:$A$46, MATCH(1, (Y$3:Y$46=AS18) * (COUNTIF($AS$3:AS18, Y$3:Y$46)=1), 0))</f>
        <v>高丘</v>
      </c>
      <c r="AU18" s="70">
        <f t="shared" ca="1" si="1"/>
        <v>715379.80799999996</v>
      </c>
    </row>
    <row r="19" spans="1:47" ht="19.5" customHeight="1">
      <c r="A19" s="7" t="s">
        <v>142</v>
      </c>
      <c r="B19" s="7"/>
      <c r="C19" s="81">
        <v>48.4</v>
      </c>
      <c r="D19" s="82">
        <v>3.9</v>
      </c>
      <c r="E19" s="83">
        <v>0</v>
      </c>
      <c r="F19" s="83">
        <v>0</v>
      </c>
      <c r="G19" s="83">
        <v>0</v>
      </c>
      <c r="H19" s="83">
        <v>2</v>
      </c>
      <c r="I19" s="84">
        <v>880</v>
      </c>
      <c r="J19" s="232">
        <v>29</v>
      </c>
      <c r="K19" s="85">
        <v>0.94623655913978499</v>
      </c>
      <c r="L19" s="224">
        <v>34</v>
      </c>
      <c r="M19" s="224">
        <v>1</v>
      </c>
      <c r="N19" s="86">
        <v>9</v>
      </c>
      <c r="O19" s="109">
        <v>867</v>
      </c>
      <c r="P19" s="88">
        <v>0</v>
      </c>
      <c r="Q19" s="110"/>
      <c r="R19" s="88">
        <v>98</v>
      </c>
      <c r="S19" s="84">
        <v>571717</v>
      </c>
      <c r="T19" s="84">
        <v>10980</v>
      </c>
      <c r="U19" s="84">
        <v>399965.82399999996</v>
      </c>
      <c r="V19" s="89">
        <v>0.4116217906924739</v>
      </c>
      <c r="W19" s="90">
        <f t="shared" si="5"/>
        <v>982662.82400000002</v>
      </c>
      <c r="X19" s="91">
        <f>IFERROR((U19+S19+T19)/30*20,"-")</f>
        <v>655108.54933333339</v>
      </c>
      <c r="Y19" s="92">
        <f t="shared" ca="1" si="4"/>
        <v>29</v>
      </c>
      <c r="AA19" s="1" t="e">
        <f>COUNTIF(#REF!, "吉田誠宏")</f>
        <v>#REF!</v>
      </c>
      <c r="AB19" s="72" t="s">
        <v>197</v>
      </c>
      <c r="AC19" s="73" t="e">
        <f>SUMIF(#REF!, $AB19, C:C)/$AA19</f>
        <v>#REF!</v>
      </c>
      <c r="AD19" s="74" t="e">
        <f>SUMIF(#REF!, $AB19, D:D)/$AA19</f>
        <v>#REF!</v>
      </c>
      <c r="AE19" s="116" t="e">
        <f>SUMIF(#REF!, $AB19, E:E)/$AA19</f>
        <v>#REF!</v>
      </c>
      <c r="AF19" s="116" t="e">
        <f>SUMIF(#REF!, $AB19, F:F)/$AA19</f>
        <v>#REF!</v>
      </c>
      <c r="AG19" s="116" t="e">
        <f>SUMIF(#REF!, $AB19, G:G)/$AA19</f>
        <v>#REF!</v>
      </c>
      <c r="AH19" s="116" t="e">
        <f>SUMIF(#REF!, $AB19, H:H)/$AA19</f>
        <v>#REF!</v>
      </c>
      <c r="AI19" s="75" t="e">
        <f>SUMIF(#REF!, $AB19, I:I)/$AA19</f>
        <v>#REF!</v>
      </c>
      <c r="AJ19" s="76" t="e">
        <f>SUMIF(#REF!, $AB19, K:K)/$AA19</f>
        <v>#REF!</v>
      </c>
      <c r="AK19" s="75" t="e">
        <f>SUMIF(#REF!, $AB19, N:N)/$AA19</f>
        <v>#REF!</v>
      </c>
      <c r="AL19" s="75" t="e">
        <f>SUMIF(#REF!, $AB19, P:P)/$AA19</f>
        <v>#REF!</v>
      </c>
      <c r="AM19" s="75" t="e">
        <f>SUMIF(#REF!, $AB19, R:R)/$AA19</f>
        <v>#REF!</v>
      </c>
      <c r="AN19" s="75" t="e">
        <f>SUMIF(#REF!, $AB19, S:S)/$AA19</f>
        <v>#REF!</v>
      </c>
      <c r="AO19" s="75" t="e">
        <f>SUMIF(#REF!, $AB19, T:T)/$AA19</f>
        <v>#REF!</v>
      </c>
      <c r="AP19" s="77" t="e">
        <f>SUMIF(#REF!, $AB19, U:U)/$AA19</f>
        <v>#REF!</v>
      </c>
      <c r="AQ19" s="78" t="e">
        <f>SUMIF(#REF!, $AB19, W:W)/$AA19</f>
        <v>#REF!</v>
      </c>
      <c r="AR19" s="79" t="str">
        <f>IFERROR(RANK(AQ19,$AQ$14:$AQ$20,0),"")</f>
        <v/>
      </c>
      <c r="AS19" s="55">
        <f ca="1"/>
        <v>17</v>
      </c>
      <c r="AT19" s="93" t="str" cm="1">
        <f t="array" aca="1" ref="AT19" ca="1">INDEX($A$3:$A$46, MATCH(1, (Y$3:Y$46=AS19) * (COUNTIF($AS$3:AS19, Y$3:Y$46)=1), 0))</f>
        <v>福田</v>
      </c>
      <c r="AU19" s="91">
        <f t="shared" ca="1" si="1"/>
        <v>711889.81745454541</v>
      </c>
    </row>
    <row r="20" spans="1:47" ht="19.5" customHeight="1">
      <c r="A20" s="6" t="s">
        <v>205</v>
      </c>
      <c r="B20" s="6"/>
      <c r="C20" s="59">
        <v>41.111111111111114</v>
      </c>
      <c r="D20" s="60">
        <v>3.8888888888888888</v>
      </c>
      <c r="E20" s="61">
        <v>0</v>
      </c>
      <c r="F20" s="61">
        <v>0</v>
      </c>
      <c r="G20" s="61">
        <v>0</v>
      </c>
      <c r="H20" s="61">
        <v>0</v>
      </c>
      <c r="I20" s="62">
        <v>214</v>
      </c>
      <c r="J20" s="231">
        <v>9</v>
      </c>
      <c r="K20" s="63">
        <v>0.76702508960573479</v>
      </c>
      <c r="L20" s="223">
        <v>0</v>
      </c>
      <c r="M20" s="223">
        <v>0</v>
      </c>
      <c r="N20" s="64">
        <v>8</v>
      </c>
      <c r="O20" s="94">
        <v>206</v>
      </c>
      <c r="P20" s="114"/>
      <c r="Q20" s="117"/>
      <c r="R20" s="114"/>
      <c r="S20" s="62">
        <v>71732</v>
      </c>
      <c r="T20" s="62">
        <v>0</v>
      </c>
      <c r="U20" s="62">
        <v>60198.655999999995</v>
      </c>
      <c r="V20" s="68">
        <v>0.45629012865667856</v>
      </c>
      <c r="W20" s="69">
        <f t="shared" si="5"/>
        <v>131930.65599999999</v>
      </c>
      <c r="X20" s="91">
        <f>IFERROR((U20+S20+T20)/9*20,"-")</f>
        <v>293179.23555555556</v>
      </c>
      <c r="Y20" s="71">
        <f t="shared" ca="1" si="4"/>
        <v>40</v>
      </c>
      <c r="AA20" s="1" t="e">
        <f>COUNTIF(#REF!, "鈴木豊大")</f>
        <v>#REF!</v>
      </c>
      <c r="AB20" s="98" t="s">
        <v>199</v>
      </c>
      <c r="AC20" s="99" t="e">
        <f>SUMIF(#REF!, $AB20, C:C)/$AA20</f>
        <v>#REF!</v>
      </c>
      <c r="AD20" s="100" t="e">
        <f>SUMIF(#REF!, $AB20, D:D)/$AA20</f>
        <v>#REF!</v>
      </c>
      <c r="AE20" s="119" t="e">
        <f>SUMIF(#REF!, $AB20, E:E)/$AA20</f>
        <v>#REF!</v>
      </c>
      <c r="AF20" s="119" t="e">
        <f>SUMIF(#REF!, $AB20, F:F)/$AA20</f>
        <v>#REF!</v>
      </c>
      <c r="AG20" s="119" t="e">
        <f>SUMIF(#REF!, $AB20, G:G)/$AA20</f>
        <v>#REF!</v>
      </c>
      <c r="AH20" s="119" t="e">
        <f>SUMIF(#REF!, $AB20, H:H)/$AA20</f>
        <v>#REF!</v>
      </c>
      <c r="AI20" s="101" t="e">
        <f>SUMIF(#REF!, $AB20, I:I)/$AA20</f>
        <v>#REF!</v>
      </c>
      <c r="AJ20" s="102" t="e">
        <f>SUMIF(#REF!, $AB20, K:K)/$AA20</f>
        <v>#REF!</v>
      </c>
      <c r="AK20" s="101" t="e">
        <f>SUMIF(#REF!, $AB20, N:N)/$AA20</f>
        <v>#REF!</v>
      </c>
      <c r="AL20" s="101" t="e">
        <f>SUMIF(#REF!, $AB20, P:P)/$AA20</f>
        <v>#REF!</v>
      </c>
      <c r="AM20" s="101" t="e">
        <f>SUMIF(#REF!, $AB20, R:R)/$AA20</f>
        <v>#REF!</v>
      </c>
      <c r="AN20" s="101" t="e">
        <f>SUMIF(#REF!, $AB20, S:S)/$AA20</f>
        <v>#REF!</v>
      </c>
      <c r="AO20" s="101" t="e">
        <f>SUMIF(#REF!, $AB20, T:T)/$AA20</f>
        <v>#REF!</v>
      </c>
      <c r="AP20" s="103" t="e">
        <f>SUMIF(#REF!, $AB20, U:U)/$AA20</f>
        <v>#REF!</v>
      </c>
      <c r="AQ20" s="104" t="e">
        <f>SUMIF(#REF!, $AB20, W:W)/$AA20</f>
        <v>#REF!</v>
      </c>
      <c r="AR20" s="105" t="str">
        <f>IFERROR(RANK(AQ20,$AQ$14:$AQ$20,0),"")</f>
        <v/>
      </c>
      <c r="AS20" s="54">
        <f ca="1"/>
        <v>18</v>
      </c>
      <c r="AT20" s="80" t="str" cm="1">
        <f t="array" aca="1" ref="AT20" ca="1">INDEX($A$3:$A$46, MATCH(1, (Y$3:Y$46=AS20) * (COUNTIF($AS$3:AS20, Y$3:Y$46)=1), 0))</f>
        <v>三蔵子</v>
      </c>
      <c r="AU20" s="70">
        <f t="shared" ca="1" si="1"/>
        <v>705516.24</v>
      </c>
    </row>
    <row r="21" spans="1:47" ht="19.5" customHeight="1">
      <c r="A21" s="7" t="s">
        <v>206</v>
      </c>
      <c r="B21" s="7"/>
      <c r="C21" s="81">
        <v>48.5</v>
      </c>
      <c r="D21" s="82">
        <v>4.75</v>
      </c>
      <c r="E21" s="83">
        <v>0</v>
      </c>
      <c r="F21" s="83">
        <v>0</v>
      </c>
      <c r="G21" s="83">
        <v>0</v>
      </c>
      <c r="H21" s="83">
        <v>0</v>
      </c>
      <c r="I21" s="84">
        <v>585</v>
      </c>
      <c r="J21" s="232">
        <v>19</v>
      </c>
      <c r="K21" s="85">
        <v>0.94354838709677424</v>
      </c>
      <c r="L21" s="224">
        <v>15</v>
      </c>
      <c r="M21" s="224">
        <v>0</v>
      </c>
      <c r="N21" s="86">
        <v>18</v>
      </c>
      <c r="O21" s="109">
        <v>576</v>
      </c>
      <c r="P21" s="88">
        <v>0</v>
      </c>
      <c r="Q21" s="110"/>
      <c r="R21" s="88">
        <v>0</v>
      </c>
      <c r="S21" s="84">
        <v>491661</v>
      </c>
      <c r="T21" s="84">
        <v>0</v>
      </c>
      <c r="U21" s="84">
        <v>287437.32000000007</v>
      </c>
      <c r="V21" s="89">
        <v>0.36893587448629084</v>
      </c>
      <c r="W21" s="90">
        <f t="shared" si="5"/>
        <v>779098.32000000007</v>
      </c>
      <c r="X21" s="91">
        <f t="shared" ref="X21:X25" si="10">IFERROR(U21+S21+T21,"-")</f>
        <v>779098.32000000007</v>
      </c>
      <c r="Y21" s="92">
        <f t="shared" ca="1" si="4"/>
        <v>8</v>
      </c>
      <c r="AS21" s="55">
        <f ca="1"/>
        <v>19</v>
      </c>
      <c r="AT21" s="93" t="str" cm="1">
        <f t="array" aca="1" ref="AT21" ca="1">INDEX($A$3:$A$46, MATCH(1, (Y$3:Y$46=AS21) * (COUNTIF($AS$3:AS21, Y$3:Y$46)=1), 0))</f>
        <v>御所</v>
      </c>
      <c r="AU21" s="91">
        <f t="shared" ca="1" si="1"/>
        <v>702473.2</v>
      </c>
    </row>
    <row r="22" spans="1:47" ht="19.5" customHeight="1">
      <c r="A22" s="6" t="s">
        <v>141</v>
      </c>
      <c r="B22" s="6"/>
      <c r="C22" s="59">
        <v>50.35</v>
      </c>
      <c r="D22" s="60">
        <v>4.2</v>
      </c>
      <c r="E22" s="61">
        <v>0</v>
      </c>
      <c r="F22" s="61">
        <v>0</v>
      </c>
      <c r="G22" s="61">
        <v>0</v>
      </c>
      <c r="H22" s="61">
        <v>0</v>
      </c>
      <c r="I22" s="62">
        <v>580</v>
      </c>
      <c r="J22" s="231">
        <v>20</v>
      </c>
      <c r="K22" s="63">
        <v>0.93548387096774188</v>
      </c>
      <c r="L22" s="223">
        <v>6</v>
      </c>
      <c r="M22" s="223">
        <v>0</v>
      </c>
      <c r="N22" s="64">
        <v>10</v>
      </c>
      <c r="O22" s="94">
        <v>555</v>
      </c>
      <c r="P22" s="67">
        <v>0</v>
      </c>
      <c r="Q22" s="117"/>
      <c r="R22" s="67">
        <v>125</v>
      </c>
      <c r="S22" s="62">
        <v>407499</v>
      </c>
      <c r="T22" s="62">
        <v>0</v>
      </c>
      <c r="U22" s="62">
        <v>265993.24800000002</v>
      </c>
      <c r="V22" s="68">
        <v>0.39494626521670079</v>
      </c>
      <c r="W22" s="69">
        <f t="shared" si="5"/>
        <v>673492.24800000002</v>
      </c>
      <c r="X22" s="70">
        <f t="shared" si="10"/>
        <v>673492.24800000002</v>
      </c>
      <c r="Y22" s="71">
        <f t="shared" ca="1" si="4"/>
        <v>25</v>
      </c>
      <c r="AB22" s="120" t="s">
        <v>207</v>
      </c>
      <c r="AS22" s="54">
        <f ca="1"/>
        <v>20</v>
      </c>
      <c r="AT22" s="80" t="str" cm="1">
        <f t="array" aca="1" ref="AT22" ca="1">INDEX($A$3:$A$46, MATCH(1, (Y$3:Y$46=AS22) * (COUNTIF($AS$3:AS22, Y$3:Y$46)=1), 0))</f>
        <v>上溝</v>
      </c>
      <c r="AU22" s="70">
        <f t="shared" ca="1" si="1"/>
        <v>698383.44000000006</v>
      </c>
    </row>
    <row r="23" spans="1:47" ht="19.5" customHeight="1">
      <c r="A23" s="7" t="s">
        <v>140</v>
      </c>
      <c r="B23" s="7"/>
      <c r="C23" s="81">
        <v>56.85</v>
      </c>
      <c r="D23" s="82">
        <v>3.9</v>
      </c>
      <c r="E23" s="83">
        <v>0</v>
      </c>
      <c r="F23" s="83">
        <v>0</v>
      </c>
      <c r="G23" s="83">
        <v>0</v>
      </c>
      <c r="H23" s="83">
        <v>0</v>
      </c>
      <c r="I23" s="84">
        <v>529</v>
      </c>
      <c r="J23" s="232">
        <v>19</v>
      </c>
      <c r="K23" s="85">
        <v>0.85322580645161294</v>
      </c>
      <c r="L23" s="224">
        <v>30</v>
      </c>
      <c r="M23" s="224">
        <v>1</v>
      </c>
      <c r="N23" s="86">
        <v>11</v>
      </c>
      <c r="O23" s="109">
        <v>509</v>
      </c>
      <c r="P23" s="88">
        <v>0</v>
      </c>
      <c r="Q23" s="110"/>
      <c r="R23" s="88">
        <v>87</v>
      </c>
      <c r="S23" s="84">
        <v>344296</v>
      </c>
      <c r="T23" s="84">
        <v>0</v>
      </c>
      <c r="U23" s="84">
        <v>237795.22400000002</v>
      </c>
      <c r="V23" s="89">
        <v>0.40851882693905722</v>
      </c>
      <c r="W23" s="90">
        <f t="shared" si="5"/>
        <v>582091.22400000005</v>
      </c>
      <c r="X23" s="91">
        <f t="shared" si="10"/>
        <v>582091.22400000005</v>
      </c>
      <c r="Y23" s="92">
        <f t="shared" ca="1" si="4"/>
        <v>36</v>
      </c>
      <c r="AS23" s="55">
        <f ca="1"/>
        <v>21</v>
      </c>
      <c r="AT23" s="93" t="str" cm="1">
        <f t="array" aca="1" ref="AT23" ca="1">INDEX($A$3:$A$46, MATCH(1, (Y$3:Y$46=AS23) * (COUNTIF($AS$3:AS23, Y$3:Y$46)=1), 0))</f>
        <v>気賀</v>
      </c>
      <c r="AU23" s="91">
        <f t="shared" ca="1" si="1"/>
        <v>695991.29599999997</v>
      </c>
    </row>
    <row r="24" spans="1:47" ht="19.5" customHeight="1">
      <c r="A24" s="6" t="s">
        <v>139</v>
      </c>
      <c r="B24" s="6"/>
      <c r="C24" s="59">
        <v>49.952380952380949</v>
      </c>
      <c r="D24" s="60">
        <v>4.9047619047619051</v>
      </c>
      <c r="E24" s="61">
        <v>0</v>
      </c>
      <c r="F24" s="61">
        <v>0</v>
      </c>
      <c r="G24" s="61">
        <v>0</v>
      </c>
      <c r="H24" s="61">
        <v>5</v>
      </c>
      <c r="I24" s="62">
        <v>611</v>
      </c>
      <c r="J24" s="231">
        <v>20</v>
      </c>
      <c r="K24" s="63">
        <v>0.98548387096774193</v>
      </c>
      <c r="L24" s="223">
        <v>62</v>
      </c>
      <c r="M24" s="223">
        <v>0</v>
      </c>
      <c r="N24" s="64">
        <v>14</v>
      </c>
      <c r="O24" s="94">
        <v>594</v>
      </c>
      <c r="P24" s="67">
        <v>0</v>
      </c>
      <c r="Q24" s="117"/>
      <c r="R24" s="67">
        <v>143</v>
      </c>
      <c r="S24" s="62">
        <v>490702</v>
      </c>
      <c r="T24" s="62">
        <v>47340</v>
      </c>
      <c r="U24" s="62">
        <v>308293.77600000001</v>
      </c>
      <c r="V24" s="68">
        <v>0.38585157176100016</v>
      </c>
      <c r="W24" s="69">
        <f t="shared" si="5"/>
        <v>846335.77600000007</v>
      </c>
      <c r="X24" s="70">
        <f t="shared" si="10"/>
        <v>846335.77600000007</v>
      </c>
      <c r="Y24" s="71">
        <f t="shared" ca="1" si="4"/>
        <v>3</v>
      </c>
      <c r="AS24" s="54">
        <f ca="1"/>
        <v>22</v>
      </c>
      <c r="AT24" s="80" t="str" cm="1">
        <f t="array" aca="1" ref="AT24" ca="1">INDEX($A$3:$A$46, MATCH(1, (Y$3:Y$46=AS24) * (COUNTIF($AS$3:AS24, Y$3:Y$46)=1), 0))</f>
        <v>名取</v>
      </c>
      <c r="AU24" s="70">
        <f t="shared" ca="1" si="1"/>
        <v>689323.14618181821</v>
      </c>
    </row>
    <row r="25" spans="1:47" ht="19.5" customHeight="1">
      <c r="A25" s="7" t="s">
        <v>138</v>
      </c>
      <c r="B25" s="7"/>
      <c r="C25" s="81">
        <v>50.761904761904759</v>
      </c>
      <c r="D25" s="82">
        <v>4.6190476190476186</v>
      </c>
      <c r="E25" s="83">
        <v>0</v>
      </c>
      <c r="F25" s="83">
        <v>0</v>
      </c>
      <c r="G25" s="83">
        <v>0</v>
      </c>
      <c r="H25" s="83">
        <v>9</v>
      </c>
      <c r="I25" s="84">
        <v>602</v>
      </c>
      <c r="J25" s="232">
        <v>19</v>
      </c>
      <c r="K25" s="85">
        <v>0.97096774193548385</v>
      </c>
      <c r="L25" s="224">
        <v>31</v>
      </c>
      <c r="M25" s="224">
        <v>1</v>
      </c>
      <c r="N25" s="86">
        <v>20</v>
      </c>
      <c r="O25" s="109">
        <v>601</v>
      </c>
      <c r="P25" s="88">
        <v>0</v>
      </c>
      <c r="Q25" s="110"/>
      <c r="R25" s="88">
        <v>54</v>
      </c>
      <c r="S25" s="84">
        <v>478708</v>
      </c>
      <c r="T25" s="84">
        <v>55800</v>
      </c>
      <c r="U25" s="84">
        <v>304493.592</v>
      </c>
      <c r="V25" s="89">
        <v>0.38878060911806728</v>
      </c>
      <c r="W25" s="90">
        <f t="shared" si="5"/>
        <v>839001.59199999995</v>
      </c>
      <c r="X25" s="91">
        <f t="shared" si="10"/>
        <v>839001.59199999995</v>
      </c>
      <c r="Y25" s="92">
        <f t="shared" ca="1" si="4"/>
        <v>4</v>
      </c>
      <c r="AS25" s="55">
        <f ca="1"/>
        <v>23</v>
      </c>
      <c r="AT25" s="93" t="str" cm="1">
        <f t="array" aca="1" ref="AT25" ca="1">INDEX($A$3:$A$46, MATCH(1, (Y$3:Y$46=AS25) * (COUNTIF($AS$3:AS25, Y$3:Y$46)=1), 0))</f>
        <v>岩沼</v>
      </c>
      <c r="AU25" s="91">
        <f t="shared" ca="1" si="1"/>
        <v>689049.67806060612</v>
      </c>
    </row>
    <row r="26" spans="1:47" ht="19.5" customHeight="1">
      <c r="A26" s="6" t="s">
        <v>137</v>
      </c>
      <c r="B26" s="6"/>
      <c r="C26" s="59">
        <v>44.666666666666664</v>
      </c>
      <c r="D26" s="60">
        <v>2.8888888888888888</v>
      </c>
      <c r="E26" s="61">
        <v>0</v>
      </c>
      <c r="F26" s="61">
        <v>0</v>
      </c>
      <c r="G26" s="61">
        <v>0</v>
      </c>
      <c r="H26" s="61">
        <v>0</v>
      </c>
      <c r="I26" s="62">
        <v>557</v>
      </c>
      <c r="J26" s="231">
        <v>18</v>
      </c>
      <c r="K26" s="63">
        <v>0.99820788530465954</v>
      </c>
      <c r="L26" s="223">
        <v>0</v>
      </c>
      <c r="M26" s="223">
        <v>0</v>
      </c>
      <c r="N26" s="64">
        <v>6</v>
      </c>
      <c r="O26" s="94">
        <v>551</v>
      </c>
      <c r="P26" s="114"/>
      <c r="Q26" s="117"/>
      <c r="R26" s="114"/>
      <c r="S26" s="62">
        <v>154455</v>
      </c>
      <c r="T26" s="62">
        <v>0</v>
      </c>
      <c r="U26" s="62">
        <v>218920.288</v>
      </c>
      <c r="V26" s="68">
        <v>0.58632773789785464</v>
      </c>
      <c r="W26" s="69">
        <f t="shared" si="5"/>
        <v>373375.288</v>
      </c>
      <c r="X26" s="91">
        <f>IFERROR((U26+S26+T26)/18*20,"-")</f>
        <v>414861.43111111107</v>
      </c>
      <c r="Y26" s="71">
        <f t="shared" ca="1" si="4"/>
        <v>38</v>
      </c>
      <c r="AS26" s="54">
        <f ca="1"/>
        <v>24</v>
      </c>
      <c r="AT26" s="80" t="str" cm="1">
        <f t="array" aca="1" ref="AT26" ca="1">INDEX($A$3:$A$46, MATCH(1, (Y$3:Y$46=AS26) * (COUNTIF($AS$3:AS26, Y$3:Y$46)=1), 0))</f>
        <v>宮下</v>
      </c>
      <c r="AU26" s="70">
        <f t="shared" ca="1" si="1"/>
        <v>673543.12945454544</v>
      </c>
    </row>
    <row r="27" spans="1:47" ht="19.5" customHeight="1">
      <c r="A27" s="7" t="s">
        <v>136</v>
      </c>
      <c r="B27" s="7"/>
      <c r="C27" s="81">
        <v>42.9</v>
      </c>
      <c r="D27" s="82">
        <v>4.8</v>
      </c>
      <c r="E27" s="83">
        <v>1</v>
      </c>
      <c r="F27" s="83">
        <v>0</v>
      </c>
      <c r="G27" s="83">
        <v>0</v>
      </c>
      <c r="H27" s="83">
        <v>6</v>
      </c>
      <c r="I27" s="84">
        <v>620</v>
      </c>
      <c r="J27" s="232">
        <v>20</v>
      </c>
      <c r="K27" s="85">
        <v>1</v>
      </c>
      <c r="L27" s="224">
        <v>7</v>
      </c>
      <c r="M27" s="224">
        <v>0</v>
      </c>
      <c r="N27" s="86">
        <v>19</v>
      </c>
      <c r="O27" s="109">
        <v>0</v>
      </c>
      <c r="P27" s="88">
        <v>0</v>
      </c>
      <c r="Q27" s="110"/>
      <c r="R27" s="88">
        <v>29</v>
      </c>
      <c r="S27" s="84">
        <v>510246</v>
      </c>
      <c r="T27" s="84">
        <v>59520</v>
      </c>
      <c r="U27" s="84">
        <v>306117.00799999991</v>
      </c>
      <c r="V27" s="89">
        <v>0.37497657904656057</v>
      </c>
      <c r="W27" s="90">
        <f t="shared" si="5"/>
        <v>875883.00799999991</v>
      </c>
      <c r="X27" s="91">
        <f t="shared" ref="X27:X30" si="11">IFERROR(U27+S27+T27,"-")</f>
        <v>875883.00799999991</v>
      </c>
      <c r="Y27" s="92">
        <f t="shared" ca="1" si="4"/>
        <v>2</v>
      </c>
      <c r="AS27" s="55">
        <f ca="1"/>
        <v>25</v>
      </c>
      <c r="AT27" s="93" t="str" cm="1">
        <f t="array" aca="1" ref="AT27" ca="1">INDEX($A$3:$A$46, MATCH(1, (Y$3:Y$46=AS27) * (COUNTIF($AS$3:AS27, Y$3:Y$46)=1), 0))</f>
        <v>南彦根</v>
      </c>
      <c r="AU27" s="91">
        <f t="shared" ca="1" si="1"/>
        <v>673492.24800000002</v>
      </c>
    </row>
    <row r="28" spans="1:47" ht="19.5" customHeight="1">
      <c r="A28" s="6" t="s">
        <v>135</v>
      </c>
      <c r="B28" s="6"/>
      <c r="C28" s="59">
        <v>50.9</v>
      </c>
      <c r="D28" s="60">
        <v>5</v>
      </c>
      <c r="E28" s="61">
        <v>0</v>
      </c>
      <c r="F28" s="61">
        <v>0</v>
      </c>
      <c r="G28" s="61">
        <v>0</v>
      </c>
      <c r="H28" s="61">
        <v>8</v>
      </c>
      <c r="I28" s="62">
        <v>613</v>
      </c>
      <c r="J28" s="231">
        <v>20</v>
      </c>
      <c r="K28" s="63">
        <v>0.98870967741935489</v>
      </c>
      <c r="L28" s="223">
        <v>32</v>
      </c>
      <c r="M28" s="223">
        <v>0</v>
      </c>
      <c r="N28" s="64">
        <v>20</v>
      </c>
      <c r="O28" s="94">
        <v>608</v>
      </c>
      <c r="P28" s="67">
        <v>0</v>
      </c>
      <c r="Q28" s="117"/>
      <c r="R28" s="67">
        <v>15</v>
      </c>
      <c r="S28" s="62">
        <v>523047</v>
      </c>
      <c r="T28" s="62">
        <v>70740</v>
      </c>
      <c r="U28" s="62">
        <v>311941.82399999996</v>
      </c>
      <c r="V28" s="68">
        <v>0.37358802301765892</v>
      </c>
      <c r="W28" s="69">
        <f t="shared" si="5"/>
        <v>905728.82400000002</v>
      </c>
      <c r="X28" s="70">
        <f t="shared" si="11"/>
        <v>905728.82400000002</v>
      </c>
      <c r="Y28" s="71">
        <f t="shared" ca="1" si="4"/>
        <v>1</v>
      </c>
      <c r="AS28" s="54">
        <f ca="1"/>
        <v>26</v>
      </c>
      <c r="AT28" s="80" t="str" cm="1">
        <f t="array" aca="1" ref="AT28" ca="1">INDEX($A$3:$A$46, MATCH(1, (Y$3:Y$46=AS28) * (COUNTIF($AS$3:AS28, Y$3:Y$46)=1), 0))</f>
        <v>宇城</v>
      </c>
      <c r="AU28" s="70">
        <f t="shared" ca="1" si="1"/>
        <v>670829.01600000006</v>
      </c>
    </row>
    <row r="29" spans="1:47" ht="19.5" customHeight="1">
      <c r="A29" s="7" t="s">
        <v>134</v>
      </c>
      <c r="B29" s="7"/>
      <c r="C29" s="81">
        <v>50.3</v>
      </c>
      <c r="D29" s="82">
        <v>4.25</v>
      </c>
      <c r="E29" s="83">
        <v>0</v>
      </c>
      <c r="F29" s="83">
        <v>0</v>
      </c>
      <c r="G29" s="83">
        <v>0</v>
      </c>
      <c r="H29" s="83">
        <v>0</v>
      </c>
      <c r="I29" s="84">
        <v>620</v>
      </c>
      <c r="J29" s="232">
        <v>20</v>
      </c>
      <c r="K29" s="85">
        <v>1</v>
      </c>
      <c r="L29" s="224">
        <v>23</v>
      </c>
      <c r="M29" s="224">
        <v>0</v>
      </c>
      <c r="N29" s="86">
        <v>12</v>
      </c>
      <c r="O29" s="109">
        <v>550</v>
      </c>
      <c r="P29" s="88">
        <v>78</v>
      </c>
      <c r="Q29" s="110"/>
      <c r="R29" s="88">
        <v>152</v>
      </c>
      <c r="S29" s="84">
        <v>426140</v>
      </c>
      <c r="T29" s="84">
        <v>0</v>
      </c>
      <c r="U29" s="84">
        <v>276333.19999999995</v>
      </c>
      <c r="V29" s="89">
        <v>0.39337187525445805</v>
      </c>
      <c r="W29" s="90">
        <f t="shared" si="5"/>
        <v>702473.2</v>
      </c>
      <c r="X29" s="91">
        <f t="shared" si="11"/>
        <v>702473.2</v>
      </c>
      <c r="Y29" s="92">
        <f t="shared" ca="1" si="4"/>
        <v>19</v>
      </c>
      <c r="AS29" s="55">
        <f ca="1"/>
        <v>27</v>
      </c>
      <c r="AT29" s="93" t="str" cm="1">
        <f t="array" aca="1" ref="AT29" ca="1">INDEX($A$3:$A$46, MATCH(1, (Y$3:Y$46=AS29) * (COUNTIF($AS$3:AS29, Y$3:Y$46)=1), 0))</f>
        <v>宇都宮</v>
      </c>
      <c r="AU29" s="91">
        <f t="shared" ca="1" si="1"/>
        <v>663446.78399999999</v>
      </c>
    </row>
    <row r="30" spans="1:47" ht="19.5" customHeight="1" thickBot="1">
      <c r="A30" s="6" t="s">
        <v>133</v>
      </c>
      <c r="B30" s="6"/>
      <c r="C30" s="59">
        <v>43.45</v>
      </c>
      <c r="D30" s="121">
        <v>4.3</v>
      </c>
      <c r="E30" s="61">
        <v>0</v>
      </c>
      <c r="F30" s="61">
        <v>0</v>
      </c>
      <c r="G30" s="61">
        <v>0</v>
      </c>
      <c r="H30" s="61">
        <v>3</v>
      </c>
      <c r="I30" s="62">
        <v>616</v>
      </c>
      <c r="J30" s="231">
        <v>20</v>
      </c>
      <c r="K30" s="63">
        <v>0.99354838709677418</v>
      </c>
      <c r="L30" s="223">
        <v>21</v>
      </c>
      <c r="M30" s="223">
        <v>0</v>
      </c>
      <c r="N30" s="64">
        <v>7</v>
      </c>
      <c r="O30" s="94">
        <v>569</v>
      </c>
      <c r="P30" s="111">
        <v>9</v>
      </c>
      <c r="Q30" s="112"/>
      <c r="R30" s="111">
        <v>166</v>
      </c>
      <c r="S30" s="62">
        <v>437493</v>
      </c>
      <c r="T30" s="62">
        <v>22320</v>
      </c>
      <c r="U30" s="62">
        <v>283475.83199999999</v>
      </c>
      <c r="V30" s="68">
        <v>0.39318736042115066</v>
      </c>
      <c r="W30" s="69">
        <f t="shared" si="5"/>
        <v>743288.83199999994</v>
      </c>
      <c r="X30" s="70">
        <f t="shared" si="11"/>
        <v>743288.83199999994</v>
      </c>
      <c r="Y30" s="71">
        <f t="shared" ca="1" si="4"/>
        <v>14</v>
      </c>
      <c r="AS30" s="54">
        <f ca="1"/>
        <v>28</v>
      </c>
      <c r="AT30" s="80" t="str" cm="1">
        <f t="array" aca="1" ref="AT30" ca="1">INDEX($A$3:$A$46, MATCH(1, (Y$3:Y$46=AS30) * (COUNTIF($AS$3:AS30, Y$3:Y$46)=1), 0))</f>
        <v>萩丘ⅰ</v>
      </c>
      <c r="AU30" s="70">
        <f t="shared" ca="1" si="1"/>
        <v>656795.56799999997</v>
      </c>
    </row>
    <row r="31" spans="1:47" ht="19.5" customHeight="1" thickBot="1">
      <c r="A31" s="7" t="s">
        <v>208</v>
      </c>
      <c r="B31" s="7"/>
      <c r="C31" s="81">
        <v>45.736842105263158</v>
      </c>
      <c r="D31" s="122">
        <v>4.2105263157894735</v>
      </c>
      <c r="E31" s="83">
        <v>0</v>
      </c>
      <c r="F31" s="83">
        <v>0</v>
      </c>
      <c r="G31" s="83">
        <v>0</v>
      </c>
      <c r="H31" s="83">
        <v>0</v>
      </c>
      <c r="I31" s="84">
        <v>501</v>
      </c>
      <c r="J31" s="232">
        <v>20</v>
      </c>
      <c r="K31" s="85">
        <v>0.85059422750424452</v>
      </c>
      <c r="L31" s="224">
        <v>16</v>
      </c>
      <c r="M31" s="224">
        <v>1</v>
      </c>
      <c r="N31" s="86">
        <v>14</v>
      </c>
      <c r="O31" s="86">
        <v>0</v>
      </c>
      <c r="P31" s="123">
        <v>81</v>
      </c>
      <c r="Q31" s="66">
        <v>19377.990430622009</v>
      </c>
      <c r="R31" s="124">
        <v>117</v>
      </c>
      <c r="S31" s="84">
        <v>344274</v>
      </c>
      <c r="T31" s="84">
        <v>0</v>
      </c>
      <c r="U31" s="84">
        <v>131567.08000000002</v>
      </c>
      <c r="V31" s="89">
        <v>0.27649374030506152</v>
      </c>
      <c r="W31" s="90">
        <f t="shared" si="5"/>
        <v>475841.08</v>
      </c>
      <c r="X31" s="91">
        <f>IFERROR((U31+S31+T31+Q31)/19*20,"-")</f>
        <v>521283.23203223373</v>
      </c>
      <c r="Y31" s="92">
        <f t="shared" ca="1" si="4"/>
        <v>37</v>
      </c>
      <c r="AS31" s="55">
        <f ca="1"/>
        <v>29</v>
      </c>
      <c r="AT31" s="93" t="str" cm="1">
        <f t="array" aca="1" ref="AT31" ca="1">INDEX($A$3:$A$46, MATCH(1, (Y$3:Y$46=AS31) * (COUNTIF($AS$3:AS31, Y$3:Y$46)=1), 0))</f>
        <v>西浅田</v>
      </c>
      <c r="AU31" s="91">
        <f t="shared" ca="1" si="1"/>
        <v>655108.54933333339</v>
      </c>
    </row>
    <row r="32" spans="1:47" ht="19.5" customHeight="1" thickBot="1">
      <c r="A32" s="6" t="s">
        <v>209</v>
      </c>
      <c r="B32" s="6"/>
      <c r="C32" s="59">
        <v>51.5</v>
      </c>
      <c r="D32" s="125">
        <v>3</v>
      </c>
      <c r="E32" s="61">
        <v>0</v>
      </c>
      <c r="F32" s="61">
        <v>0</v>
      </c>
      <c r="G32" s="61">
        <v>0</v>
      </c>
      <c r="H32" s="61">
        <v>0</v>
      </c>
      <c r="I32" s="62">
        <v>124</v>
      </c>
      <c r="J32" s="231"/>
      <c r="K32" s="63">
        <v>0.44285714285714284</v>
      </c>
      <c r="L32" s="223"/>
      <c r="M32" s="223"/>
      <c r="N32" s="64">
        <v>0</v>
      </c>
      <c r="O32" s="94">
        <v>0</v>
      </c>
      <c r="P32" s="126"/>
      <c r="Q32" s="107"/>
      <c r="R32" s="127"/>
      <c r="S32" s="62">
        <v>36828</v>
      </c>
      <c r="T32" s="62">
        <v>0</v>
      </c>
      <c r="U32" s="62">
        <v>21758.527999999998</v>
      </c>
      <c r="V32" s="68">
        <v>0.37139132054386292</v>
      </c>
      <c r="W32" s="90">
        <f>IFERROR(U32+S32+T32,"-")</f>
        <v>58586.527999999998</v>
      </c>
      <c r="X32" s="70">
        <f>IFERROR((U32+S32+T32+Q32)/10*20,"-")</f>
        <v>117173.056</v>
      </c>
      <c r="Y32" s="92">
        <f t="shared" ca="1" si="4"/>
        <v>42</v>
      </c>
      <c r="AA32" s="128"/>
      <c r="AB32" s="128"/>
      <c r="AC32" s="129"/>
      <c r="AD32" s="129"/>
      <c r="AE32" s="130"/>
      <c r="AF32" s="130"/>
      <c r="AG32" s="130"/>
      <c r="AH32" s="130"/>
      <c r="AI32" s="130"/>
      <c r="AJ32" s="130"/>
      <c r="AK32" s="130"/>
      <c r="AL32" s="130"/>
      <c r="AM32" s="130"/>
      <c r="AN32" s="130"/>
      <c r="AO32" s="130"/>
      <c r="AP32" s="130"/>
      <c r="AQ32" s="130"/>
      <c r="AR32" s="130"/>
      <c r="AS32" s="56">
        <f ca="1"/>
        <v>30</v>
      </c>
      <c r="AT32" s="131" t="str" cm="1">
        <f t="array" aca="1" ref="AT32" ca="1">INDEX($A$3:$A$46, MATCH(1, (Y$3:Y$46=AS32) * (COUNTIF($AS$3:AS32, Y$3:Y$46)=1), 0))</f>
        <v>沼津</v>
      </c>
      <c r="AU32" s="70">
        <f t="shared" ca="1" si="1"/>
        <v>650622.54399999999</v>
      </c>
    </row>
    <row r="33" spans="1:47" ht="19.5" customHeight="1" thickBot="1">
      <c r="A33" s="7" t="s">
        <v>210</v>
      </c>
      <c r="B33" s="7"/>
      <c r="C33" s="81">
        <v>47.25</v>
      </c>
      <c r="D33" s="122">
        <v>4.2</v>
      </c>
      <c r="E33" s="83">
        <v>0</v>
      </c>
      <c r="F33" s="83">
        <v>0</v>
      </c>
      <c r="G33" s="83">
        <v>0</v>
      </c>
      <c r="H33" s="83">
        <v>4</v>
      </c>
      <c r="I33" s="84">
        <v>606</v>
      </c>
      <c r="J33" s="232">
        <v>20</v>
      </c>
      <c r="K33" s="132">
        <v>0.97741935483870968</v>
      </c>
      <c r="L33" s="225">
        <v>35</v>
      </c>
      <c r="M33" s="225">
        <v>0</v>
      </c>
      <c r="N33" s="86">
        <v>13</v>
      </c>
      <c r="O33" s="86">
        <v>598</v>
      </c>
      <c r="P33" s="133">
        <v>169</v>
      </c>
      <c r="Q33" s="134">
        <v>38409.090909090912</v>
      </c>
      <c r="R33" s="135">
        <v>119</v>
      </c>
      <c r="S33" s="84">
        <v>394200</v>
      </c>
      <c r="T33" s="84">
        <v>43560</v>
      </c>
      <c r="U33" s="84">
        <v>285800.55200000003</v>
      </c>
      <c r="V33" s="89">
        <v>0.42029458823145194</v>
      </c>
      <c r="W33" s="90">
        <f t="shared" ref="W33:W45" si="12">IFERROR(U33+S33+T33,"-")</f>
        <v>723560.55200000003</v>
      </c>
      <c r="X33" s="91">
        <f>IFERROR(U33+S33+T33+Q33,"-")</f>
        <v>761969.64290909097</v>
      </c>
      <c r="Y33" s="92">
        <f t="shared" ca="1" si="4"/>
        <v>12</v>
      </c>
      <c r="AS33" s="55">
        <f ca="1"/>
        <v>31</v>
      </c>
      <c r="AT33" s="93" t="str" cm="1">
        <f t="array" aca="1" ref="AT33" ca="1">INDEX($A$3:$A$46, MATCH(1, (Y$3:Y$46=AS33) * (COUNTIF($AS$3:AS33, Y$3:Y$46)=1), 0))</f>
        <v>上西郷</v>
      </c>
      <c r="AU33" s="91">
        <f t="shared" ca="1" si="1"/>
        <v>649082.72</v>
      </c>
    </row>
    <row r="34" spans="1:47" ht="19.5" customHeight="1">
      <c r="A34" s="6" t="s">
        <v>132</v>
      </c>
      <c r="B34" s="6"/>
      <c r="C34" s="59">
        <v>50.85</v>
      </c>
      <c r="D34" s="60">
        <v>4.3499999999999996</v>
      </c>
      <c r="E34" s="61">
        <v>0</v>
      </c>
      <c r="F34" s="61">
        <v>0</v>
      </c>
      <c r="G34" s="61">
        <v>0</v>
      </c>
      <c r="H34" s="61">
        <v>2</v>
      </c>
      <c r="I34" s="62">
        <v>603</v>
      </c>
      <c r="J34" s="231">
        <v>20</v>
      </c>
      <c r="K34" s="63">
        <v>0.97258064516129028</v>
      </c>
      <c r="L34" s="223">
        <v>51</v>
      </c>
      <c r="M34" s="223">
        <v>0</v>
      </c>
      <c r="N34" s="64">
        <v>0</v>
      </c>
      <c r="O34" s="94">
        <v>588</v>
      </c>
      <c r="P34" s="106">
        <v>0</v>
      </c>
      <c r="Q34" s="107"/>
      <c r="R34" s="67">
        <v>150</v>
      </c>
      <c r="S34" s="62">
        <v>425760</v>
      </c>
      <c r="T34" s="62">
        <v>12600</v>
      </c>
      <c r="U34" s="62">
        <v>287488.55199999997</v>
      </c>
      <c r="V34" s="68">
        <v>0.40306924030039953</v>
      </c>
      <c r="W34" s="69">
        <f t="shared" si="12"/>
        <v>725848.55199999991</v>
      </c>
      <c r="X34" s="70">
        <f>IFERROR(U34+S34+T34+(I34*39),"-")</f>
        <v>749365.55199999991</v>
      </c>
      <c r="Y34" s="71">
        <f t="shared" ca="1" si="4"/>
        <v>13</v>
      </c>
      <c r="AS34" s="56">
        <f ca="1"/>
        <v>32</v>
      </c>
      <c r="AT34" s="131" t="str" cm="1">
        <f t="array" aca="1" ref="AT34" ca="1">INDEX($A$3:$A$46, MATCH(1, (Y$3:Y$46=AS34) * (COUNTIF($AS$3:AS45, Y$3:Y$46)=1), 0))</f>
        <v>南館</v>
      </c>
      <c r="AU34" s="70">
        <f t="shared" ca="1" si="1"/>
        <v>643813.45600000001</v>
      </c>
    </row>
    <row r="35" spans="1:47" ht="19.5" customHeight="1">
      <c r="A35" s="7" t="s">
        <v>131</v>
      </c>
      <c r="B35" s="7"/>
      <c r="C35" s="81">
        <v>49.166666666666664</v>
      </c>
      <c r="D35" s="82">
        <v>4.3888888888888893</v>
      </c>
      <c r="E35" s="83">
        <v>0</v>
      </c>
      <c r="F35" s="83">
        <v>0</v>
      </c>
      <c r="G35" s="83">
        <v>0</v>
      </c>
      <c r="H35" s="83">
        <v>4</v>
      </c>
      <c r="I35" s="84">
        <v>501</v>
      </c>
      <c r="J35" s="232">
        <v>17</v>
      </c>
      <c r="K35" s="132">
        <v>0.8080645161290323</v>
      </c>
      <c r="L35" s="225">
        <v>0</v>
      </c>
      <c r="M35" s="225">
        <v>0</v>
      </c>
      <c r="N35" s="86">
        <v>0</v>
      </c>
      <c r="O35" s="109">
        <v>467</v>
      </c>
      <c r="P35" s="88">
        <v>0</v>
      </c>
      <c r="Q35" s="110"/>
      <c r="R35" s="88">
        <v>43</v>
      </c>
      <c r="S35" s="84">
        <v>367919</v>
      </c>
      <c r="T35" s="84">
        <v>33120</v>
      </c>
      <c r="U35" s="84">
        <v>235410.52800000002</v>
      </c>
      <c r="V35" s="89">
        <v>0.39018565655218518</v>
      </c>
      <c r="W35" s="90">
        <f t="shared" si="12"/>
        <v>636449.52800000005</v>
      </c>
      <c r="X35" s="91">
        <f t="shared" ref="X35" si="13">IFERROR(U35+S35+T35,"-")</f>
        <v>636449.52800000005</v>
      </c>
      <c r="Y35" s="92">
        <f t="shared" ca="1" si="4"/>
        <v>33</v>
      </c>
      <c r="AS35" s="55">
        <f ca="1"/>
        <v>33</v>
      </c>
      <c r="AT35" s="93" t="str" cm="1">
        <f t="array" aca="1" ref="AT35" ca="1">INDEX($A$3:$A$46, MATCH(1, (Y$3:Y$46=AS35) * (COUNTIF($AS$3:AS35, Y$3:Y$46)=1), 0))</f>
        <v>高知</v>
      </c>
      <c r="AU35" s="91">
        <f t="shared" ca="1" si="1"/>
        <v>636449.52800000005</v>
      </c>
    </row>
    <row r="36" spans="1:47" ht="19.5" customHeight="1">
      <c r="A36" s="6" t="s">
        <v>130</v>
      </c>
      <c r="B36" s="6"/>
      <c r="C36" s="59">
        <v>47.1</v>
      </c>
      <c r="D36" s="60">
        <v>4.25</v>
      </c>
      <c r="E36" s="61">
        <v>0</v>
      </c>
      <c r="F36" s="61">
        <v>0</v>
      </c>
      <c r="G36" s="61">
        <v>0</v>
      </c>
      <c r="H36" s="61">
        <v>6</v>
      </c>
      <c r="I36" s="62">
        <v>619</v>
      </c>
      <c r="J36" s="231">
        <v>20</v>
      </c>
      <c r="K36" s="63">
        <v>0.99838709677419357</v>
      </c>
      <c r="L36" s="223">
        <v>5</v>
      </c>
      <c r="M36" s="223">
        <v>0</v>
      </c>
      <c r="N36" s="64">
        <v>0</v>
      </c>
      <c r="O36" s="94">
        <v>615</v>
      </c>
      <c r="P36" s="67">
        <v>0</v>
      </c>
      <c r="Q36" s="117"/>
      <c r="R36" s="67">
        <v>209</v>
      </c>
      <c r="S36" s="62">
        <v>434033</v>
      </c>
      <c r="T36" s="62">
        <v>38880</v>
      </c>
      <c r="U36" s="62">
        <v>272072.38399999996</v>
      </c>
      <c r="V36" s="68">
        <v>0.38531413322292407</v>
      </c>
      <c r="W36" s="69">
        <f t="shared" si="12"/>
        <v>744985.38399999996</v>
      </c>
      <c r="X36" s="70">
        <f>IFERROR(U36+S36+T36+(I36*39),"-")</f>
        <v>769126.38399999996</v>
      </c>
      <c r="Y36" s="71">
        <f t="shared" ca="1" si="4"/>
        <v>9</v>
      </c>
      <c r="AS36" s="56">
        <f ca="1"/>
        <v>34</v>
      </c>
      <c r="AT36" s="131" t="str" cm="1">
        <f t="array" aca="1" ref="AT36" ca="1">INDEX($A$3:$A$46, MATCH(1, (Y$3:Y$46=AS36) * (COUNTIF($AS$3:AS36, Y$3:Y$46)=1), 0))</f>
        <v>美田園</v>
      </c>
      <c r="AU36" s="70">
        <f t="shared" ca="1" si="1"/>
        <v>633661.70399999991</v>
      </c>
    </row>
    <row r="37" spans="1:47" ht="19.5" customHeight="1">
      <c r="A37" s="7" t="s">
        <v>211</v>
      </c>
      <c r="B37" s="7"/>
      <c r="C37" s="81">
        <v>39.6</v>
      </c>
      <c r="D37" s="82">
        <v>4.6500000000000004</v>
      </c>
      <c r="E37" s="83">
        <v>0</v>
      </c>
      <c r="F37" s="83">
        <v>0</v>
      </c>
      <c r="G37" s="83">
        <v>0</v>
      </c>
      <c r="H37" s="83">
        <v>8</v>
      </c>
      <c r="I37" s="84">
        <v>591</v>
      </c>
      <c r="J37" s="232">
        <v>20</v>
      </c>
      <c r="K37" s="132">
        <v>0.95322580645161292</v>
      </c>
      <c r="L37" s="225">
        <v>18</v>
      </c>
      <c r="M37" s="225">
        <v>0</v>
      </c>
      <c r="N37" s="86">
        <v>16</v>
      </c>
      <c r="O37" s="109">
        <v>571</v>
      </c>
      <c r="P37" s="88">
        <v>0</v>
      </c>
      <c r="Q37" s="110"/>
      <c r="R37" s="88">
        <v>227</v>
      </c>
      <c r="S37" s="84">
        <v>434378</v>
      </c>
      <c r="T37" s="84">
        <v>62460</v>
      </c>
      <c r="U37" s="84">
        <v>291570.19200000004</v>
      </c>
      <c r="V37" s="89">
        <v>0.40164049613061098</v>
      </c>
      <c r="W37" s="90">
        <f t="shared" si="12"/>
        <v>788408.19200000004</v>
      </c>
      <c r="X37" s="91">
        <f t="shared" ref="X37:X39" si="14">IFERROR(U37+S37+T37,"-")</f>
        <v>788408.19200000004</v>
      </c>
      <c r="Y37" s="92">
        <f t="shared" ca="1" si="4"/>
        <v>7</v>
      </c>
      <c r="AS37" s="55">
        <f ca="1"/>
        <v>35</v>
      </c>
      <c r="AT37" s="93" t="str" cm="1">
        <f t="array" aca="1" ref="AT37" ca="1">INDEX($A$3:$A$46, MATCH(1, (Y$3:Y$46=AS37) * (COUNTIF($AS$3:AS37, Y$3:Y$46)=1), 0))</f>
        <v>清新</v>
      </c>
      <c r="AU37" s="91">
        <f t="shared" ca="1" si="1"/>
        <v>626989.33309090906</v>
      </c>
    </row>
    <row r="38" spans="1:47" ht="19.5" customHeight="1">
      <c r="A38" s="6" t="s">
        <v>129</v>
      </c>
      <c r="B38" s="6"/>
      <c r="C38" s="59">
        <v>48.210526315789473</v>
      </c>
      <c r="D38" s="60">
        <v>4.1578947368421053</v>
      </c>
      <c r="E38" s="61">
        <v>0</v>
      </c>
      <c r="F38" s="61">
        <v>0</v>
      </c>
      <c r="G38" s="61">
        <v>0</v>
      </c>
      <c r="H38" s="61">
        <v>4</v>
      </c>
      <c r="I38" s="62">
        <v>570</v>
      </c>
      <c r="J38" s="231">
        <v>19</v>
      </c>
      <c r="K38" s="63">
        <v>0.91935483870967738</v>
      </c>
      <c r="L38" s="223">
        <v>6</v>
      </c>
      <c r="M38" s="223">
        <v>0</v>
      </c>
      <c r="N38" s="64">
        <v>13</v>
      </c>
      <c r="O38" s="94">
        <v>557</v>
      </c>
      <c r="P38" s="67">
        <v>0</v>
      </c>
      <c r="Q38" s="117"/>
      <c r="R38" s="67">
        <v>265</v>
      </c>
      <c r="S38" s="62">
        <v>374413</v>
      </c>
      <c r="T38" s="62">
        <v>26460</v>
      </c>
      <c r="U38" s="62">
        <v>269956.016</v>
      </c>
      <c r="V38" s="68">
        <v>0.41894630141558509</v>
      </c>
      <c r="W38" s="69">
        <f t="shared" si="12"/>
        <v>670829.01600000006</v>
      </c>
      <c r="X38" s="70">
        <f t="shared" si="14"/>
        <v>670829.01600000006</v>
      </c>
      <c r="Y38" s="71">
        <f t="shared" ca="1" si="4"/>
        <v>26</v>
      </c>
      <c r="AS38" s="56">
        <f ca="1"/>
        <v>36</v>
      </c>
      <c r="AT38" s="131" t="str" cm="1">
        <f t="array" aca="1" ref="AT38" ca="1">INDEX($A$3:$A$46, MATCH(1, (Y$3:Y$46=AS38) * (COUNTIF($AS$3:AS45, Y$3:Y$46)=1), 0))</f>
        <v>南志賀</v>
      </c>
      <c r="AU38" s="70">
        <f t="shared" ca="1" si="1"/>
        <v>582091.22400000005</v>
      </c>
    </row>
    <row r="39" spans="1:47" ht="19.5" customHeight="1" thickBot="1">
      <c r="A39" s="7" t="s">
        <v>128</v>
      </c>
      <c r="B39" s="7"/>
      <c r="C39" s="81">
        <v>50.142857142857146</v>
      </c>
      <c r="D39" s="82">
        <v>4.7142857142857144</v>
      </c>
      <c r="E39" s="83">
        <v>0</v>
      </c>
      <c r="F39" s="83">
        <v>0</v>
      </c>
      <c r="G39" s="83">
        <v>0</v>
      </c>
      <c r="H39" s="83">
        <v>6</v>
      </c>
      <c r="I39" s="84">
        <v>620</v>
      </c>
      <c r="J39" s="232">
        <v>20</v>
      </c>
      <c r="K39" s="132">
        <v>1</v>
      </c>
      <c r="L39" s="225">
        <v>42</v>
      </c>
      <c r="M39" s="225">
        <v>0</v>
      </c>
      <c r="N39" s="86">
        <v>20</v>
      </c>
      <c r="O39" s="109">
        <v>608</v>
      </c>
      <c r="P39" s="136">
        <v>0</v>
      </c>
      <c r="Q39" s="137"/>
      <c r="R39" s="88">
        <v>160</v>
      </c>
      <c r="S39" s="84">
        <v>477501</v>
      </c>
      <c r="T39" s="84">
        <v>55080</v>
      </c>
      <c r="U39" s="84">
        <v>303384.41599999997</v>
      </c>
      <c r="V39" s="89">
        <v>0.38851335904575274</v>
      </c>
      <c r="W39" s="90">
        <f t="shared" si="12"/>
        <v>835965.41599999997</v>
      </c>
      <c r="X39" s="91">
        <f t="shared" si="14"/>
        <v>835965.41599999997</v>
      </c>
      <c r="Y39" s="92">
        <f t="shared" ca="1" si="4"/>
        <v>5</v>
      </c>
      <c r="AS39" s="55">
        <f ca="1"/>
        <v>37</v>
      </c>
      <c r="AT39" s="93" t="str" cm="1">
        <f t="array" aca="1" ref="AT39" ca="1">INDEX($A$3:$A$46, MATCH(1, (Y$3:Y$46=AS39) * (COUNTIF($AS$3:AS39, Y$3:Y$46)=1), 0))</f>
        <v>阪南</v>
      </c>
      <c r="AU39" s="91">
        <f t="shared" ca="1" si="1"/>
        <v>521283.23203223373</v>
      </c>
    </row>
    <row r="40" spans="1:47" ht="19.5" customHeight="1" thickBot="1">
      <c r="A40" s="6" t="s">
        <v>212</v>
      </c>
      <c r="B40" s="6"/>
      <c r="C40" s="59">
        <v>41.85</v>
      </c>
      <c r="D40" s="125">
        <v>4</v>
      </c>
      <c r="E40" s="61">
        <v>0</v>
      </c>
      <c r="F40" s="61">
        <v>0</v>
      </c>
      <c r="G40" s="61">
        <v>0</v>
      </c>
      <c r="H40" s="61">
        <v>0</v>
      </c>
      <c r="I40" s="62">
        <v>561</v>
      </c>
      <c r="J40" s="231">
        <v>19</v>
      </c>
      <c r="K40" s="63">
        <v>0.90483870967741931</v>
      </c>
      <c r="L40" s="223">
        <v>73</v>
      </c>
      <c r="M40" s="223">
        <v>1</v>
      </c>
      <c r="N40" s="64">
        <v>16</v>
      </c>
      <c r="O40" s="64">
        <v>521</v>
      </c>
      <c r="P40" s="138">
        <v>143</v>
      </c>
      <c r="Q40" s="139">
        <v>32500</v>
      </c>
      <c r="R40" s="140">
        <v>67</v>
      </c>
      <c r="S40" s="62">
        <v>350454</v>
      </c>
      <c r="T40" s="62">
        <v>0</v>
      </c>
      <c r="U40" s="62">
        <v>250707.70399999997</v>
      </c>
      <c r="V40" s="68">
        <v>0.4170387140961328</v>
      </c>
      <c r="W40" s="69">
        <f t="shared" si="12"/>
        <v>601161.70399999991</v>
      </c>
      <c r="X40" s="70">
        <f>IFERROR(U40+S40+T40+Q40,"-")</f>
        <v>633661.70399999991</v>
      </c>
      <c r="Y40" s="71">
        <f t="shared" ca="1" si="4"/>
        <v>34</v>
      </c>
      <c r="AS40" s="56">
        <f ca="1"/>
        <v>38</v>
      </c>
      <c r="AT40" s="131" t="str" cm="1">
        <f t="array" aca="1" ref="AT40" ca="1">INDEX($A$3:$A$46, MATCH(1, (Y$3:Y$46=AS40) * (COUNTIF($AS$3:AS40, Y$3:Y$46)=1), 0))</f>
        <v>白浜町</v>
      </c>
      <c r="AU40" s="70">
        <f t="shared" ca="1" si="1"/>
        <v>414861.43111111107</v>
      </c>
    </row>
    <row r="41" spans="1:47" ht="19.5" customHeight="1">
      <c r="A41" s="7" t="s">
        <v>213</v>
      </c>
      <c r="B41" s="7"/>
      <c r="C41" s="81">
        <v>50.6</v>
      </c>
      <c r="D41" s="141">
        <v>4.2</v>
      </c>
      <c r="E41" s="83">
        <v>0</v>
      </c>
      <c r="F41" s="83">
        <v>0</v>
      </c>
      <c r="G41" s="83">
        <v>0</v>
      </c>
      <c r="H41" s="83">
        <v>2</v>
      </c>
      <c r="I41" s="84">
        <v>615</v>
      </c>
      <c r="J41" s="232">
        <v>20</v>
      </c>
      <c r="K41" s="132">
        <v>0.99193548387096775</v>
      </c>
      <c r="L41" s="225">
        <v>14</v>
      </c>
      <c r="M41" s="225">
        <v>0</v>
      </c>
      <c r="N41" s="86">
        <v>1</v>
      </c>
      <c r="O41" s="109">
        <v>571</v>
      </c>
      <c r="P41" s="135">
        <v>0</v>
      </c>
      <c r="Q41" s="142"/>
      <c r="R41" s="143">
        <v>247</v>
      </c>
      <c r="S41" s="84">
        <v>416027</v>
      </c>
      <c r="T41" s="84">
        <v>11160</v>
      </c>
      <c r="U41" s="84">
        <v>278329.23999999993</v>
      </c>
      <c r="V41" s="89">
        <v>0.40084501868954175</v>
      </c>
      <c r="W41" s="90">
        <f t="shared" si="12"/>
        <v>705516.24</v>
      </c>
      <c r="X41" s="91">
        <f t="shared" ref="X41:X42" si="15">IFERROR(U41+S41+T41,"-")</f>
        <v>705516.24</v>
      </c>
      <c r="Y41" s="92">
        <f t="shared" ca="1" si="4"/>
        <v>18</v>
      </c>
      <c r="AS41" s="55">
        <f ca="1"/>
        <v>39</v>
      </c>
      <c r="AT41" s="93" t="str" cm="1">
        <f t="array" aca="1" ref="AT41" ca="1">INDEX($A$3:$A$46, MATCH(1, (Y$3:Y$46=AS41) * (COUNTIF($AS$3:AS41, Y$3:Y$46)=1), 0))</f>
        <v>萩丘ⅱ</v>
      </c>
      <c r="AU41" s="91">
        <f t="shared" ca="1" si="1"/>
        <v>370429.48800000001</v>
      </c>
    </row>
    <row r="42" spans="1:47" ht="19.5" customHeight="1" thickBot="1">
      <c r="A42" s="6" t="s">
        <v>214</v>
      </c>
      <c r="B42" s="6"/>
      <c r="C42" s="59">
        <v>50.421052631578945</v>
      </c>
      <c r="D42" s="60">
        <v>4.2631578947368425</v>
      </c>
      <c r="E42" s="61">
        <v>0</v>
      </c>
      <c r="F42" s="61">
        <v>0</v>
      </c>
      <c r="G42" s="61">
        <v>0</v>
      </c>
      <c r="H42" s="61">
        <v>0</v>
      </c>
      <c r="I42" s="62">
        <v>564</v>
      </c>
      <c r="J42" s="231">
        <v>19</v>
      </c>
      <c r="K42" s="63">
        <v>0.9096774193548387</v>
      </c>
      <c r="L42" s="223">
        <v>4</v>
      </c>
      <c r="M42" s="223">
        <v>0</v>
      </c>
      <c r="N42" s="64">
        <v>7</v>
      </c>
      <c r="O42" s="94">
        <v>555</v>
      </c>
      <c r="P42" s="111">
        <v>0</v>
      </c>
      <c r="Q42" s="112"/>
      <c r="R42" s="94">
        <v>159</v>
      </c>
      <c r="S42" s="62">
        <v>395082</v>
      </c>
      <c r="T42" s="62">
        <v>0</v>
      </c>
      <c r="U42" s="62">
        <v>268364.78399999999</v>
      </c>
      <c r="V42" s="68">
        <v>0.40450084388381025</v>
      </c>
      <c r="W42" s="69">
        <f t="shared" si="12"/>
        <v>663446.78399999999</v>
      </c>
      <c r="X42" s="70">
        <f t="shared" si="15"/>
        <v>663446.78399999999</v>
      </c>
      <c r="Y42" s="71">
        <f t="shared" ca="1" si="4"/>
        <v>27</v>
      </c>
      <c r="AS42" s="56">
        <f ca="1"/>
        <v>40</v>
      </c>
      <c r="AT42" s="131" t="str" cm="1">
        <f t="array" aca="1" ref="AT42" ca="1">INDEX($A$3:$A$46, MATCH(1, (Y$3:Y$46=AS42) * (COUNTIF($AS$3:AS42, Y$3:Y$46)=1), 0))</f>
        <v>八幡</v>
      </c>
      <c r="AU42" s="70">
        <f t="shared" ca="1" si="1"/>
        <v>293179.23555555556</v>
      </c>
    </row>
    <row r="43" spans="1:47" ht="19.5" customHeight="1" thickBot="1">
      <c r="A43" s="7" t="s">
        <v>215</v>
      </c>
      <c r="B43" s="7"/>
      <c r="C43" s="81">
        <v>41.8</v>
      </c>
      <c r="D43" s="82">
        <v>4.05</v>
      </c>
      <c r="E43" s="83">
        <v>0</v>
      </c>
      <c r="F43" s="83">
        <v>0</v>
      </c>
      <c r="G43" s="83">
        <v>0</v>
      </c>
      <c r="H43" s="83">
        <v>0</v>
      </c>
      <c r="I43" s="84">
        <v>600</v>
      </c>
      <c r="J43" s="232"/>
      <c r="K43" s="132">
        <v>0.967741935483871</v>
      </c>
      <c r="L43" s="225"/>
      <c r="M43" s="225"/>
      <c r="N43" s="86">
        <v>11</v>
      </c>
      <c r="O43" s="86">
        <v>298</v>
      </c>
      <c r="P43" s="87">
        <v>40</v>
      </c>
      <c r="Q43" s="134">
        <v>9090.9090909090901</v>
      </c>
      <c r="R43" s="88">
        <v>181</v>
      </c>
      <c r="S43" s="84">
        <v>389779</v>
      </c>
      <c r="T43" s="84">
        <v>0</v>
      </c>
      <c r="U43" s="84">
        <v>228119.42400000003</v>
      </c>
      <c r="V43" s="89">
        <v>0.36918596186612063</v>
      </c>
      <c r="W43" s="90">
        <f t="shared" si="12"/>
        <v>617898.424</v>
      </c>
      <c r="X43" s="91">
        <f>IFERROR(U43+S43+T43+Q43,"-")</f>
        <v>626989.33309090906</v>
      </c>
      <c r="Y43" s="92">
        <f t="shared" ca="1" si="4"/>
        <v>35</v>
      </c>
      <c r="AS43" s="55">
        <f ca="1"/>
        <v>41</v>
      </c>
      <c r="AT43" s="93" t="str" cm="1">
        <f t="array" aca="1" ref="AT43" ca="1">INDEX($A$3:$A$46, MATCH(1, (Y$3:Y$46=AS43) * (COUNTIF($AS$3:AS43, Y$3:Y$46)=1), 0))</f>
        <v>おきつ</v>
      </c>
      <c r="AU43" s="91">
        <f t="shared" ca="1" si="1"/>
        <v>245877.28000000003</v>
      </c>
    </row>
    <row r="44" spans="1:47" ht="19.5" customHeight="1">
      <c r="A44" s="6" t="s">
        <v>216</v>
      </c>
      <c r="B44" s="6"/>
      <c r="C44" s="59" t="s">
        <v>265</v>
      </c>
      <c r="D44" s="60" t="s">
        <v>265</v>
      </c>
      <c r="E44" s="61" t="s">
        <v>265</v>
      </c>
      <c r="F44" s="61" t="s">
        <v>265</v>
      </c>
      <c r="G44" s="61" t="s">
        <v>265</v>
      </c>
      <c r="H44" s="61" t="s">
        <v>265</v>
      </c>
      <c r="I44" s="62" t="s">
        <v>265</v>
      </c>
      <c r="J44" s="231"/>
      <c r="K44" s="63" t="s">
        <v>265</v>
      </c>
      <c r="L44" s="223"/>
      <c r="M44" s="223"/>
      <c r="N44" s="64" t="s">
        <v>265</v>
      </c>
      <c r="O44" s="94" t="s">
        <v>265</v>
      </c>
      <c r="P44" s="106" t="s">
        <v>265</v>
      </c>
      <c r="Q44" s="107"/>
      <c r="R44" s="94" t="s">
        <v>265</v>
      </c>
      <c r="S44" s="62" t="s">
        <v>265</v>
      </c>
      <c r="T44" s="62" t="s">
        <v>265</v>
      </c>
      <c r="U44" s="62" t="s">
        <v>265</v>
      </c>
      <c r="V44" s="68" t="s">
        <v>265</v>
      </c>
      <c r="W44" s="69" t="str">
        <f t="shared" si="12"/>
        <v>-</v>
      </c>
      <c r="X44" s="70" t="str">
        <f t="shared" ref="X44:X60" si="16">IFERROR(U44+S44+T44,"-")</f>
        <v>-</v>
      </c>
      <c r="Y44" s="71" t="str">
        <f t="shared" si="4"/>
        <v/>
      </c>
      <c r="AS44" s="56">
        <f ca="1"/>
        <v>42</v>
      </c>
      <c r="AT44" s="131" t="str" cm="1">
        <f t="array" aca="1" ref="AT44" ca="1">INDEX($A$3:$A$46, MATCH(1, (Y$3:Y$46=AS44) * (COUNTIF($AS$3:AS44, Y$3:Y$46)=1), 0))</f>
        <v>阪南sea</v>
      </c>
      <c r="AU44" s="70">
        <f t="shared" ca="1" si="1"/>
        <v>117173.056</v>
      </c>
    </row>
    <row r="45" spans="1:47" ht="19.5" customHeight="1" thickBot="1">
      <c r="A45" s="7" t="s">
        <v>217</v>
      </c>
      <c r="B45" s="7"/>
      <c r="C45" s="81">
        <v>48.85</v>
      </c>
      <c r="D45" s="82">
        <v>4</v>
      </c>
      <c r="E45" s="83">
        <v>0</v>
      </c>
      <c r="F45" s="83">
        <v>0</v>
      </c>
      <c r="G45" s="83">
        <v>0</v>
      </c>
      <c r="H45" s="83">
        <v>0</v>
      </c>
      <c r="I45" s="84">
        <v>619</v>
      </c>
      <c r="J45" s="232">
        <v>20</v>
      </c>
      <c r="K45" s="132">
        <v>0.99838709677419357</v>
      </c>
      <c r="L45" s="225">
        <v>27</v>
      </c>
      <c r="M45" s="225">
        <v>0</v>
      </c>
      <c r="N45" s="86">
        <v>7</v>
      </c>
      <c r="O45" s="109">
        <v>614</v>
      </c>
      <c r="P45" s="88">
        <v>0</v>
      </c>
      <c r="Q45" s="110"/>
      <c r="R45" s="109">
        <v>198</v>
      </c>
      <c r="S45" s="84">
        <v>411415</v>
      </c>
      <c r="T45" s="84">
        <v>0</v>
      </c>
      <c r="U45" s="84">
        <v>284576.29599999997</v>
      </c>
      <c r="V45" s="89">
        <v>0.40887910184440007</v>
      </c>
      <c r="W45" s="90">
        <f t="shared" si="12"/>
        <v>695991.29599999997</v>
      </c>
      <c r="X45" s="91">
        <f t="shared" si="16"/>
        <v>695991.29599999997</v>
      </c>
      <c r="Y45" s="92">
        <f t="shared" ca="1" si="4"/>
        <v>21</v>
      </c>
      <c r="AS45" s="57" t="str">
        <f ca="1"/>
        <v/>
      </c>
      <c r="AT45" s="144" t="str" cm="1">
        <f t="array" aca="1" ref="AT45" ca="1">INDEX($A$3:$A$46, MATCH(1, (Y$3:Y$46=AS45) * (COUNTIF($AS$3:AS45, Y$3:Y$46)=1), 0))</f>
        <v>川花</v>
      </c>
      <c r="AU45" s="145" t="str">
        <f t="shared" ca="1" si="1"/>
        <v>-</v>
      </c>
    </row>
    <row r="46" spans="1:47" ht="19.5" hidden="1" customHeight="1" thickBot="1">
      <c r="A46" s="7"/>
      <c r="B46" s="7"/>
      <c r="C46" s="81" t="str">
        <f t="shared" ref="C46:N60" ca="1" si="17">IFERROR(VLOOKUP("合計",INDIRECT($A46&amp;"!$A$3:$AU$50"),MATCH(C$1,INDIRECT($A46&amp;"!$A$3:$AU$3"),0),FALSE),"-")</f>
        <v>-</v>
      </c>
      <c r="D46" s="82" t="str">
        <f t="shared" ca="1" si="17"/>
        <v>-</v>
      </c>
      <c r="E46" s="83" t="str">
        <f t="shared" ca="1" si="17"/>
        <v>-</v>
      </c>
      <c r="F46" s="83" t="str">
        <f t="shared" ca="1" si="17"/>
        <v>-</v>
      </c>
      <c r="G46" s="83" t="str">
        <f t="shared" ca="1" si="17"/>
        <v>-</v>
      </c>
      <c r="H46" s="83" t="str">
        <f t="shared" ca="1" si="17"/>
        <v>-</v>
      </c>
      <c r="I46" s="84" t="str">
        <f t="shared" ca="1" si="17"/>
        <v>-</v>
      </c>
      <c r="J46" s="232"/>
      <c r="K46" s="132" t="str">
        <f t="shared" ca="1" si="17"/>
        <v>-</v>
      </c>
      <c r="L46" s="226"/>
      <c r="M46" s="226"/>
      <c r="N46" s="109" t="str">
        <f t="shared" ca="1" si="17"/>
        <v>-</v>
      </c>
      <c r="O46" s="109"/>
      <c r="P46" s="109" t="str">
        <f t="shared" ref="P46:P60" ca="1" si="18">IFERROR(VLOOKUP("合計",INDIRECT($A46&amp;"!$A$3:$AU$50"),MATCH(P$1,INDIRECT($A46&amp;"!$A$3:$AU$3"),0),FALSE),"-")</f>
        <v>-</v>
      </c>
      <c r="Q46" s="110"/>
      <c r="R46" s="109" t="str">
        <f t="shared" ref="R46:S60" ca="1" si="19">IFERROR(VLOOKUP("合計",INDIRECT($A46&amp;"!$A$3:$AU$50"),MATCH(R$1,INDIRECT($A46&amp;"!$A$3:$AU$3"),0),FALSE),"-")</f>
        <v>-</v>
      </c>
      <c r="S46" s="84" t="str">
        <f t="shared" ca="1" si="19"/>
        <v>-</v>
      </c>
      <c r="T46" s="84" t="str">
        <f t="shared" ref="T46:T60" ca="1" si="20">IFERROR(VLOOKUP("合計",INDIRECT($A46&amp;"!$A$3:$AU$50"),MATCH(T$1,INDIRECT($A46&amp;"!$A$3:$AU$3"),0),FALSE)-S46,"-")</f>
        <v>-</v>
      </c>
      <c r="U46" s="84" t="str">
        <f t="shared" ref="U46:U60" ca="1" si="21">IFERROR(VLOOKUP("合計",INDIRECT($A46&amp;"!$A$3:$AU$50"),MATCH(U$1,INDIRECT($A46&amp;"!$A$3:$AU$3"),0),FALSE),"-")</f>
        <v>-</v>
      </c>
      <c r="V46" s="89"/>
      <c r="W46" s="90" t="str">
        <f t="shared" ref="W46:W60" ca="1" si="22">IFERROR(U46+S46+T46+Q46,"-")</f>
        <v>-</v>
      </c>
      <c r="X46" s="91" t="str">
        <f t="shared" ca="1" si="16"/>
        <v>-</v>
      </c>
      <c r="Y46" s="92" t="str">
        <f t="shared" ca="1" si="4"/>
        <v/>
      </c>
      <c r="AS46" s="2" t="str">
        <f ca="1"/>
        <v/>
      </c>
    </row>
    <row r="47" spans="1:47" ht="19.5" hidden="1" customHeight="1" thickTop="1">
      <c r="A47" s="6"/>
      <c r="B47" s="6"/>
      <c r="C47" s="59" t="str">
        <f t="shared" ca="1" si="17"/>
        <v>-</v>
      </c>
      <c r="D47" s="60" t="str">
        <f t="shared" ca="1" si="17"/>
        <v>-</v>
      </c>
      <c r="E47" s="61" t="str">
        <f t="shared" ca="1" si="17"/>
        <v>-</v>
      </c>
      <c r="F47" s="61" t="str">
        <f t="shared" ca="1" si="17"/>
        <v>-</v>
      </c>
      <c r="G47" s="61" t="str">
        <f t="shared" ca="1" si="17"/>
        <v>-</v>
      </c>
      <c r="H47" s="61" t="str">
        <f t="shared" ca="1" si="17"/>
        <v>-</v>
      </c>
      <c r="I47" s="62" t="str">
        <f t="shared" ca="1" si="17"/>
        <v>-</v>
      </c>
      <c r="J47" s="231"/>
      <c r="K47" s="63" t="str">
        <f t="shared" ca="1" si="17"/>
        <v>-</v>
      </c>
      <c r="L47" s="227"/>
      <c r="M47" s="227"/>
      <c r="N47" s="94" t="str">
        <f t="shared" ca="1" si="17"/>
        <v>-</v>
      </c>
      <c r="O47" s="94"/>
      <c r="P47" s="94" t="str">
        <f t="shared" ca="1" si="18"/>
        <v>-</v>
      </c>
      <c r="Q47" s="117"/>
      <c r="R47" s="94" t="str">
        <f t="shared" ca="1" si="19"/>
        <v>-</v>
      </c>
      <c r="S47" s="62" t="str">
        <f t="shared" ca="1" si="19"/>
        <v>-</v>
      </c>
      <c r="T47" s="62" t="str">
        <f t="shared" ca="1" si="20"/>
        <v>-</v>
      </c>
      <c r="U47" s="62" t="str">
        <f t="shared" ca="1" si="21"/>
        <v>-</v>
      </c>
      <c r="V47" s="68"/>
      <c r="W47" s="69" t="str">
        <f t="shared" ca="1" si="22"/>
        <v>-</v>
      </c>
      <c r="X47" s="70" t="str">
        <f t="shared" ca="1" si="16"/>
        <v>-</v>
      </c>
      <c r="Y47" s="71" t="str">
        <f ca="1">IFERROR(RANK(X47,$X$3:$X$60,0),"")</f>
        <v/>
      </c>
    </row>
    <row r="48" spans="1:47" ht="19.5" hidden="1" customHeight="1" thickTop="1">
      <c r="A48" s="7"/>
      <c r="B48" s="7"/>
      <c r="C48" s="81" t="str">
        <f t="shared" ca="1" si="17"/>
        <v>-</v>
      </c>
      <c r="D48" s="82" t="str">
        <f t="shared" ca="1" si="17"/>
        <v>-</v>
      </c>
      <c r="E48" s="83" t="str">
        <f t="shared" ca="1" si="17"/>
        <v>-</v>
      </c>
      <c r="F48" s="83" t="str">
        <f t="shared" ca="1" si="17"/>
        <v>-</v>
      </c>
      <c r="G48" s="83" t="str">
        <f t="shared" ca="1" si="17"/>
        <v>-</v>
      </c>
      <c r="H48" s="83" t="str">
        <f t="shared" ca="1" si="17"/>
        <v>-</v>
      </c>
      <c r="I48" s="84" t="str">
        <f t="shared" ca="1" si="17"/>
        <v>-</v>
      </c>
      <c r="J48" s="232"/>
      <c r="K48" s="85" t="str">
        <f t="shared" ca="1" si="17"/>
        <v>-</v>
      </c>
      <c r="L48" s="228"/>
      <c r="M48" s="228"/>
      <c r="N48" s="109" t="str">
        <f t="shared" ca="1" si="17"/>
        <v>-</v>
      </c>
      <c r="O48" s="109"/>
      <c r="P48" s="109" t="str">
        <f t="shared" ca="1" si="18"/>
        <v>-</v>
      </c>
      <c r="Q48" s="110"/>
      <c r="R48" s="109" t="str">
        <f t="shared" ca="1" si="19"/>
        <v>-</v>
      </c>
      <c r="S48" s="84" t="str">
        <f t="shared" ca="1" si="19"/>
        <v>-</v>
      </c>
      <c r="T48" s="84" t="str">
        <f t="shared" ca="1" si="20"/>
        <v>-</v>
      </c>
      <c r="U48" s="84" t="str">
        <f t="shared" ca="1" si="21"/>
        <v>-</v>
      </c>
      <c r="V48" s="89"/>
      <c r="W48" s="90" t="str">
        <f t="shared" ca="1" si="22"/>
        <v>-</v>
      </c>
      <c r="X48" s="91" t="str">
        <f t="shared" ca="1" si="16"/>
        <v>-</v>
      </c>
      <c r="Y48" s="92" t="str">
        <f ca="1">IFERROR(RANK(X48,$X$3:$X$60,0),"")</f>
        <v/>
      </c>
    </row>
    <row r="49" spans="1:25" ht="19.5" hidden="1" customHeight="1" thickTop="1">
      <c r="A49" s="7"/>
      <c r="B49" s="7"/>
      <c r="C49" s="81" t="str">
        <f t="shared" ca="1" si="17"/>
        <v>-</v>
      </c>
      <c r="D49" s="82" t="str">
        <f t="shared" ca="1" si="17"/>
        <v>-</v>
      </c>
      <c r="E49" s="83" t="str">
        <f t="shared" ca="1" si="17"/>
        <v>-</v>
      </c>
      <c r="F49" s="83" t="str">
        <f t="shared" ca="1" si="17"/>
        <v>-</v>
      </c>
      <c r="G49" s="83" t="str">
        <f t="shared" ca="1" si="17"/>
        <v>-</v>
      </c>
      <c r="H49" s="83" t="str">
        <f t="shared" ca="1" si="17"/>
        <v>-</v>
      </c>
      <c r="I49" s="84" t="str">
        <f t="shared" ca="1" si="17"/>
        <v>-</v>
      </c>
      <c r="J49" s="232"/>
      <c r="K49" s="132" t="str">
        <f t="shared" ca="1" si="17"/>
        <v>-</v>
      </c>
      <c r="L49" s="226"/>
      <c r="M49" s="226"/>
      <c r="N49" s="109" t="str">
        <f t="shared" ca="1" si="17"/>
        <v>-</v>
      </c>
      <c r="O49" s="109"/>
      <c r="P49" s="109" t="str">
        <f t="shared" ca="1" si="18"/>
        <v>-</v>
      </c>
      <c r="Q49" s="110"/>
      <c r="R49" s="109" t="str">
        <f t="shared" ca="1" si="19"/>
        <v>-</v>
      </c>
      <c r="S49" s="84" t="str">
        <f t="shared" ca="1" si="19"/>
        <v>-</v>
      </c>
      <c r="T49" s="84" t="str">
        <f t="shared" ca="1" si="20"/>
        <v>-</v>
      </c>
      <c r="U49" s="84" t="str">
        <f t="shared" ca="1" si="21"/>
        <v>-</v>
      </c>
      <c r="V49" s="89"/>
      <c r="W49" s="90" t="str">
        <f t="shared" ca="1" si="22"/>
        <v>-</v>
      </c>
      <c r="X49" s="91" t="str">
        <f t="shared" ca="1" si="16"/>
        <v>-</v>
      </c>
      <c r="Y49" s="92" t="str">
        <f t="shared" ca="1" si="4"/>
        <v/>
      </c>
    </row>
    <row r="50" spans="1:25" ht="19.5" hidden="1" customHeight="1" thickTop="1">
      <c r="A50" s="6"/>
      <c r="B50" s="6"/>
      <c r="C50" s="59" t="str">
        <f t="shared" ca="1" si="17"/>
        <v>-</v>
      </c>
      <c r="D50" s="60" t="str">
        <f t="shared" ca="1" si="17"/>
        <v>-</v>
      </c>
      <c r="E50" s="61" t="str">
        <f t="shared" ca="1" si="17"/>
        <v>-</v>
      </c>
      <c r="F50" s="61" t="str">
        <f t="shared" ca="1" si="17"/>
        <v>-</v>
      </c>
      <c r="G50" s="61" t="str">
        <f t="shared" ca="1" si="17"/>
        <v>-</v>
      </c>
      <c r="H50" s="61" t="str">
        <f t="shared" ca="1" si="17"/>
        <v>-</v>
      </c>
      <c r="I50" s="62" t="str">
        <f t="shared" ca="1" si="17"/>
        <v>-</v>
      </c>
      <c r="J50" s="231"/>
      <c r="K50" s="63" t="str">
        <f t="shared" ca="1" si="17"/>
        <v>-</v>
      </c>
      <c r="L50" s="227"/>
      <c r="M50" s="227"/>
      <c r="N50" s="94" t="str">
        <f t="shared" ca="1" si="17"/>
        <v>-</v>
      </c>
      <c r="O50" s="94"/>
      <c r="P50" s="94" t="str">
        <f t="shared" ca="1" si="18"/>
        <v>-</v>
      </c>
      <c r="Q50" s="117"/>
      <c r="R50" s="94" t="str">
        <f t="shared" ca="1" si="19"/>
        <v>-</v>
      </c>
      <c r="S50" s="62" t="str">
        <f t="shared" ca="1" si="19"/>
        <v>-</v>
      </c>
      <c r="T50" s="62" t="str">
        <f t="shared" ca="1" si="20"/>
        <v>-</v>
      </c>
      <c r="U50" s="62" t="str">
        <f t="shared" ca="1" si="21"/>
        <v>-</v>
      </c>
      <c r="V50" s="68"/>
      <c r="W50" s="69" t="str">
        <f t="shared" ca="1" si="22"/>
        <v>-</v>
      </c>
      <c r="X50" s="70" t="str">
        <f t="shared" ca="1" si="16"/>
        <v>-</v>
      </c>
      <c r="Y50" s="71" t="str">
        <f ca="1">IFERROR(RANK(X50,$X$3:$X$60,0),"")</f>
        <v/>
      </c>
    </row>
    <row r="51" spans="1:25" ht="19.5" hidden="1" customHeight="1" thickTop="1">
      <c r="A51" s="7"/>
      <c r="B51" s="7"/>
      <c r="C51" s="81" t="str">
        <f t="shared" ca="1" si="17"/>
        <v>-</v>
      </c>
      <c r="D51" s="82" t="str">
        <f t="shared" ca="1" si="17"/>
        <v>-</v>
      </c>
      <c r="E51" s="83" t="str">
        <f t="shared" ca="1" si="17"/>
        <v>-</v>
      </c>
      <c r="F51" s="83" t="str">
        <f t="shared" ca="1" si="17"/>
        <v>-</v>
      </c>
      <c r="G51" s="83" t="str">
        <f t="shared" ca="1" si="17"/>
        <v>-</v>
      </c>
      <c r="H51" s="83" t="str">
        <f t="shared" ca="1" si="17"/>
        <v>-</v>
      </c>
      <c r="I51" s="84" t="str">
        <f t="shared" ca="1" si="17"/>
        <v>-</v>
      </c>
      <c r="J51" s="232"/>
      <c r="K51" s="85" t="str">
        <f t="shared" ca="1" si="17"/>
        <v>-</v>
      </c>
      <c r="L51" s="228"/>
      <c r="M51" s="228"/>
      <c r="N51" s="109" t="str">
        <f t="shared" ca="1" si="17"/>
        <v>-</v>
      </c>
      <c r="O51" s="109"/>
      <c r="P51" s="109" t="str">
        <f t="shared" ca="1" si="18"/>
        <v>-</v>
      </c>
      <c r="Q51" s="110"/>
      <c r="R51" s="109" t="str">
        <f t="shared" ca="1" si="19"/>
        <v>-</v>
      </c>
      <c r="S51" s="84" t="str">
        <f t="shared" ca="1" si="19"/>
        <v>-</v>
      </c>
      <c r="T51" s="84" t="str">
        <f t="shared" ca="1" si="20"/>
        <v>-</v>
      </c>
      <c r="U51" s="84" t="str">
        <f t="shared" ca="1" si="21"/>
        <v>-</v>
      </c>
      <c r="V51" s="89"/>
      <c r="W51" s="90" t="str">
        <f t="shared" ca="1" si="22"/>
        <v>-</v>
      </c>
      <c r="X51" s="91" t="str">
        <f t="shared" ca="1" si="16"/>
        <v>-</v>
      </c>
      <c r="Y51" s="92" t="str">
        <f ca="1">IFERROR(RANK(X51,$X$3:$X$60,0),"")</f>
        <v/>
      </c>
    </row>
    <row r="52" spans="1:25" ht="19.5" hidden="1" customHeight="1" thickTop="1">
      <c r="A52" s="7"/>
      <c r="B52" s="7"/>
      <c r="C52" s="81" t="str">
        <f t="shared" ca="1" si="17"/>
        <v>-</v>
      </c>
      <c r="D52" s="82" t="str">
        <f t="shared" ca="1" si="17"/>
        <v>-</v>
      </c>
      <c r="E52" s="83" t="str">
        <f t="shared" ca="1" si="17"/>
        <v>-</v>
      </c>
      <c r="F52" s="83" t="str">
        <f t="shared" ca="1" si="17"/>
        <v>-</v>
      </c>
      <c r="G52" s="83" t="str">
        <f t="shared" ca="1" si="17"/>
        <v>-</v>
      </c>
      <c r="H52" s="83" t="str">
        <f t="shared" ca="1" si="17"/>
        <v>-</v>
      </c>
      <c r="I52" s="84" t="str">
        <f t="shared" ca="1" si="17"/>
        <v>-</v>
      </c>
      <c r="J52" s="232"/>
      <c r="K52" s="132" t="str">
        <f t="shared" ca="1" si="17"/>
        <v>-</v>
      </c>
      <c r="L52" s="226"/>
      <c r="M52" s="226"/>
      <c r="N52" s="109" t="str">
        <f t="shared" ca="1" si="17"/>
        <v>-</v>
      </c>
      <c r="O52" s="109"/>
      <c r="P52" s="109" t="str">
        <f t="shared" ca="1" si="18"/>
        <v>-</v>
      </c>
      <c r="Q52" s="110"/>
      <c r="R52" s="109" t="str">
        <f t="shared" ca="1" si="19"/>
        <v>-</v>
      </c>
      <c r="S52" s="84" t="str">
        <f t="shared" ca="1" si="19"/>
        <v>-</v>
      </c>
      <c r="T52" s="84" t="str">
        <f t="shared" ca="1" si="20"/>
        <v>-</v>
      </c>
      <c r="U52" s="84" t="str">
        <f t="shared" ca="1" si="21"/>
        <v>-</v>
      </c>
      <c r="V52" s="89"/>
      <c r="W52" s="90" t="str">
        <f t="shared" ca="1" si="22"/>
        <v>-</v>
      </c>
      <c r="X52" s="91" t="str">
        <f t="shared" ca="1" si="16"/>
        <v>-</v>
      </c>
      <c r="Y52" s="92" t="str">
        <f t="shared" ca="1" si="4"/>
        <v/>
      </c>
    </row>
    <row r="53" spans="1:25" ht="19.5" hidden="1" customHeight="1" thickTop="1">
      <c r="A53" s="6"/>
      <c r="B53" s="6"/>
      <c r="C53" s="59" t="str">
        <f t="shared" ca="1" si="17"/>
        <v>-</v>
      </c>
      <c r="D53" s="60" t="str">
        <f t="shared" ca="1" si="17"/>
        <v>-</v>
      </c>
      <c r="E53" s="61" t="str">
        <f t="shared" ca="1" si="17"/>
        <v>-</v>
      </c>
      <c r="F53" s="61" t="str">
        <f t="shared" ca="1" si="17"/>
        <v>-</v>
      </c>
      <c r="G53" s="61" t="str">
        <f t="shared" ca="1" si="17"/>
        <v>-</v>
      </c>
      <c r="H53" s="61" t="str">
        <f t="shared" ca="1" si="17"/>
        <v>-</v>
      </c>
      <c r="I53" s="62" t="str">
        <f t="shared" ca="1" si="17"/>
        <v>-</v>
      </c>
      <c r="J53" s="231"/>
      <c r="K53" s="63" t="str">
        <f t="shared" ca="1" si="17"/>
        <v>-</v>
      </c>
      <c r="L53" s="227"/>
      <c r="M53" s="227"/>
      <c r="N53" s="94" t="str">
        <f t="shared" ca="1" si="17"/>
        <v>-</v>
      </c>
      <c r="O53" s="94"/>
      <c r="P53" s="94" t="str">
        <f t="shared" ca="1" si="18"/>
        <v>-</v>
      </c>
      <c r="Q53" s="117"/>
      <c r="R53" s="94" t="str">
        <f t="shared" ca="1" si="19"/>
        <v>-</v>
      </c>
      <c r="S53" s="62" t="str">
        <f t="shared" ca="1" si="19"/>
        <v>-</v>
      </c>
      <c r="T53" s="62" t="str">
        <f t="shared" ca="1" si="20"/>
        <v>-</v>
      </c>
      <c r="U53" s="62" t="str">
        <f t="shared" ca="1" si="21"/>
        <v>-</v>
      </c>
      <c r="V53" s="68"/>
      <c r="W53" s="69" t="str">
        <f t="shared" ca="1" si="22"/>
        <v>-</v>
      </c>
      <c r="X53" s="70" t="str">
        <f t="shared" ca="1" si="16"/>
        <v>-</v>
      </c>
      <c r="Y53" s="71" t="str">
        <f ca="1">IFERROR(RANK(X53,$X$3:$X$60,0),"")</f>
        <v/>
      </c>
    </row>
    <row r="54" spans="1:25" ht="19.5" hidden="1" customHeight="1" thickTop="1">
      <c r="A54" s="7"/>
      <c r="B54" s="7"/>
      <c r="C54" s="81" t="str">
        <f t="shared" ca="1" si="17"/>
        <v>-</v>
      </c>
      <c r="D54" s="82" t="str">
        <f t="shared" ca="1" si="17"/>
        <v>-</v>
      </c>
      <c r="E54" s="83" t="str">
        <f t="shared" ca="1" si="17"/>
        <v>-</v>
      </c>
      <c r="F54" s="83" t="str">
        <f t="shared" ca="1" si="17"/>
        <v>-</v>
      </c>
      <c r="G54" s="83" t="str">
        <f t="shared" ca="1" si="17"/>
        <v>-</v>
      </c>
      <c r="H54" s="83" t="str">
        <f t="shared" ca="1" si="17"/>
        <v>-</v>
      </c>
      <c r="I54" s="84" t="str">
        <f t="shared" ca="1" si="17"/>
        <v>-</v>
      </c>
      <c r="J54" s="232"/>
      <c r="K54" s="85" t="str">
        <f t="shared" ca="1" si="17"/>
        <v>-</v>
      </c>
      <c r="L54" s="228"/>
      <c r="M54" s="228"/>
      <c r="N54" s="109" t="str">
        <f t="shared" ca="1" si="17"/>
        <v>-</v>
      </c>
      <c r="O54" s="109"/>
      <c r="P54" s="109" t="str">
        <f t="shared" ca="1" si="18"/>
        <v>-</v>
      </c>
      <c r="Q54" s="110"/>
      <c r="R54" s="109" t="str">
        <f t="shared" ca="1" si="19"/>
        <v>-</v>
      </c>
      <c r="S54" s="84" t="str">
        <f t="shared" ca="1" si="19"/>
        <v>-</v>
      </c>
      <c r="T54" s="84" t="str">
        <f t="shared" ca="1" si="20"/>
        <v>-</v>
      </c>
      <c r="U54" s="84" t="str">
        <f t="shared" ca="1" si="21"/>
        <v>-</v>
      </c>
      <c r="V54" s="89"/>
      <c r="W54" s="90" t="str">
        <f t="shared" ca="1" si="22"/>
        <v>-</v>
      </c>
      <c r="X54" s="91" t="str">
        <f t="shared" ca="1" si="16"/>
        <v>-</v>
      </c>
      <c r="Y54" s="92" t="str">
        <f ca="1">IFERROR(RANK(X54,$X$3:$X$60,0),"")</f>
        <v/>
      </c>
    </row>
    <row r="55" spans="1:25" ht="19.5" hidden="1" customHeight="1" thickTop="1">
      <c r="A55" s="7"/>
      <c r="B55" s="7"/>
      <c r="C55" s="81" t="str">
        <f t="shared" ca="1" si="17"/>
        <v>-</v>
      </c>
      <c r="D55" s="82" t="str">
        <f t="shared" ca="1" si="17"/>
        <v>-</v>
      </c>
      <c r="E55" s="83" t="str">
        <f t="shared" ca="1" si="17"/>
        <v>-</v>
      </c>
      <c r="F55" s="83" t="str">
        <f t="shared" ca="1" si="17"/>
        <v>-</v>
      </c>
      <c r="G55" s="83" t="str">
        <f t="shared" ca="1" si="17"/>
        <v>-</v>
      </c>
      <c r="H55" s="83" t="str">
        <f t="shared" ca="1" si="17"/>
        <v>-</v>
      </c>
      <c r="I55" s="84" t="str">
        <f t="shared" ca="1" si="17"/>
        <v>-</v>
      </c>
      <c r="J55" s="232"/>
      <c r="K55" s="132" t="str">
        <f t="shared" ca="1" si="17"/>
        <v>-</v>
      </c>
      <c r="L55" s="226"/>
      <c r="M55" s="226"/>
      <c r="N55" s="109" t="str">
        <f t="shared" ca="1" si="17"/>
        <v>-</v>
      </c>
      <c r="O55" s="109"/>
      <c r="P55" s="109" t="str">
        <f t="shared" ca="1" si="18"/>
        <v>-</v>
      </c>
      <c r="Q55" s="110"/>
      <c r="R55" s="109" t="str">
        <f t="shared" ca="1" si="19"/>
        <v>-</v>
      </c>
      <c r="S55" s="84" t="str">
        <f t="shared" ca="1" si="19"/>
        <v>-</v>
      </c>
      <c r="T55" s="84" t="str">
        <f t="shared" ca="1" si="20"/>
        <v>-</v>
      </c>
      <c r="U55" s="84" t="str">
        <f t="shared" ca="1" si="21"/>
        <v>-</v>
      </c>
      <c r="V55" s="89"/>
      <c r="W55" s="90" t="str">
        <f t="shared" ca="1" si="22"/>
        <v>-</v>
      </c>
      <c r="X55" s="91" t="str">
        <f t="shared" ca="1" si="16"/>
        <v>-</v>
      </c>
      <c r="Y55" s="92" t="str">
        <f t="shared" ca="1" si="4"/>
        <v/>
      </c>
    </row>
    <row r="56" spans="1:25" ht="19.5" hidden="1" customHeight="1" thickTop="1">
      <c r="A56" s="6"/>
      <c r="B56" s="6"/>
      <c r="C56" s="59" t="str">
        <f t="shared" ca="1" si="17"/>
        <v>-</v>
      </c>
      <c r="D56" s="60" t="str">
        <f t="shared" ca="1" si="17"/>
        <v>-</v>
      </c>
      <c r="E56" s="61" t="str">
        <f t="shared" ca="1" si="17"/>
        <v>-</v>
      </c>
      <c r="F56" s="61" t="str">
        <f t="shared" ca="1" si="17"/>
        <v>-</v>
      </c>
      <c r="G56" s="61" t="str">
        <f t="shared" ca="1" si="17"/>
        <v>-</v>
      </c>
      <c r="H56" s="61" t="str">
        <f t="shared" ca="1" si="17"/>
        <v>-</v>
      </c>
      <c r="I56" s="62" t="str">
        <f t="shared" ca="1" si="17"/>
        <v>-</v>
      </c>
      <c r="J56" s="231"/>
      <c r="K56" s="63" t="str">
        <f t="shared" ca="1" si="17"/>
        <v>-</v>
      </c>
      <c r="L56" s="227"/>
      <c r="M56" s="227"/>
      <c r="N56" s="94" t="str">
        <f t="shared" ca="1" si="17"/>
        <v>-</v>
      </c>
      <c r="O56" s="94"/>
      <c r="P56" s="94" t="str">
        <f t="shared" ca="1" si="18"/>
        <v>-</v>
      </c>
      <c r="Q56" s="117"/>
      <c r="R56" s="94" t="str">
        <f t="shared" ca="1" si="19"/>
        <v>-</v>
      </c>
      <c r="S56" s="62" t="str">
        <f t="shared" ca="1" si="19"/>
        <v>-</v>
      </c>
      <c r="T56" s="62" t="str">
        <f t="shared" ca="1" si="20"/>
        <v>-</v>
      </c>
      <c r="U56" s="62" t="str">
        <f t="shared" ca="1" si="21"/>
        <v>-</v>
      </c>
      <c r="V56" s="68"/>
      <c r="W56" s="69" t="str">
        <f t="shared" ca="1" si="22"/>
        <v>-</v>
      </c>
      <c r="X56" s="70" t="str">
        <f t="shared" ca="1" si="16"/>
        <v>-</v>
      </c>
      <c r="Y56" s="71" t="str">
        <f ca="1">IFERROR(RANK(X56,$X$3:$X$60,0),"")</f>
        <v/>
      </c>
    </row>
    <row r="57" spans="1:25" ht="19.5" hidden="1" customHeight="1" thickTop="1">
      <c r="A57" s="7"/>
      <c r="B57" s="7"/>
      <c r="C57" s="81" t="str">
        <f t="shared" ca="1" si="17"/>
        <v>-</v>
      </c>
      <c r="D57" s="82" t="str">
        <f t="shared" ca="1" si="17"/>
        <v>-</v>
      </c>
      <c r="E57" s="83" t="str">
        <f t="shared" ca="1" si="17"/>
        <v>-</v>
      </c>
      <c r="F57" s="83" t="str">
        <f t="shared" ca="1" si="17"/>
        <v>-</v>
      </c>
      <c r="G57" s="83" t="str">
        <f t="shared" ca="1" si="17"/>
        <v>-</v>
      </c>
      <c r="H57" s="83" t="str">
        <f t="shared" ca="1" si="17"/>
        <v>-</v>
      </c>
      <c r="I57" s="84" t="str">
        <f t="shared" ca="1" si="17"/>
        <v>-</v>
      </c>
      <c r="J57" s="232"/>
      <c r="K57" s="85" t="str">
        <f t="shared" ca="1" si="17"/>
        <v>-</v>
      </c>
      <c r="L57" s="228"/>
      <c r="M57" s="228"/>
      <c r="N57" s="109" t="str">
        <f t="shared" ca="1" si="17"/>
        <v>-</v>
      </c>
      <c r="O57" s="109"/>
      <c r="P57" s="109" t="str">
        <f t="shared" ca="1" si="18"/>
        <v>-</v>
      </c>
      <c r="Q57" s="110"/>
      <c r="R57" s="109" t="str">
        <f t="shared" ca="1" si="19"/>
        <v>-</v>
      </c>
      <c r="S57" s="84" t="str">
        <f t="shared" ca="1" si="19"/>
        <v>-</v>
      </c>
      <c r="T57" s="84" t="str">
        <f t="shared" ca="1" si="20"/>
        <v>-</v>
      </c>
      <c r="U57" s="84" t="str">
        <f t="shared" ca="1" si="21"/>
        <v>-</v>
      </c>
      <c r="V57" s="89"/>
      <c r="W57" s="90" t="str">
        <f t="shared" ca="1" si="22"/>
        <v>-</v>
      </c>
      <c r="X57" s="91" t="str">
        <f t="shared" ca="1" si="16"/>
        <v>-</v>
      </c>
      <c r="Y57" s="92" t="str">
        <f ca="1">IFERROR(RANK(X57,$X$3:$X$60,0),"")</f>
        <v/>
      </c>
    </row>
    <row r="58" spans="1:25" ht="19.5" hidden="1" customHeight="1" thickTop="1">
      <c r="A58" s="7"/>
      <c r="B58" s="7"/>
      <c r="C58" s="81" t="str">
        <f t="shared" ca="1" si="17"/>
        <v>-</v>
      </c>
      <c r="D58" s="82" t="str">
        <f t="shared" ca="1" si="17"/>
        <v>-</v>
      </c>
      <c r="E58" s="83" t="str">
        <f t="shared" ca="1" si="17"/>
        <v>-</v>
      </c>
      <c r="F58" s="83" t="str">
        <f t="shared" ca="1" si="17"/>
        <v>-</v>
      </c>
      <c r="G58" s="83" t="str">
        <f t="shared" ca="1" si="17"/>
        <v>-</v>
      </c>
      <c r="H58" s="83" t="str">
        <f t="shared" ca="1" si="17"/>
        <v>-</v>
      </c>
      <c r="I58" s="84" t="str">
        <f t="shared" ca="1" si="17"/>
        <v>-</v>
      </c>
      <c r="J58" s="232"/>
      <c r="K58" s="132" t="str">
        <f t="shared" ca="1" si="17"/>
        <v>-</v>
      </c>
      <c r="L58" s="226"/>
      <c r="M58" s="226"/>
      <c r="N58" s="109" t="str">
        <f t="shared" ca="1" si="17"/>
        <v>-</v>
      </c>
      <c r="O58" s="109"/>
      <c r="P58" s="109" t="str">
        <f t="shared" ca="1" si="18"/>
        <v>-</v>
      </c>
      <c r="Q58" s="110"/>
      <c r="R58" s="109" t="str">
        <f t="shared" ca="1" si="19"/>
        <v>-</v>
      </c>
      <c r="S58" s="84" t="str">
        <f t="shared" ca="1" si="19"/>
        <v>-</v>
      </c>
      <c r="T58" s="84" t="str">
        <f t="shared" ca="1" si="20"/>
        <v>-</v>
      </c>
      <c r="U58" s="84" t="str">
        <f t="shared" ca="1" si="21"/>
        <v>-</v>
      </c>
      <c r="V58" s="89"/>
      <c r="W58" s="90" t="str">
        <f t="shared" ca="1" si="22"/>
        <v>-</v>
      </c>
      <c r="X58" s="91" t="str">
        <f t="shared" ca="1" si="16"/>
        <v>-</v>
      </c>
      <c r="Y58" s="92" t="str">
        <f ca="1">IFERROR(RANK(X58,$X$3:$X$60,0),"")</f>
        <v/>
      </c>
    </row>
    <row r="59" spans="1:25" ht="19.5" hidden="1" customHeight="1" thickTop="1">
      <c r="A59" s="6"/>
      <c r="B59" s="6"/>
      <c r="C59" s="59" t="str">
        <f t="shared" ca="1" si="17"/>
        <v>-</v>
      </c>
      <c r="D59" s="60" t="str">
        <f t="shared" ca="1" si="17"/>
        <v>-</v>
      </c>
      <c r="E59" s="61" t="str">
        <f t="shared" ca="1" si="17"/>
        <v>-</v>
      </c>
      <c r="F59" s="61" t="str">
        <f t="shared" ca="1" si="17"/>
        <v>-</v>
      </c>
      <c r="G59" s="61" t="str">
        <f t="shared" ca="1" si="17"/>
        <v>-</v>
      </c>
      <c r="H59" s="61" t="str">
        <f t="shared" ca="1" si="17"/>
        <v>-</v>
      </c>
      <c r="I59" s="62" t="str">
        <f t="shared" ca="1" si="17"/>
        <v>-</v>
      </c>
      <c r="J59" s="231"/>
      <c r="K59" s="63" t="str">
        <f t="shared" ca="1" si="17"/>
        <v>-</v>
      </c>
      <c r="L59" s="227"/>
      <c r="M59" s="227"/>
      <c r="N59" s="94" t="str">
        <f t="shared" ca="1" si="17"/>
        <v>-</v>
      </c>
      <c r="O59" s="94"/>
      <c r="P59" s="94" t="str">
        <f t="shared" ca="1" si="18"/>
        <v>-</v>
      </c>
      <c r="Q59" s="117"/>
      <c r="R59" s="94" t="str">
        <f t="shared" ca="1" si="19"/>
        <v>-</v>
      </c>
      <c r="S59" s="62" t="str">
        <f t="shared" ca="1" si="19"/>
        <v>-</v>
      </c>
      <c r="T59" s="62" t="str">
        <f t="shared" ca="1" si="20"/>
        <v>-</v>
      </c>
      <c r="U59" s="62" t="str">
        <f t="shared" ca="1" si="21"/>
        <v>-</v>
      </c>
      <c r="V59" s="68"/>
      <c r="W59" s="69" t="str">
        <f t="shared" ca="1" si="22"/>
        <v>-</v>
      </c>
      <c r="X59" s="70" t="str">
        <f t="shared" ca="1" si="16"/>
        <v>-</v>
      </c>
      <c r="Y59" s="71" t="str">
        <f ca="1">IFERROR(RANK(X59,$X$3:$X$60,0),"")</f>
        <v/>
      </c>
    </row>
    <row r="60" spans="1:25" ht="19.5" hidden="1" customHeight="1" thickTop="1">
      <c r="A60" s="7"/>
      <c r="B60" s="7"/>
      <c r="C60" s="81" t="str">
        <f t="shared" ca="1" si="17"/>
        <v>-</v>
      </c>
      <c r="D60" s="82" t="str">
        <f t="shared" ca="1" si="17"/>
        <v>-</v>
      </c>
      <c r="E60" s="83" t="str">
        <f t="shared" ca="1" si="17"/>
        <v>-</v>
      </c>
      <c r="F60" s="83" t="str">
        <f t="shared" ca="1" si="17"/>
        <v>-</v>
      </c>
      <c r="G60" s="83" t="str">
        <f t="shared" ca="1" si="17"/>
        <v>-</v>
      </c>
      <c r="H60" s="83" t="str">
        <f t="shared" ca="1" si="17"/>
        <v>-</v>
      </c>
      <c r="I60" s="84" t="str">
        <f t="shared" ca="1" si="17"/>
        <v>-</v>
      </c>
      <c r="J60" s="232"/>
      <c r="K60" s="85" t="str">
        <f t="shared" ca="1" si="17"/>
        <v>-</v>
      </c>
      <c r="L60" s="228"/>
      <c r="M60" s="228"/>
      <c r="N60" s="109" t="str">
        <f t="shared" ca="1" si="17"/>
        <v>-</v>
      </c>
      <c r="O60" s="109"/>
      <c r="P60" s="109" t="str">
        <f t="shared" ca="1" si="18"/>
        <v>-</v>
      </c>
      <c r="Q60" s="110"/>
      <c r="R60" s="109" t="str">
        <f t="shared" ca="1" si="19"/>
        <v>-</v>
      </c>
      <c r="S60" s="84" t="str">
        <f t="shared" ca="1" si="19"/>
        <v>-</v>
      </c>
      <c r="T60" s="84" t="str">
        <f t="shared" ca="1" si="20"/>
        <v>-</v>
      </c>
      <c r="U60" s="84" t="str">
        <f t="shared" ca="1" si="21"/>
        <v>-</v>
      </c>
      <c r="V60" s="89"/>
      <c r="W60" s="90" t="str">
        <f t="shared" ca="1" si="22"/>
        <v>-</v>
      </c>
      <c r="X60" s="91" t="str">
        <f t="shared" ca="1" si="16"/>
        <v>-</v>
      </c>
      <c r="Y60" s="92" t="str">
        <f ca="1">IFERROR(RANK(X60,$X$3:$X$60,0),"")</f>
        <v/>
      </c>
    </row>
    <row r="61" spans="1:25" ht="19.5" customHeight="1" thickTop="1">
      <c r="A61" s="5" t="s">
        <v>108</v>
      </c>
      <c r="B61" s="5"/>
      <c r="C61" s="146">
        <f ca="1">IFERROR(AVERAGE(C3:C60),"-")</f>
        <v>48.998513147949225</v>
      </c>
      <c r="D61" s="147">
        <f ca="1">IFERROR(AVERAGE(D3:D60),"-")</f>
        <v>4.1406988166386673</v>
      </c>
      <c r="E61" s="148">
        <f t="shared" ref="E61:J61" ca="1" si="23">SUM(E3:E60)</f>
        <v>1</v>
      </c>
      <c r="F61" s="148">
        <f t="shared" ca="1" si="23"/>
        <v>0</v>
      </c>
      <c r="G61" s="148">
        <f t="shared" ca="1" si="23"/>
        <v>0</v>
      </c>
      <c r="H61" s="148">
        <f t="shared" ca="1" si="23"/>
        <v>93</v>
      </c>
      <c r="I61" s="148">
        <f t="shared" ca="1" si="23"/>
        <v>24207</v>
      </c>
      <c r="J61" s="229">
        <f t="shared" si="23"/>
        <v>780</v>
      </c>
      <c r="K61" s="149">
        <f ca="1">IFERROR(AVERAGE(K3:K60),"-")</f>
        <v>0.94634978481692045</v>
      </c>
      <c r="L61" s="229">
        <f>SUM(L3:L60)</f>
        <v>852</v>
      </c>
      <c r="M61" s="229">
        <f>SUM(M3:M60)</f>
        <v>5</v>
      </c>
      <c r="N61" s="148">
        <f ca="1">SUM(N3:N60)</f>
        <v>463</v>
      </c>
      <c r="O61" s="148">
        <f>SUM(O3:O60)</f>
        <v>20512</v>
      </c>
      <c r="P61" s="148">
        <f ca="1">SUM(P3:P60)</f>
        <v>1350</v>
      </c>
      <c r="Q61" s="148"/>
      <c r="R61" s="148">
        <f ca="1">SUM(R3:R60)</f>
        <v>5172</v>
      </c>
      <c r="S61" s="148">
        <f ca="1">SUM(S3:S60)</f>
        <v>16261031</v>
      </c>
      <c r="T61" s="148">
        <f ca="1">SUM(T3:T60)</f>
        <v>715260</v>
      </c>
      <c r="U61" s="148">
        <f ca="1">SUM(U3:U60)</f>
        <v>10743009.752000002</v>
      </c>
      <c r="V61" s="150">
        <f ca="1">U61/(S61+U61)</f>
        <v>0.39782971188133542</v>
      </c>
      <c r="W61" s="151">
        <f ca="1">SUM(W3:W60)</f>
        <v>27719300.751999997</v>
      </c>
      <c r="X61" s="152"/>
      <c r="Y61" s="153"/>
    </row>
  </sheetData>
  <mergeCells count="20">
    <mergeCell ref="A1:C1"/>
    <mergeCell ref="AS2:AU2"/>
    <mergeCell ref="AA12:AA13"/>
    <mergeCell ref="AB12:AB13"/>
    <mergeCell ref="AC12:AC13"/>
    <mergeCell ref="AD12:AD13"/>
    <mergeCell ref="AE12:AE13"/>
    <mergeCell ref="AF12:AF13"/>
    <mergeCell ref="AG12:AG13"/>
    <mergeCell ref="AH12:AH13"/>
    <mergeCell ref="AO12:AO13"/>
    <mergeCell ref="AP12:AP13"/>
    <mergeCell ref="AQ12:AQ13"/>
    <mergeCell ref="AR12:AR13"/>
    <mergeCell ref="AI12:AI13"/>
    <mergeCell ref="AJ12:AJ13"/>
    <mergeCell ref="AK12:AK13"/>
    <mergeCell ref="AL12:AL13"/>
    <mergeCell ref="AM12:AM13"/>
    <mergeCell ref="AN12:AN13"/>
  </mergeCells>
  <phoneticPr fontId="2"/>
  <conditionalFormatting sqref="D3:D61">
    <cfRule type="cellIs" dxfId="9" priority="2" operator="greaterThan">
      <formula>4.2</formula>
    </cfRule>
  </conditionalFormatting>
  <conditionalFormatting sqref="E3:H60">
    <cfRule type="cellIs" dxfId="8" priority="5" operator="greaterThan">
      <formula>0</formula>
    </cfRule>
  </conditionalFormatting>
  <conditionalFormatting sqref="M3:M60 K3:K61">
    <cfRule type="cellIs" dxfId="7" priority="3" operator="greaterThan">
      <formula>0.95</formula>
    </cfRule>
  </conditionalFormatting>
  <conditionalFormatting sqref="N3 N4:O45">
    <cfRule type="cellIs" dxfId="6" priority="1" operator="greaterThan">
      <formula>15</formula>
    </cfRule>
  </conditionalFormatting>
  <conditionalFormatting sqref="T3:T60">
    <cfRule type="cellIs" dxfId="5" priority="4" operator="greaterThan">
      <formula>0</formula>
    </cfRule>
  </conditionalFormatting>
  <conditionalFormatting sqref="W3:X60">
    <cfRule type="cellIs" dxfId="4" priority="9" operator="lessThan">
      <formula>700000</formula>
    </cfRule>
  </conditionalFormatting>
  <conditionalFormatting sqref="W3:X61">
    <cfRule type="cellIs" dxfId="3" priority="8" operator="greaterThan">
      <formula>700000</formula>
    </cfRule>
  </conditionalFormatting>
  <conditionalFormatting sqref="Y3:Y60">
    <cfRule type="colorScale" priority="13">
      <colorScale>
        <cfvo type="min"/>
        <cfvo type="max"/>
        <color rgb="FFFCFCFF"/>
        <color rgb="FFF8696B"/>
      </colorScale>
    </cfRule>
  </conditionalFormatting>
  <conditionalFormatting sqref="AE3:AH9 AE14:AH20">
    <cfRule type="cellIs" dxfId="2" priority="10" operator="greaterThan">
      <formula>0</formula>
    </cfRule>
  </conditionalFormatting>
  <conditionalFormatting sqref="AR3:AR9">
    <cfRule type="colorScale" priority="12">
      <colorScale>
        <cfvo type="min"/>
        <cfvo type="max"/>
        <color rgb="FFFCFCFF"/>
        <color rgb="FFF8696B"/>
      </colorScale>
    </cfRule>
  </conditionalFormatting>
  <conditionalFormatting sqref="AR14:AR20">
    <cfRule type="colorScale" priority="11">
      <colorScale>
        <cfvo type="min"/>
        <cfvo type="max"/>
        <color rgb="FFFCFCFF"/>
        <color rgb="FFF8696B"/>
      </colorScale>
    </cfRule>
  </conditionalFormatting>
  <conditionalFormatting sqref="AU3:AU45">
    <cfRule type="cellIs" dxfId="1" priority="6" operator="greaterThan">
      <formula>700000</formula>
    </cfRule>
    <cfRule type="cellIs" dxfId="0" priority="7" operator="lessThan">
      <formula>700000</formula>
    </cfRule>
  </conditionalFormatting>
  <printOptions horizontalCentered="1" verticalCentered="1"/>
  <pageMargins left="0.70866141732283472" right="0.70866141732283472" top="0.74803149606299213" bottom="0.74803149606299213" header="0.31496062992125984" footer="0.31496062992125984"/>
  <pageSetup paperSize="9" scale="38" orientation="landscape" horizontalDpi="4294967293"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参照セル一覧</vt:lpstr>
      <vt:lpstr>全施設サマリー</vt:lpstr>
      <vt:lpstr>宇都宮</vt:lpstr>
      <vt:lpstr>南中丸</vt:lpstr>
      <vt:lpstr>春日部</vt:lpstr>
      <vt:lpstr>上西郷</vt:lpstr>
      <vt:lpstr>気賀</vt:lpstr>
      <vt:lpstr>高丘</vt:lpstr>
      <vt:lpstr>萩丘ⅰ</vt:lpstr>
      <vt:lpstr>萩丘ⅱ</vt:lpstr>
      <vt:lpstr>西浅田</vt:lpstr>
      <vt:lpstr>3月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佐伯　 泰基</dc:creator>
  <cp:lastModifiedBy>慶太 高山</cp:lastModifiedBy>
  <cp:lastPrinted>2026-03-17T01:55:21Z</cp:lastPrinted>
  <dcterms:created xsi:type="dcterms:W3CDTF">2026-03-06T07:10:01Z</dcterms:created>
  <dcterms:modified xsi:type="dcterms:W3CDTF">2026-06-29T09:03:13Z</dcterms:modified>
</cp:coreProperties>
</file>