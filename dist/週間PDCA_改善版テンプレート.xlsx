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はじめに" sheetId="1" state="visible" r:id="rId1"/>
    <sheet name="01_施設マスタ" sheetId="2" state="visible" r:id="rId2"/>
    <sheet name="02_担当者マスタ" sheetId="3" state="visible" r:id="rId3"/>
    <sheet name="03_設定" sheetId="4" state="visible" r:id="rId4"/>
    <sheet name="04_課題管理表" sheetId="5" state="visible" r:id="rId5"/>
    <sheet name="05_週次KPIログ" sheetId="6" state="visible" r:id="rId6"/>
    <sheet name="06_ダッシュボード" sheetId="7" state="visible" r:id="rId7"/>
    <sheet name="07_改善提案一覧" sheetId="8" state="visible" r:id="rId8"/>
    <sheet name="08_運用ルール" sheetId="9" state="visible" r:id="rId9"/>
    <sheet name="09_リスト" sheetId="10" state="hidden" r:id="rId10"/>
  </sheets>
  <definedNames>
    <definedName name="施設名リスト">'01_施設マスタ'!$B$2:$B$41</definedName>
    <definedName name="担当者リスト">'02_担当者マスタ'!$A$2:$A$17</definedName>
    <definedName name="カテゴリリスト">'09_リスト'!$A$2:$A$8</definedName>
    <definedName name="ステータスリスト">'09_リスト'!$B$2:$B$6</definedName>
    <definedName name="週リスト">'09_リスト'!$C$2:$C$6</definedName>
    <definedName name="設定対象施設">'03_設定'!$B$5</definedName>
    <definedName name="設定対象年">'03_設定'!$B$7</definedName>
    <definedName name="設定対象月">'03_設定'!$B$9</definedName>
    <definedName name="_xlnm._FilterDatabase" localSheetId="1" hidden="1">'01_施設マスタ'!$A$1:$I$41</definedName>
    <definedName name="_xlnm._FilterDatabase" localSheetId="4" hidden="1">'04_課題管理表'!$A$1:$U$61</definedName>
    <definedName name="_xlnm._FilterDatabase" localSheetId="5" hidden="1">'05_週次KPIログ'!$A$1:$O$46</definedName>
    <definedName name="_xlnm._FilterDatabase" localSheetId="7" hidden="1">'07_改善提案一覧'!$A$1:$G$16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1F3864"/>
      <sz val="16"/>
    </font>
    <font>
      <color rgb="00404040"/>
    </font>
    <font>
      <b val="1"/>
      <color rgb="001F3864"/>
    </font>
    <font>
      <b val="1"/>
      <color rgb="00FFFFFF"/>
    </font>
    <font>
      <b val="1"/>
    </font>
    <font>
      <b val="1"/>
      <color rgb="001F3864"/>
      <sz val="14"/>
    </font>
    <font>
      <color rgb="00808080"/>
      <sz val="9"/>
    </font>
    <font>
      <b val="1"/>
      <color rgb="001F3864"/>
      <sz val="12"/>
    </font>
    <font>
      <b val="1"/>
      <color rgb="002E75B6"/>
      <sz val="12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3" fillId="2" borderId="1" pivotButton="0" quotePrefix="0" xfId="0"/>
    <xf numFmtId="0" fontId="8" fillId="0" borderId="0" pivotButton="0" quotePrefix="0" xfId="0"/>
    <xf numFmtId="0" fontId="0" fillId="4" borderId="1" pivotButton="0" quotePrefix="0" xfId="0"/>
    <xf numFmtId="0" fontId="5" fillId="5" borderId="1" pivotButton="0" quotePrefix="0" xfId="0"/>
    <xf numFmtId="0" fontId="0" fillId="0" borderId="1" pivotButton="0" quotePrefix="0" xfId="0"/>
    <xf numFmtId="0" fontId="7" fillId="0" borderId="0" pivotButton="0" quotePrefix="0" xfId="0"/>
    <xf numFmtId="164" fontId="0" fillId="4" borderId="1" pivotButton="0" quotePrefix="0" xfId="0"/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0" fontId="9" fillId="0" borderId="0" pivotButton="0" quotePrefix="0" xfId="0"/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2F2F2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1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96" customWidth="1" min="3" max="3"/>
  </cols>
  <sheetData>
    <row r="2">
      <c r="B2" s="1" t="inlineStr">
        <is>
          <t>週間PDCAシート 改善版テンプレート</t>
        </is>
      </c>
    </row>
    <row r="3">
      <c r="B3" s="2" t="inlineStr">
        <is>
          <t>既存PDCAシートの構造課題を解消し、施設担当一覧（40施設）をマスタとして内蔵した版です。</t>
        </is>
      </c>
    </row>
    <row r="5" ht="34" customHeight="1">
      <c r="B5" s="3" t="inlineStr">
        <is>
          <t>設計の狙い</t>
        </is>
      </c>
      <c r="C5" s="4" t="inlineStr">
        <is>
          <t>①1施設1ファイルの属人運用から、施設マスタ×週次ログの共通フォーマットへ。②文章だけのPDCAから、数値（目標／実績／達成率）で判定できるPDCAへ。</t>
        </is>
      </c>
    </row>
    <row r="6" ht="34" customHeight="1">
      <c r="B6" s="3" t="inlineStr">
        <is>
          <t>使う順番</t>
        </is>
      </c>
      <c r="C6" s="4" t="inlineStr">
        <is>
          <t>03_設定 で対象施設と対象月を選ぶ → 05_週次KPIログ に毎週の実績を入力 → 04_課題管理表 でP/D/C/Aと期限を管理 → 06_ダッシュボード で会議前に確認。</t>
        </is>
      </c>
    </row>
    <row r="7" ht="34" customHeight="1">
      <c r="B7" s="3" t="inlineStr">
        <is>
          <t>入力してよい欄</t>
        </is>
      </c>
      <c r="C7" s="4" t="inlineStr">
        <is>
          <t>黄色セルのみが入力欄です。白・グレーのセルは数式なので触らないでください。</t>
        </is>
      </c>
    </row>
    <row r="8" ht="34" customHeight="1">
      <c r="B8" s="3" t="inlineStr">
        <is>
          <t>施設・担当者の選択</t>
        </is>
      </c>
      <c r="C8" s="4" t="inlineStr">
        <is>
          <t>プルダウンは 01_施設マスタ / 02_担当者マスタ を参照しています。施設異動や担当変更はマスタ側だけを直せば全シートに反映されます。</t>
        </is>
      </c>
    </row>
    <row r="9" ht="34" customHeight="1">
      <c r="B9" s="3" t="inlineStr">
        <is>
          <t>週の定義</t>
        </is>
      </c>
      <c r="C9" s="4" t="inlineStr">
        <is>
          <t>03_設定 の「第1週の基準日」を入れると第2〜第5週は自動採番されます（旧シートの『+365日』方式は廃止）。</t>
        </is>
      </c>
    </row>
    <row r="10" ht="34" customHeight="1">
      <c r="B10" s="3" t="inlineStr">
        <is>
          <t>横展開</t>
        </is>
      </c>
      <c r="C10" s="4" t="inlineStr">
        <is>
          <t>05_週次KPIログ は施設名を持つ縦持ちデータなので、40施設分を1ファイルに束ねてもピボットで集計できます。</t>
        </is>
      </c>
    </row>
    <row r="11" ht="34" customHeight="1">
      <c r="B11" s="3" t="inlineStr">
        <is>
          <t>改善の根拠</t>
        </is>
      </c>
      <c r="C11" s="4" t="inlineStr">
        <is>
          <t>07_改善提案一覧 に、旧シートで検出した具体的な不具合と改善内容を記載しています。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14" customWidth="1" min="3" max="3"/>
    <col width="10" customWidth="1" min="4" max="4"/>
    <col width="10" customWidth="1" min="5" max="5"/>
    <col width="20" customWidth="1" min="6" max="6"/>
    <col width="16" customWidth="1" min="7" max="7"/>
    <col width="42" customWidth="1" min="8" max="8"/>
    <col width="10" customWidth="1" min="9" max="9"/>
  </cols>
  <sheetData>
    <row r="1">
      <c r="A1" s="5" t="inlineStr">
        <is>
          <t>施設ID</t>
        </is>
      </c>
      <c r="B1" s="5" t="inlineStr">
        <is>
          <t>施設名</t>
        </is>
      </c>
      <c r="C1" s="5" t="inlineStr">
        <is>
          <t>施設業種</t>
        </is>
      </c>
      <c r="D1" s="5" t="inlineStr">
        <is>
          <t>指定権者</t>
        </is>
      </c>
      <c r="E1" s="5" t="inlineStr">
        <is>
          <t>都道府県</t>
        </is>
      </c>
      <c r="F1" s="5" t="inlineStr">
        <is>
          <t>担当AM</t>
        </is>
      </c>
      <c r="G1" s="5" t="inlineStr">
        <is>
          <t>兼務・副担当</t>
        </is>
      </c>
      <c r="H1" s="5" t="inlineStr">
        <is>
          <t>住所</t>
        </is>
      </c>
      <c r="I1" s="5" t="inlineStr">
        <is>
          <t>PDCA対象</t>
        </is>
      </c>
    </row>
    <row r="2">
      <c r="A2" s="4" t="inlineStr">
        <is>
          <t>F001</t>
        </is>
      </c>
      <c r="B2" s="4" t="inlineStr">
        <is>
          <t>グループホームイノベル信中島</t>
        </is>
      </c>
      <c r="C2" s="4" t="inlineStr">
        <is>
          <t>GH（日）</t>
        </is>
      </c>
      <c r="D2" s="4" t="inlineStr">
        <is>
          <t>一宮市</t>
        </is>
      </c>
      <c r="E2" s="4" t="inlineStr">
        <is>
          <t>愛知県</t>
        </is>
      </c>
      <c r="F2" s="4" t="inlineStr">
        <is>
          <t>東 将学</t>
        </is>
      </c>
      <c r="G2" s="4" t="inlineStr">
        <is>
          <t>尾方 範夫</t>
        </is>
      </c>
      <c r="H2" s="4" t="inlineStr">
        <is>
          <t>愛知県一宮市小信中島字西九反15-4</t>
        </is>
      </c>
      <c r="I2" s="4" t="inlineStr">
        <is>
          <t>対象</t>
        </is>
      </c>
    </row>
    <row r="3">
      <c r="A3" s="4" t="inlineStr">
        <is>
          <t>F002</t>
        </is>
      </c>
      <c r="B3" s="4" t="inlineStr">
        <is>
          <t>グループホームイノベル香江</t>
        </is>
      </c>
      <c r="C3" s="4" t="inlineStr">
        <is>
          <t>GH（日）</t>
        </is>
      </c>
      <c r="D3" s="4" t="inlineStr">
        <is>
          <t>岐阜市</t>
        </is>
      </c>
      <c r="E3" s="4" t="inlineStr">
        <is>
          <t>岐阜県</t>
        </is>
      </c>
      <c r="F3" s="4" t="inlineStr">
        <is>
          <t>小澤 雄太</t>
        </is>
      </c>
      <c r="G3" s="4" t="inlineStr"/>
      <c r="H3" s="4" t="inlineStr">
        <is>
          <t>岐阜県岐阜市春近古市場北156-1</t>
        </is>
      </c>
      <c r="I3" s="4" t="inlineStr">
        <is>
          <t>対象</t>
        </is>
      </c>
    </row>
    <row r="4">
      <c r="A4" s="4" t="inlineStr">
        <is>
          <t>F003</t>
        </is>
      </c>
      <c r="B4" s="4" t="inlineStr">
        <is>
          <t>グループホームイノベル鳥田</t>
        </is>
      </c>
      <c r="C4" s="4" t="inlineStr">
        <is>
          <t>GH（日）</t>
        </is>
      </c>
      <c r="D4" s="4" t="inlineStr">
        <is>
          <t>岐阜市</t>
        </is>
      </c>
      <c r="E4" s="4" t="inlineStr">
        <is>
          <t>岐阜県</t>
        </is>
      </c>
      <c r="F4" s="4" t="inlineStr">
        <is>
          <t>小澤 雄太</t>
        </is>
      </c>
      <c r="G4" s="4" t="inlineStr"/>
      <c r="H4" s="4" t="inlineStr">
        <is>
          <t>岐阜県岐阜市島田1丁目7番9</t>
        </is>
      </c>
      <c r="I4" s="4" t="inlineStr">
        <is>
          <t>対象</t>
        </is>
      </c>
    </row>
    <row r="5">
      <c r="A5" s="4" t="inlineStr">
        <is>
          <t>F004</t>
        </is>
      </c>
      <c r="B5" s="4" t="inlineStr">
        <is>
          <t>グループホームイノベル磐田</t>
        </is>
      </c>
      <c r="C5" s="4" t="inlineStr">
        <is>
          <t>GH（日）</t>
        </is>
      </c>
      <c r="D5" s="4" t="inlineStr">
        <is>
          <t>静岡県</t>
        </is>
      </c>
      <c r="E5" s="4" t="inlineStr">
        <is>
          <t>静岡県</t>
        </is>
      </c>
      <c r="F5" s="4" t="inlineStr">
        <is>
          <t>曽根 正</t>
        </is>
      </c>
      <c r="G5" s="4" t="inlineStr"/>
      <c r="H5" s="4" t="inlineStr">
        <is>
          <t>静岡県磐田市豊島1428-1</t>
        </is>
      </c>
      <c r="I5" s="4" t="inlineStr">
        <is>
          <t>対象</t>
        </is>
      </c>
    </row>
    <row r="6">
      <c r="A6" s="4" t="inlineStr">
        <is>
          <t>F005</t>
        </is>
      </c>
      <c r="B6" s="4" t="inlineStr">
        <is>
          <t>グループホームイノベル御殿場</t>
        </is>
      </c>
      <c r="C6" s="4" t="inlineStr">
        <is>
          <t>GH（日）</t>
        </is>
      </c>
      <c r="D6" s="4" t="inlineStr">
        <is>
          <t>静岡県</t>
        </is>
      </c>
      <c r="E6" s="4" t="inlineStr">
        <is>
          <t>静岡県</t>
        </is>
      </c>
      <c r="F6" s="4" t="inlineStr">
        <is>
          <t>曽根 正</t>
        </is>
      </c>
      <c r="G6" s="4" t="inlineStr"/>
      <c r="H6" s="4" t="inlineStr">
        <is>
          <t>静岡県御殿場市茱萸沢1350-1</t>
        </is>
      </c>
      <c r="I6" s="4" t="inlineStr">
        <is>
          <t>対象</t>
        </is>
      </c>
    </row>
    <row r="7">
      <c r="A7" s="4" t="inlineStr">
        <is>
          <t>F006</t>
        </is>
      </c>
      <c r="B7" s="4" t="inlineStr">
        <is>
          <t>グループホームイノベル富士川成新町</t>
        </is>
      </c>
      <c r="C7" s="4" t="inlineStr">
        <is>
          <t>GH（日）</t>
        </is>
      </c>
      <c r="D7" s="4" t="inlineStr">
        <is>
          <t>静岡県</t>
        </is>
      </c>
      <c r="E7" s="4" t="inlineStr">
        <is>
          <t>静岡県</t>
        </is>
      </c>
      <c r="F7" s="4" t="inlineStr">
        <is>
          <t>本館 治</t>
        </is>
      </c>
      <c r="G7" s="4" t="inlineStr"/>
      <c r="H7" s="4" t="inlineStr">
        <is>
          <t>静岡県富士市川成新町214-2</t>
        </is>
      </c>
      <c r="I7" s="4" t="inlineStr">
        <is>
          <t>対象</t>
        </is>
      </c>
    </row>
    <row r="8">
      <c r="A8" s="4" t="inlineStr">
        <is>
          <t>F007</t>
        </is>
      </c>
      <c r="B8" s="4" t="inlineStr">
        <is>
          <t>グループホームイノベル焼津</t>
        </is>
      </c>
      <c r="C8" s="4" t="inlineStr">
        <is>
          <t>GH（日）</t>
        </is>
      </c>
      <c r="D8" s="4" t="inlineStr">
        <is>
          <t>静岡県</t>
        </is>
      </c>
      <c r="E8" s="4" t="inlineStr">
        <is>
          <t>静岡県</t>
        </is>
      </c>
      <c r="F8" s="4" t="inlineStr">
        <is>
          <t>曽根 正</t>
        </is>
      </c>
      <c r="G8" s="4" t="inlineStr"/>
      <c r="H8" s="4" t="inlineStr">
        <is>
          <t>静岡県焼津市塩津103-1</t>
        </is>
      </c>
      <c r="I8" s="4" t="inlineStr">
        <is>
          <t>対象</t>
        </is>
      </c>
    </row>
    <row r="9">
      <c r="A9" s="4" t="inlineStr">
        <is>
          <t>F008</t>
        </is>
      </c>
      <c r="B9" s="4" t="inlineStr">
        <is>
          <t>グループホームイノベル駿河丸子</t>
        </is>
      </c>
      <c r="C9" s="4" t="inlineStr">
        <is>
          <t>GH（日）</t>
        </is>
      </c>
      <c r="D9" s="4" t="inlineStr">
        <is>
          <t>静岡県</t>
        </is>
      </c>
      <c r="E9" s="4" t="inlineStr">
        <is>
          <t>静岡県</t>
        </is>
      </c>
      <c r="F9" s="4" t="inlineStr">
        <is>
          <t>平山 修司</t>
        </is>
      </c>
      <c r="G9" s="4" t="inlineStr">
        <is>
          <t>本館 治</t>
        </is>
      </c>
      <c r="H9" s="4" t="inlineStr">
        <is>
          <t>静岡県静岡市駿河区丸子6丁目6番56号</t>
        </is>
      </c>
      <c r="I9" s="4" t="inlineStr">
        <is>
          <t>対象</t>
        </is>
      </c>
    </row>
    <row r="10">
      <c r="A10" s="4" t="inlineStr">
        <is>
          <t>F009</t>
        </is>
      </c>
      <c r="B10" s="4" t="inlineStr">
        <is>
          <t>グループホームイノベル沼津西沢田</t>
        </is>
      </c>
      <c r="C10" s="4" t="inlineStr">
        <is>
          <t>GH（日）</t>
        </is>
      </c>
      <c r="D10" s="4" t="inlineStr">
        <is>
          <t>静岡県</t>
        </is>
      </c>
      <c r="E10" s="4" t="inlineStr">
        <is>
          <t>静岡県</t>
        </is>
      </c>
      <c r="F10" s="4" t="inlineStr">
        <is>
          <t>平山 修司</t>
        </is>
      </c>
      <c r="G10" s="4" t="inlineStr">
        <is>
          <t>本館 治</t>
        </is>
      </c>
      <c r="H10" s="4" t="inlineStr">
        <is>
          <t>静岡県沼津市西沢田字中村726-7</t>
        </is>
      </c>
      <c r="I10" s="4" t="inlineStr">
        <is>
          <t>対象</t>
        </is>
      </c>
    </row>
    <row r="11">
      <c r="A11" s="4" t="inlineStr">
        <is>
          <t>F010</t>
        </is>
      </c>
      <c r="B11" s="4" t="inlineStr">
        <is>
          <t>グループホームイノベル富士宮</t>
        </is>
      </c>
      <c r="C11" s="4" t="inlineStr">
        <is>
          <t>GH（日）</t>
        </is>
      </c>
      <c r="D11" s="4" t="inlineStr">
        <is>
          <t>静岡県</t>
        </is>
      </c>
      <c r="E11" s="4" t="inlineStr">
        <is>
          <t>静岡県</t>
        </is>
      </c>
      <c r="F11" s="4" t="inlineStr">
        <is>
          <t>平山 修司</t>
        </is>
      </c>
      <c r="G11" s="4" t="inlineStr">
        <is>
          <t>本館 治</t>
        </is>
      </c>
      <c r="H11" s="4" t="inlineStr">
        <is>
          <t>静岡県富士宮市西小泉町59-2</t>
        </is>
      </c>
      <c r="I11" s="4" t="inlineStr">
        <is>
          <t>対象</t>
        </is>
      </c>
    </row>
    <row r="12">
      <c r="A12" s="4" t="inlineStr">
        <is>
          <t>F011</t>
        </is>
      </c>
      <c r="B12" s="4" t="inlineStr">
        <is>
          <t>グループホームイノベル富士松岡</t>
        </is>
      </c>
      <c r="C12" s="4" t="inlineStr">
        <is>
          <t>GH（日）</t>
        </is>
      </c>
      <c r="D12" s="4" t="inlineStr">
        <is>
          <t>静岡県</t>
        </is>
      </c>
      <c r="E12" s="4" t="inlineStr">
        <is>
          <t>静岡県</t>
        </is>
      </c>
      <c r="F12" s="4" t="inlineStr">
        <is>
          <t>本館 治</t>
        </is>
      </c>
      <c r="G12" s="4" t="inlineStr"/>
      <c r="H12" s="4" t="inlineStr">
        <is>
          <t>静岡県富士市松岡420-2</t>
        </is>
      </c>
      <c r="I12" s="4" t="inlineStr">
        <is>
          <t>対象</t>
        </is>
      </c>
    </row>
    <row r="13">
      <c r="A13" s="4" t="inlineStr">
        <is>
          <t>F012</t>
        </is>
      </c>
      <c r="B13" s="4" t="inlineStr">
        <is>
          <t>グループホームイノベル那須塩原</t>
        </is>
      </c>
      <c r="C13" s="4" t="inlineStr">
        <is>
          <t>GH（日）</t>
        </is>
      </c>
      <c r="D13" s="4" t="inlineStr">
        <is>
          <t>栃木県</t>
        </is>
      </c>
      <c r="E13" s="4" t="inlineStr">
        <is>
          <t>栃木県</t>
        </is>
      </c>
      <c r="F13" s="4" t="inlineStr">
        <is>
          <t>吉川 容代子</t>
        </is>
      </c>
      <c r="G13" s="4" t="inlineStr">
        <is>
          <t>増田 隆</t>
        </is>
      </c>
      <c r="H13" s="4" t="inlineStr">
        <is>
          <t>栃木県那須塩原市材木町233-1</t>
        </is>
      </c>
      <c r="I13" s="4" t="inlineStr">
        <is>
          <t>対象</t>
        </is>
      </c>
    </row>
    <row r="14">
      <c r="A14" s="4" t="inlineStr">
        <is>
          <t>F013</t>
        </is>
      </c>
      <c r="B14" s="4" t="inlineStr">
        <is>
          <t>グループホームイノベル佐野</t>
        </is>
      </c>
      <c r="C14" s="4" t="inlineStr">
        <is>
          <t>GH（日）</t>
        </is>
      </c>
      <c r="D14" s="4" t="inlineStr">
        <is>
          <t>栃木県</t>
        </is>
      </c>
      <c r="E14" s="4" t="inlineStr">
        <is>
          <t>栃木県</t>
        </is>
      </c>
      <c r="F14" s="4" t="inlineStr">
        <is>
          <t>吉川 容代子</t>
        </is>
      </c>
      <c r="G14" s="4" t="inlineStr">
        <is>
          <t>増田 隆</t>
        </is>
      </c>
      <c r="H14" s="4" t="inlineStr">
        <is>
          <t>栃木県佐野市栃本町2203-4</t>
        </is>
      </c>
      <c r="I14" s="4" t="inlineStr">
        <is>
          <t>対象</t>
        </is>
      </c>
    </row>
    <row r="15">
      <c r="A15" s="4" t="inlineStr">
        <is>
          <t>F014</t>
        </is>
      </c>
      <c r="B15" s="4" t="inlineStr">
        <is>
          <t>グループホームイノベル鹿沼</t>
        </is>
      </c>
      <c r="C15" s="4" t="inlineStr">
        <is>
          <t>GH（日）</t>
        </is>
      </c>
      <c r="D15" s="4" t="inlineStr">
        <is>
          <t>栃木県</t>
        </is>
      </c>
      <c r="E15" s="4" t="inlineStr">
        <is>
          <t>栃木県</t>
        </is>
      </c>
      <c r="F15" s="4" t="inlineStr">
        <is>
          <t>鈴木 豊大</t>
        </is>
      </c>
      <c r="G15" s="4" t="inlineStr"/>
      <c r="H15" s="4" t="inlineStr">
        <is>
          <t>栃木県鹿沼市千渡1890</t>
        </is>
      </c>
      <c r="I15" s="4" t="inlineStr">
        <is>
          <t>対象</t>
        </is>
      </c>
    </row>
    <row r="16">
      <c r="A16" s="4" t="inlineStr">
        <is>
          <t>F015</t>
        </is>
      </c>
      <c r="B16" s="4" t="inlineStr">
        <is>
          <t>グループホームイノベル足利</t>
        </is>
      </c>
      <c r="C16" s="4" t="inlineStr">
        <is>
          <t>GH（日）</t>
        </is>
      </c>
      <c r="D16" s="4" t="inlineStr">
        <is>
          <t>栃木県</t>
        </is>
      </c>
      <c r="E16" s="4" t="inlineStr">
        <is>
          <t>栃木県</t>
        </is>
      </c>
      <c r="F16" s="4" t="inlineStr">
        <is>
          <t>嶋山 貴之</t>
        </is>
      </c>
      <c r="G16" s="4" t="inlineStr"/>
      <c r="H16" s="4" t="inlineStr">
        <is>
          <t>栃木県足利市福居町2272-3</t>
        </is>
      </c>
      <c r="I16" s="4" t="inlineStr">
        <is>
          <t>対象</t>
        </is>
      </c>
    </row>
    <row r="17">
      <c r="A17" s="4" t="inlineStr">
        <is>
          <t>F016</t>
        </is>
      </c>
      <c r="B17" s="4" t="inlineStr">
        <is>
          <t>グループホームイノベル我孫子</t>
        </is>
      </c>
      <c r="C17" s="4" t="inlineStr">
        <is>
          <t>GH（日）</t>
        </is>
      </c>
      <c r="D17" s="4" t="inlineStr">
        <is>
          <t>我孫子市</t>
        </is>
      </c>
      <c r="E17" s="4" t="inlineStr">
        <is>
          <t>千葉県</t>
        </is>
      </c>
      <c r="F17" s="4" t="inlineStr">
        <is>
          <t>皆川 頼鷹</t>
        </is>
      </c>
      <c r="G17" s="4" t="inlineStr"/>
      <c r="H17" s="4" t="inlineStr">
        <is>
          <t>千葉県我孫子市高野山304-1</t>
        </is>
      </c>
      <c r="I17" s="4" t="inlineStr">
        <is>
          <t>対象</t>
        </is>
      </c>
    </row>
    <row r="18">
      <c r="A18" s="4" t="inlineStr">
        <is>
          <t>F017</t>
        </is>
      </c>
      <c r="B18" s="4" t="inlineStr">
        <is>
          <t>グループホームイノベル東金</t>
        </is>
      </c>
      <c r="C18" s="4" t="inlineStr">
        <is>
          <t>GH（日）</t>
        </is>
      </c>
      <c r="D18" s="4" t="inlineStr">
        <is>
          <t>千葉県</t>
        </is>
      </c>
      <c r="E18" s="4" t="inlineStr">
        <is>
          <t>千葉県</t>
        </is>
      </c>
      <c r="F18" s="4" t="inlineStr">
        <is>
          <t>皆川 頼鷹</t>
        </is>
      </c>
      <c r="G18" s="4" t="inlineStr"/>
      <c r="H18" s="4" t="inlineStr">
        <is>
          <t>千葉県東金市北之幸谷79-1</t>
        </is>
      </c>
      <c r="I18" s="4" t="inlineStr">
        <is>
          <t>対象</t>
        </is>
      </c>
    </row>
    <row r="19">
      <c r="A19" s="4" t="inlineStr">
        <is>
          <t>F018</t>
        </is>
      </c>
      <c r="B19" s="4" t="inlineStr">
        <is>
          <t>グループホームイノベル君津外箕輪</t>
        </is>
      </c>
      <c r="C19" s="4" t="inlineStr">
        <is>
          <t>GH（日）</t>
        </is>
      </c>
      <c r="D19" s="4" t="inlineStr">
        <is>
          <t>千葉県</t>
        </is>
      </c>
      <c r="E19" s="4" t="inlineStr">
        <is>
          <t>千葉県</t>
        </is>
      </c>
      <c r="F19" s="4" t="inlineStr">
        <is>
          <t>尾崎 豊光</t>
        </is>
      </c>
      <c r="G19" s="4" t="inlineStr"/>
      <c r="H19" s="4" t="inlineStr">
        <is>
          <t>千葉県君津市外箕輪字林前297番</t>
        </is>
      </c>
      <c r="I19" s="4" t="inlineStr">
        <is>
          <t>対象</t>
        </is>
      </c>
    </row>
    <row r="20">
      <c r="A20" s="4" t="inlineStr">
        <is>
          <t>F019</t>
        </is>
      </c>
      <c r="B20" s="4" t="inlineStr">
        <is>
          <t>グループホームイノベル佐倉</t>
        </is>
      </c>
      <c r="C20" s="4" t="inlineStr">
        <is>
          <t>GH（日）</t>
        </is>
      </c>
      <c r="D20" s="4" t="inlineStr">
        <is>
          <t>千葉県</t>
        </is>
      </c>
      <c r="E20" s="4" t="inlineStr">
        <is>
          <t>千葉県</t>
        </is>
      </c>
      <c r="F20" s="4" t="inlineStr">
        <is>
          <t>太田 輝</t>
        </is>
      </c>
      <c r="G20" s="4" t="inlineStr"/>
      <c r="H20" s="4" t="inlineStr">
        <is>
          <t>千葉県佐倉市上志津966-2</t>
        </is>
      </c>
      <c r="I20" s="4" t="inlineStr">
        <is>
          <t>対象</t>
        </is>
      </c>
    </row>
    <row r="21">
      <c r="A21" s="4" t="inlineStr">
        <is>
          <t>F020</t>
        </is>
      </c>
      <c r="B21" s="4" t="inlineStr">
        <is>
          <t>グループホームイノベル四街道</t>
        </is>
      </c>
      <c r="C21" s="4" t="inlineStr">
        <is>
          <t>GH（日）</t>
        </is>
      </c>
      <c r="D21" s="4" t="inlineStr">
        <is>
          <t>千葉県</t>
        </is>
      </c>
      <c r="E21" s="4" t="inlineStr">
        <is>
          <t>千葉県</t>
        </is>
      </c>
      <c r="F21" s="4" t="inlineStr">
        <is>
          <t>太田 輝</t>
        </is>
      </c>
      <c r="G21" s="4" t="inlineStr"/>
      <c r="H21" s="4" t="inlineStr">
        <is>
          <t>千葉県四街道市たかおの杜12-18</t>
        </is>
      </c>
      <c r="I21" s="4" t="inlineStr">
        <is>
          <t>対象</t>
        </is>
      </c>
    </row>
    <row r="22">
      <c r="A22" s="4" t="inlineStr">
        <is>
          <t>F021</t>
        </is>
      </c>
      <c r="B22" s="4" t="inlineStr">
        <is>
          <t>グループホームイノベル市原菊間</t>
        </is>
      </c>
      <c r="C22" s="4" t="inlineStr">
        <is>
          <t>GH（日）</t>
        </is>
      </c>
      <c r="D22" s="4" t="inlineStr">
        <is>
          <t>千葉県</t>
        </is>
      </c>
      <c r="E22" s="4" t="inlineStr">
        <is>
          <t>千葉県</t>
        </is>
      </c>
      <c r="F22" s="4" t="inlineStr">
        <is>
          <t>太田 輝</t>
        </is>
      </c>
      <c r="G22" s="4" t="inlineStr"/>
      <c r="H22" s="4" t="inlineStr">
        <is>
          <t>千葉県市原市菊間2389-1</t>
        </is>
      </c>
      <c r="I22" s="4" t="inlineStr">
        <is>
          <t>対象</t>
        </is>
      </c>
    </row>
    <row r="23">
      <c r="A23" s="4" t="inlineStr">
        <is>
          <t>F022</t>
        </is>
      </c>
      <c r="B23" s="4" t="inlineStr">
        <is>
          <t>グループホームイノベル松戸</t>
        </is>
      </c>
      <c r="C23" s="4" t="inlineStr">
        <is>
          <t>GH（日）</t>
        </is>
      </c>
      <c r="D23" s="4" t="inlineStr">
        <is>
          <t>千葉県</t>
        </is>
      </c>
      <c r="E23" s="4" t="inlineStr">
        <is>
          <t>千葉県</t>
        </is>
      </c>
      <c r="F23" s="4" t="inlineStr">
        <is>
          <t>尾崎 豊光</t>
        </is>
      </c>
      <c r="G23" s="4" t="inlineStr"/>
      <c r="H23" s="4" t="inlineStr">
        <is>
          <t>千葉県松戸市和名ケ谷102-4</t>
        </is>
      </c>
      <c r="I23" s="4" t="inlineStr">
        <is>
          <t>対象</t>
        </is>
      </c>
    </row>
    <row r="24">
      <c r="A24" s="4" t="inlineStr">
        <is>
          <t>F023</t>
        </is>
      </c>
      <c r="B24" s="4" t="inlineStr">
        <is>
          <t>グループホームイノベル八千代島田台</t>
        </is>
      </c>
      <c r="C24" s="4" t="inlineStr">
        <is>
          <t>GH（日）</t>
        </is>
      </c>
      <c r="D24" s="4" t="inlineStr">
        <is>
          <t>千葉県</t>
        </is>
      </c>
      <c r="E24" s="4" t="inlineStr">
        <is>
          <t>千葉県</t>
        </is>
      </c>
      <c r="F24" s="4" t="inlineStr">
        <is>
          <t>太田 輝</t>
        </is>
      </c>
      <c r="G24" s="4" t="inlineStr"/>
      <c r="H24" s="4" t="inlineStr">
        <is>
          <t>千葉県八千代市島田台1190-14</t>
        </is>
      </c>
      <c r="I24" s="4" t="inlineStr">
        <is>
          <t>対象</t>
        </is>
      </c>
    </row>
    <row r="25">
      <c r="A25" s="4" t="inlineStr">
        <is>
          <t>F024</t>
        </is>
      </c>
      <c r="B25" s="4" t="inlineStr">
        <is>
          <t>グループホームイノベル木更津貝渕</t>
        </is>
      </c>
      <c r="C25" s="4" t="inlineStr">
        <is>
          <t>GH（日）</t>
        </is>
      </c>
      <c r="D25" s="4" t="inlineStr">
        <is>
          <t>千葉県</t>
        </is>
      </c>
      <c r="E25" s="4" t="inlineStr">
        <is>
          <t>千葉県</t>
        </is>
      </c>
      <c r="F25" s="4" t="inlineStr">
        <is>
          <t>太田 輝</t>
        </is>
      </c>
      <c r="G25" s="4" t="inlineStr"/>
      <c r="H25" s="4" t="inlineStr">
        <is>
          <t>千葉県木更津市貝渕4-16-22</t>
        </is>
      </c>
      <c r="I25" s="4" t="inlineStr">
        <is>
          <t>対象</t>
        </is>
      </c>
    </row>
    <row r="26">
      <c r="A26" s="4" t="inlineStr">
        <is>
          <t>F025</t>
        </is>
      </c>
      <c r="B26" s="4" t="inlineStr">
        <is>
          <t>グループホームイノベル木更津桜井新町</t>
        </is>
      </c>
      <c r="C26" s="4" t="inlineStr">
        <is>
          <t>GH（日）</t>
        </is>
      </c>
      <c r="D26" s="4" t="inlineStr">
        <is>
          <t>千葉県</t>
        </is>
      </c>
      <c r="E26" s="4" t="inlineStr">
        <is>
          <t>千葉県</t>
        </is>
      </c>
      <c r="F26" s="4" t="inlineStr">
        <is>
          <t>太田 輝</t>
        </is>
      </c>
      <c r="G26" s="4" t="inlineStr"/>
      <c r="H26" s="4" t="inlineStr">
        <is>
          <t>千葉県木更津市桜井新町1-2-1</t>
        </is>
      </c>
      <c r="I26" s="4" t="inlineStr">
        <is>
          <t>対象</t>
        </is>
      </c>
    </row>
    <row r="27">
      <c r="A27" s="4" t="inlineStr">
        <is>
          <t>F026</t>
        </is>
      </c>
      <c r="B27" s="4" t="inlineStr">
        <is>
          <t>グループホームイノベル野田上花輪</t>
        </is>
      </c>
      <c r="C27" s="4" t="inlineStr">
        <is>
          <t>GH（日）</t>
        </is>
      </c>
      <c r="D27" s="4" t="inlineStr">
        <is>
          <t>千葉県</t>
        </is>
      </c>
      <c r="E27" s="4" t="inlineStr">
        <is>
          <t>千葉県</t>
        </is>
      </c>
      <c r="F27" s="4" t="inlineStr">
        <is>
          <t>尾崎 豊光</t>
        </is>
      </c>
      <c r="G27" s="4" t="inlineStr"/>
      <c r="H27" s="4" t="inlineStr">
        <is>
          <t>千葉県野田市上花輪新町38-1</t>
        </is>
      </c>
      <c r="I27" s="4" t="inlineStr">
        <is>
          <t>対象</t>
        </is>
      </c>
    </row>
    <row r="28">
      <c r="A28" s="4" t="inlineStr">
        <is>
          <t>F027</t>
        </is>
      </c>
      <c r="B28" s="4" t="inlineStr">
        <is>
          <t>グループホームイノベル野田尾崎</t>
        </is>
      </c>
      <c r="C28" s="4" t="inlineStr">
        <is>
          <t>GH（日）</t>
        </is>
      </c>
      <c r="D28" s="4" t="inlineStr">
        <is>
          <t>千葉県</t>
        </is>
      </c>
      <c r="E28" s="4" t="inlineStr">
        <is>
          <t>千葉県</t>
        </is>
      </c>
      <c r="F28" s="4" t="inlineStr">
        <is>
          <t>尾崎 豊光</t>
        </is>
      </c>
      <c r="G28" s="4" t="inlineStr"/>
      <c r="H28" s="4" t="inlineStr">
        <is>
          <t>千葉県野田市尾崎102-2</t>
        </is>
      </c>
      <c r="I28" s="4" t="inlineStr">
        <is>
          <t>対象</t>
        </is>
      </c>
    </row>
    <row r="29">
      <c r="A29" s="4" t="inlineStr">
        <is>
          <t>F028</t>
        </is>
      </c>
      <c r="B29" s="4" t="inlineStr">
        <is>
          <t>グループホームイノベル習志野実籾</t>
        </is>
      </c>
      <c r="C29" s="4" t="inlineStr">
        <is>
          <t>GH（日）</t>
        </is>
      </c>
      <c r="D29" s="4" t="inlineStr">
        <is>
          <t>千葉県</t>
        </is>
      </c>
      <c r="E29" s="4" t="inlineStr">
        <is>
          <t>千葉県</t>
        </is>
      </c>
      <c r="F29" s="4" t="inlineStr">
        <is>
          <t>林 本磨人</t>
        </is>
      </c>
      <c r="G29" s="4" t="inlineStr"/>
      <c r="H29" s="4" t="inlineStr">
        <is>
          <t>千葉県習志野市実籾3-17-1</t>
        </is>
      </c>
      <c r="I29" s="4" t="inlineStr">
        <is>
          <t>対象</t>
        </is>
      </c>
    </row>
    <row r="30">
      <c r="A30" s="4" t="inlineStr">
        <is>
          <t>F029</t>
        </is>
      </c>
      <c r="B30" s="4" t="inlineStr">
        <is>
          <t>グループホームイノベル花見川</t>
        </is>
      </c>
      <c r="C30" s="4" t="inlineStr">
        <is>
          <t>GH（日）</t>
        </is>
      </c>
      <c r="D30" s="4" t="inlineStr">
        <is>
          <t>千葉市</t>
        </is>
      </c>
      <c r="E30" s="4" t="inlineStr">
        <is>
          <t>千葉県</t>
        </is>
      </c>
      <c r="F30" s="4" t="inlineStr">
        <is>
          <t>尾崎 豊光</t>
        </is>
      </c>
      <c r="G30" s="4" t="inlineStr"/>
      <c r="H30" s="4" t="inlineStr">
        <is>
          <t>千葉県千葉市花見川区長作町899</t>
        </is>
      </c>
      <c r="I30" s="4" t="inlineStr">
        <is>
          <t>対象</t>
        </is>
      </c>
    </row>
    <row r="31">
      <c r="A31" s="4" t="inlineStr">
        <is>
          <t>F030</t>
        </is>
      </c>
      <c r="B31" s="4" t="inlineStr">
        <is>
          <t>グループホームイノベル稲毛園生町</t>
        </is>
      </c>
      <c r="C31" s="4" t="inlineStr">
        <is>
          <t>GH（日）</t>
        </is>
      </c>
      <c r="D31" s="4" t="inlineStr">
        <is>
          <t>千葉市</t>
        </is>
      </c>
      <c r="E31" s="4" t="inlineStr">
        <is>
          <t>千葉県</t>
        </is>
      </c>
      <c r="F31" s="4" t="inlineStr">
        <is>
          <t>皆川 頼鷹</t>
        </is>
      </c>
      <c r="G31" s="4" t="inlineStr"/>
      <c r="H31" s="4" t="inlineStr">
        <is>
          <t>千葉県千葉市稲毛区園生町519-11</t>
        </is>
      </c>
      <c r="I31" s="4" t="inlineStr">
        <is>
          <t>対象</t>
        </is>
      </c>
    </row>
    <row r="32">
      <c r="A32" s="4" t="inlineStr">
        <is>
          <t>F031</t>
        </is>
      </c>
      <c r="B32" s="4" t="inlineStr">
        <is>
          <t>グループホームイノベル若葉下田</t>
        </is>
      </c>
      <c r="C32" s="4" t="inlineStr">
        <is>
          <t>GH（日）</t>
        </is>
      </c>
      <c r="D32" s="4" t="inlineStr">
        <is>
          <t>千葉市</t>
        </is>
      </c>
      <c r="E32" s="4" t="inlineStr">
        <is>
          <t>千葉県</t>
        </is>
      </c>
      <c r="F32" s="4" t="inlineStr">
        <is>
          <t>尾崎 豊光</t>
        </is>
      </c>
      <c r="G32" s="4" t="inlineStr"/>
      <c r="H32" s="4" t="inlineStr">
        <is>
          <t>千葉県千葉市若葉区下田町1096</t>
        </is>
      </c>
      <c r="I32" s="4" t="inlineStr">
        <is>
          <t>対象</t>
        </is>
      </c>
    </row>
    <row r="33">
      <c r="A33" s="4" t="inlineStr">
        <is>
          <t>F032</t>
        </is>
      </c>
      <c r="B33" s="4" t="inlineStr">
        <is>
          <t>生活介護イノベル信中島</t>
        </is>
      </c>
      <c r="C33" s="4" t="inlineStr">
        <is>
          <t>生活介護</t>
        </is>
      </c>
      <c r="D33" s="4" t="inlineStr">
        <is>
          <t>一宮市</t>
        </is>
      </c>
      <c r="E33" s="4" t="inlineStr">
        <is>
          <t>愛知県</t>
        </is>
      </c>
      <c r="F33" s="4" t="inlineStr">
        <is>
          <t>牧山 雄太郎</t>
        </is>
      </c>
      <c r="G33" s="4" t="inlineStr"/>
      <c r="H33" s="4" t="inlineStr">
        <is>
          <t>愛知県一宮市小信中島字西九反15-5</t>
        </is>
      </c>
      <c r="I33" s="4" t="inlineStr">
        <is>
          <t>対象</t>
        </is>
      </c>
    </row>
    <row r="34">
      <c r="A34" s="4" t="inlineStr">
        <is>
          <t>F033</t>
        </is>
      </c>
      <c r="B34" s="4" t="inlineStr">
        <is>
          <t>生活介護イノベル沼津西沢田</t>
        </is>
      </c>
      <c r="C34" s="4" t="inlineStr">
        <is>
          <t>生活介護</t>
        </is>
      </c>
      <c r="D34" s="4" t="inlineStr">
        <is>
          <t>静岡県</t>
        </is>
      </c>
      <c r="E34" s="4" t="inlineStr">
        <is>
          <t>静岡県</t>
        </is>
      </c>
      <c r="F34" s="4" t="inlineStr">
        <is>
          <t>鈴木 匠</t>
        </is>
      </c>
      <c r="G34" s="4" t="inlineStr"/>
      <c r="H34" s="4" t="inlineStr">
        <is>
          <t>静岡県沼津市西沢田字中村726-9</t>
        </is>
      </c>
      <c r="I34" s="4" t="inlineStr">
        <is>
          <t>対象</t>
        </is>
      </c>
    </row>
    <row r="35">
      <c r="A35" s="4" t="inlineStr">
        <is>
          <t>F034</t>
        </is>
      </c>
      <c r="B35" s="4" t="inlineStr">
        <is>
          <t>生活介護イノベル富士宮</t>
        </is>
      </c>
      <c r="C35" s="4" t="inlineStr">
        <is>
          <t>生活介護</t>
        </is>
      </c>
      <c r="D35" s="4" t="inlineStr">
        <is>
          <t>静岡県</t>
        </is>
      </c>
      <c r="E35" s="4" t="inlineStr">
        <is>
          <t>静岡県</t>
        </is>
      </c>
      <c r="F35" s="4" t="inlineStr">
        <is>
          <t>鈴木 匠</t>
        </is>
      </c>
      <c r="G35" s="4" t="inlineStr"/>
      <c r="H35" s="4" t="inlineStr">
        <is>
          <t>静岡県富士宮市西小泉町59-1</t>
        </is>
      </c>
      <c r="I35" s="4" t="inlineStr">
        <is>
          <t>対象</t>
        </is>
      </c>
    </row>
    <row r="36">
      <c r="A36" s="4" t="inlineStr">
        <is>
          <t>F035</t>
        </is>
      </c>
      <c r="B36" s="4" t="inlineStr">
        <is>
          <t>生活介護イノベル富士松岡</t>
        </is>
      </c>
      <c r="C36" s="4" t="inlineStr">
        <is>
          <t>生活介護</t>
        </is>
      </c>
      <c r="D36" s="4" t="inlineStr">
        <is>
          <t>静岡県</t>
        </is>
      </c>
      <c r="E36" s="4" t="inlineStr">
        <is>
          <t>静岡県</t>
        </is>
      </c>
      <c r="F36" s="4" t="inlineStr">
        <is>
          <t>鈴木 匠</t>
        </is>
      </c>
      <c r="G36" s="4" t="inlineStr"/>
      <c r="H36" s="4" t="inlineStr">
        <is>
          <t>静岡県富士市松岡418-8</t>
        </is>
      </c>
      <c r="I36" s="4" t="inlineStr">
        <is>
          <t>対象</t>
        </is>
      </c>
    </row>
    <row r="37">
      <c r="A37" s="4" t="inlineStr">
        <is>
          <t>F036</t>
        </is>
      </c>
      <c r="B37" s="4" t="inlineStr">
        <is>
          <t>生活介護イノベル四街道</t>
        </is>
      </c>
      <c r="C37" s="4" t="inlineStr">
        <is>
          <t>生活介護</t>
        </is>
      </c>
      <c r="D37" s="4" t="inlineStr">
        <is>
          <t>千葉県</t>
        </is>
      </c>
      <c r="E37" s="4" t="inlineStr">
        <is>
          <t>千葉県</t>
        </is>
      </c>
      <c r="F37" s="4" t="inlineStr">
        <is>
          <t>福島 明子</t>
        </is>
      </c>
      <c r="G37" s="4" t="inlineStr"/>
      <c r="H37" s="4" t="inlineStr">
        <is>
          <t>千葉県四街道市たかおの杜12-17</t>
        </is>
      </c>
      <c r="I37" s="4" t="inlineStr">
        <is>
          <t>対象</t>
        </is>
      </c>
    </row>
    <row r="38">
      <c r="A38" s="4" t="inlineStr">
        <is>
          <t>F037</t>
        </is>
      </c>
      <c r="B38" s="4" t="inlineStr">
        <is>
          <t>生活介護イノベル木更津貝渕</t>
        </is>
      </c>
      <c r="C38" s="4" t="inlineStr">
        <is>
          <t>生活介護</t>
        </is>
      </c>
      <c r="D38" s="4" t="inlineStr">
        <is>
          <t>千葉県</t>
        </is>
      </c>
      <c r="E38" s="4" t="inlineStr">
        <is>
          <t>千葉県</t>
        </is>
      </c>
      <c r="F38" s="4" t="inlineStr">
        <is>
          <t>福島 明子</t>
        </is>
      </c>
      <c r="G38" s="4" t="inlineStr"/>
      <c r="H38" s="4" t="inlineStr">
        <is>
          <t>千葉県木更津市貝渕4-16-22</t>
        </is>
      </c>
      <c r="I38" s="4" t="inlineStr">
        <is>
          <t>対象</t>
        </is>
      </c>
    </row>
    <row r="39">
      <c r="A39" s="4" t="inlineStr">
        <is>
          <t>F038</t>
        </is>
      </c>
      <c r="B39" s="4" t="inlineStr">
        <is>
          <t>生活介護イノベル若葉下田</t>
        </is>
      </c>
      <c r="C39" s="4" t="inlineStr">
        <is>
          <t>生活介護</t>
        </is>
      </c>
      <c r="D39" s="4" t="inlineStr">
        <is>
          <t>千葉市</t>
        </is>
      </c>
      <c r="E39" s="4" t="inlineStr">
        <is>
          <t>千葉県</t>
        </is>
      </c>
      <c r="F39" s="4" t="inlineStr">
        <is>
          <t>福島 明子</t>
        </is>
      </c>
      <c r="G39" s="4" t="inlineStr"/>
      <c r="H39" s="4" t="inlineStr">
        <is>
          <t>千葉県千葉市若葉区下田町1096</t>
        </is>
      </c>
      <c r="I39" s="4" t="inlineStr">
        <is>
          <t>対象</t>
        </is>
      </c>
    </row>
    <row r="40">
      <c r="A40" s="4" t="inlineStr">
        <is>
          <t>F039</t>
        </is>
      </c>
      <c r="B40" s="4" t="inlineStr">
        <is>
          <t>生活介護・就労継続支援B型イノベル緑</t>
        </is>
      </c>
      <c r="C40" s="4" t="inlineStr">
        <is>
          <t>生活介護/就B</t>
        </is>
      </c>
      <c r="D40" s="4" t="inlineStr">
        <is>
          <t>名古屋市</t>
        </is>
      </c>
      <c r="E40" s="4" t="inlineStr">
        <is>
          <t>愛知県</t>
        </is>
      </c>
      <c r="F40" s="4" t="inlineStr">
        <is>
          <t>水野 宝祐</t>
        </is>
      </c>
      <c r="G40" s="4" t="inlineStr"/>
      <c r="H40" s="4" t="inlineStr">
        <is>
          <t>愛知県名古屋市緑区桶狭間巻山2004</t>
        </is>
      </c>
      <c r="I40" s="4" t="inlineStr">
        <is>
          <t>対象</t>
        </is>
      </c>
    </row>
    <row r="41">
      <c r="A41" s="4" t="inlineStr">
        <is>
          <t>F040</t>
        </is>
      </c>
      <c r="B41" s="4" t="inlineStr">
        <is>
          <t>生活介護・就労継続支援B型イノベル守山</t>
        </is>
      </c>
      <c r="C41" s="4" t="inlineStr">
        <is>
          <t>生活介護/就B</t>
        </is>
      </c>
      <c r="D41" s="4" t="inlineStr">
        <is>
          <t>名古屋市</t>
        </is>
      </c>
      <c r="E41" s="4" t="inlineStr">
        <is>
          <t>愛知県</t>
        </is>
      </c>
      <c r="F41" s="4" t="inlineStr">
        <is>
          <t>牧山 雄太郎</t>
        </is>
      </c>
      <c r="G41" s="4" t="inlineStr"/>
      <c r="H41" s="4" t="inlineStr">
        <is>
          <t>愛知県名古屋市守山区大字上志段味字道光331</t>
        </is>
      </c>
      <c r="I41" s="4" t="inlineStr">
        <is>
          <t>対象</t>
        </is>
      </c>
    </row>
  </sheetData>
  <autoFilter ref="A1:I41"/>
  <dataValidations count="1">
    <dataValidation sqref="I2:I41" showDropDown="0" showInputMessage="0" showErrorMessage="0" allowBlank="1" type="list">
      <formula1>"対象,対象外"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34" customWidth="1" min="5" max="5"/>
  </cols>
  <sheetData>
    <row r="1">
      <c r="A1" s="5" t="inlineStr">
        <is>
          <t>担当AM</t>
        </is>
      </c>
      <c r="B1" s="5" t="inlineStr">
        <is>
          <t>担当施設数</t>
        </is>
      </c>
      <c r="C1" s="5" t="inlineStr">
        <is>
          <t>GH（日）</t>
        </is>
      </c>
      <c r="D1" s="5" t="inlineStr">
        <is>
          <t>生活介護系</t>
        </is>
      </c>
      <c r="E1" s="5" t="inlineStr">
        <is>
          <t>主な担当エリア</t>
        </is>
      </c>
    </row>
    <row r="2">
      <c r="A2" s="4" t="inlineStr">
        <is>
          <t>吉川 容代子</t>
        </is>
      </c>
      <c r="B2" s="4">
        <f>COUNTIF('01_施設マスタ'!$F$2:$F$41,$A2)</f>
        <v/>
      </c>
      <c r="C2" s="4">
        <f>COUNTIFS('01_施設マスタ'!$F$2:$F$41,$A2,'01_施設マスタ'!$C$2:$C$41,"GH（日）")</f>
        <v/>
      </c>
      <c r="D2" s="4">
        <f>$B2-$C2</f>
        <v/>
      </c>
      <c r="E2" s="4" t="inlineStr">
        <is>
          <t>栃木県</t>
        </is>
      </c>
    </row>
    <row r="3">
      <c r="A3" s="4" t="inlineStr">
        <is>
          <t>太田 輝</t>
        </is>
      </c>
      <c r="B3" s="4">
        <f>COUNTIF('01_施設マスタ'!$F$2:$F$41,$A3)</f>
        <v/>
      </c>
      <c r="C3" s="4">
        <f>COUNTIFS('01_施設マスタ'!$F$2:$F$41,$A3,'01_施設マスタ'!$C$2:$C$41,"GH（日）")</f>
        <v/>
      </c>
      <c r="D3" s="4">
        <f>$B3-$C3</f>
        <v/>
      </c>
      <c r="E3" s="4" t="inlineStr">
        <is>
          <t>千葉県</t>
        </is>
      </c>
    </row>
    <row r="4">
      <c r="A4" s="4" t="inlineStr">
        <is>
          <t>小澤 雄太</t>
        </is>
      </c>
      <c r="B4" s="4">
        <f>COUNTIF('01_施設マスタ'!$F$2:$F$41,$A4)</f>
        <v/>
      </c>
      <c r="C4" s="4">
        <f>COUNTIFS('01_施設マスタ'!$F$2:$F$41,$A4,'01_施設マスタ'!$C$2:$C$41,"GH（日）")</f>
        <v/>
      </c>
      <c r="D4" s="4">
        <f>$B4-$C4</f>
        <v/>
      </c>
      <c r="E4" s="4" t="inlineStr">
        <is>
          <t>岐阜県</t>
        </is>
      </c>
    </row>
    <row r="5">
      <c r="A5" s="4" t="inlineStr">
        <is>
          <t>尾崎 豊光</t>
        </is>
      </c>
      <c r="B5" s="4">
        <f>COUNTIF('01_施設マスタ'!$F$2:$F$41,$A5)</f>
        <v/>
      </c>
      <c r="C5" s="4">
        <f>COUNTIFS('01_施設マスタ'!$F$2:$F$41,$A5,'01_施設マスタ'!$C$2:$C$41,"GH（日）")</f>
        <v/>
      </c>
      <c r="D5" s="4">
        <f>$B5-$C5</f>
        <v/>
      </c>
      <c r="E5" s="4" t="inlineStr">
        <is>
          <t>千葉県</t>
        </is>
      </c>
    </row>
    <row r="6">
      <c r="A6" s="4" t="inlineStr">
        <is>
          <t>嶋山 貴之</t>
        </is>
      </c>
      <c r="B6" s="4">
        <f>COUNTIF('01_施設マスタ'!$F$2:$F$41,$A6)</f>
        <v/>
      </c>
      <c r="C6" s="4">
        <f>COUNTIFS('01_施設マスタ'!$F$2:$F$41,$A6,'01_施設マスタ'!$C$2:$C$41,"GH（日）")</f>
        <v/>
      </c>
      <c r="D6" s="4">
        <f>$B6-$C6</f>
        <v/>
      </c>
      <c r="E6" s="4" t="inlineStr">
        <is>
          <t>栃木県</t>
        </is>
      </c>
    </row>
    <row r="7">
      <c r="A7" s="4" t="inlineStr">
        <is>
          <t>平山 修司</t>
        </is>
      </c>
      <c r="B7" s="4">
        <f>COUNTIF('01_施設マスタ'!$F$2:$F$41,$A7)</f>
        <v/>
      </c>
      <c r="C7" s="4">
        <f>COUNTIFS('01_施設マスタ'!$F$2:$F$41,$A7,'01_施設マスタ'!$C$2:$C$41,"GH（日）")</f>
        <v/>
      </c>
      <c r="D7" s="4">
        <f>$B7-$C7</f>
        <v/>
      </c>
      <c r="E7" s="4" t="inlineStr">
        <is>
          <t>静岡県</t>
        </is>
      </c>
    </row>
    <row r="8">
      <c r="A8" s="4" t="inlineStr">
        <is>
          <t>曽根 正</t>
        </is>
      </c>
      <c r="B8" s="4">
        <f>COUNTIF('01_施設マスタ'!$F$2:$F$41,$A8)</f>
        <v/>
      </c>
      <c r="C8" s="4">
        <f>COUNTIFS('01_施設マスタ'!$F$2:$F$41,$A8,'01_施設マスタ'!$C$2:$C$41,"GH（日）")</f>
        <v/>
      </c>
      <c r="D8" s="4">
        <f>$B8-$C8</f>
        <v/>
      </c>
      <c r="E8" s="4" t="inlineStr">
        <is>
          <t>静岡県</t>
        </is>
      </c>
    </row>
    <row r="9">
      <c r="A9" s="4" t="inlineStr">
        <is>
          <t>本館 治</t>
        </is>
      </c>
      <c r="B9" s="4">
        <f>COUNTIF('01_施設マスタ'!$F$2:$F$41,$A9)</f>
        <v/>
      </c>
      <c r="C9" s="4">
        <f>COUNTIFS('01_施設マスタ'!$F$2:$F$41,$A9,'01_施設マスタ'!$C$2:$C$41,"GH（日）")</f>
        <v/>
      </c>
      <c r="D9" s="4">
        <f>$B9-$C9</f>
        <v/>
      </c>
      <c r="E9" s="4" t="inlineStr">
        <is>
          <t>静岡県</t>
        </is>
      </c>
    </row>
    <row r="10">
      <c r="A10" s="4" t="inlineStr">
        <is>
          <t>東 将学</t>
        </is>
      </c>
      <c r="B10" s="4">
        <f>COUNTIF('01_施設マスタ'!$F$2:$F$41,$A10)</f>
        <v/>
      </c>
      <c r="C10" s="4">
        <f>COUNTIFS('01_施設マスタ'!$F$2:$F$41,$A10,'01_施設マスタ'!$C$2:$C$41,"GH（日）")</f>
        <v/>
      </c>
      <c r="D10" s="4">
        <f>$B10-$C10</f>
        <v/>
      </c>
      <c r="E10" s="4" t="inlineStr">
        <is>
          <t>愛知県</t>
        </is>
      </c>
    </row>
    <row r="11">
      <c r="A11" s="4" t="inlineStr">
        <is>
          <t>林 本磨人</t>
        </is>
      </c>
      <c r="B11" s="4">
        <f>COUNTIF('01_施設マスタ'!$F$2:$F$41,$A11)</f>
        <v/>
      </c>
      <c r="C11" s="4">
        <f>COUNTIFS('01_施設マスタ'!$F$2:$F$41,$A11,'01_施設マスタ'!$C$2:$C$41,"GH（日）")</f>
        <v/>
      </c>
      <c r="D11" s="4">
        <f>$B11-$C11</f>
        <v/>
      </c>
      <c r="E11" s="4" t="inlineStr">
        <is>
          <t>千葉県</t>
        </is>
      </c>
    </row>
    <row r="12">
      <c r="A12" s="4" t="inlineStr">
        <is>
          <t>水野 宝祐</t>
        </is>
      </c>
      <c r="B12" s="4">
        <f>COUNTIF('01_施設マスタ'!$F$2:$F$41,$A12)</f>
        <v/>
      </c>
      <c r="C12" s="4">
        <f>COUNTIFS('01_施設マスタ'!$F$2:$F$41,$A12,'01_施設マスタ'!$C$2:$C$41,"GH（日）")</f>
        <v/>
      </c>
      <c r="D12" s="4">
        <f>$B12-$C12</f>
        <v/>
      </c>
      <c r="E12" s="4" t="inlineStr">
        <is>
          <t>愛知県</t>
        </is>
      </c>
    </row>
    <row r="13">
      <c r="A13" s="4" t="inlineStr">
        <is>
          <t>牧山 雄太郎</t>
        </is>
      </c>
      <c r="B13" s="4">
        <f>COUNTIF('01_施設マスタ'!$F$2:$F$41,$A13)</f>
        <v/>
      </c>
      <c r="C13" s="4">
        <f>COUNTIFS('01_施設マスタ'!$F$2:$F$41,$A13,'01_施設マスタ'!$C$2:$C$41,"GH（日）")</f>
        <v/>
      </c>
      <c r="D13" s="4">
        <f>$B13-$C13</f>
        <v/>
      </c>
      <c r="E13" s="4" t="inlineStr">
        <is>
          <t>愛知県</t>
        </is>
      </c>
    </row>
    <row r="14">
      <c r="A14" s="4" t="inlineStr">
        <is>
          <t>皆川 頼鷹</t>
        </is>
      </c>
      <c r="B14" s="4">
        <f>COUNTIF('01_施設マスタ'!$F$2:$F$41,$A14)</f>
        <v/>
      </c>
      <c r="C14" s="4">
        <f>COUNTIFS('01_施設マスタ'!$F$2:$F$41,$A14,'01_施設マスタ'!$C$2:$C$41,"GH（日）")</f>
        <v/>
      </c>
      <c r="D14" s="4">
        <f>$B14-$C14</f>
        <v/>
      </c>
      <c r="E14" s="4" t="inlineStr">
        <is>
          <t>千葉県</t>
        </is>
      </c>
    </row>
    <row r="15">
      <c r="A15" s="4" t="inlineStr">
        <is>
          <t>福島 明子</t>
        </is>
      </c>
      <c r="B15" s="4">
        <f>COUNTIF('01_施設マスタ'!$F$2:$F$41,$A15)</f>
        <v/>
      </c>
      <c r="C15" s="4">
        <f>COUNTIFS('01_施設マスタ'!$F$2:$F$41,$A15,'01_施設マスタ'!$C$2:$C$41,"GH（日）")</f>
        <v/>
      </c>
      <c r="D15" s="4">
        <f>$B15-$C15</f>
        <v/>
      </c>
      <c r="E15" s="4" t="inlineStr">
        <is>
          <t>千葉県</t>
        </is>
      </c>
    </row>
    <row r="16">
      <c r="A16" s="4" t="inlineStr">
        <is>
          <t>鈴木 匠</t>
        </is>
      </c>
      <c r="B16" s="4">
        <f>COUNTIF('01_施設マスタ'!$F$2:$F$41,$A16)</f>
        <v/>
      </c>
      <c r="C16" s="4">
        <f>COUNTIFS('01_施設マスタ'!$F$2:$F$41,$A16,'01_施設マスタ'!$C$2:$C$41,"GH（日）")</f>
        <v/>
      </c>
      <c r="D16" s="4">
        <f>$B16-$C16</f>
        <v/>
      </c>
      <c r="E16" s="4" t="inlineStr">
        <is>
          <t>静岡県</t>
        </is>
      </c>
    </row>
    <row r="17">
      <c r="A17" s="4" t="inlineStr">
        <is>
          <t>鈴木 豊大</t>
        </is>
      </c>
      <c r="B17" s="4">
        <f>COUNTIF('01_施設マスタ'!$F$2:$F$41,$A17)</f>
        <v/>
      </c>
      <c r="C17" s="4">
        <f>COUNTIFS('01_施設マスタ'!$F$2:$F$41,$A17,'01_施設マスタ'!$C$2:$C$41,"GH（日）")</f>
        <v/>
      </c>
      <c r="D17" s="4">
        <f>$B17-$C17</f>
        <v/>
      </c>
      <c r="E17" s="4" t="inlineStr">
        <is>
          <t>栃木県</t>
        </is>
      </c>
    </row>
    <row r="19">
      <c r="A19" s="6" t="inlineStr">
        <is>
          <t>合計</t>
        </is>
      </c>
      <c r="B19" s="6">
        <f>SUM(B2:B17)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2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4" customWidth="1" min="3" max="3"/>
    <col width="4" customWidth="1" min="4" max="4"/>
    <col width="20" customWidth="1" min="5" max="5"/>
    <col width="34" customWidth="1" min="6" max="6"/>
  </cols>
  <sheetData>
    <row r="2">
      <c r="B2" s="7" t="inlineStr">
        <is>
          <t>対象設定（このシートを最初に入力）</t>
        </is>
      </c>
    </row>
    <row r="4">
      <c r="B4" s="8" t="inlineStr">
        <is>
          <t>対象施設</t>
        </is>
      </c>
      <c r="E4" s="9" t="inlineStr">
        <is>
          <t>選択施設の情報（自動表示）</t>
        </is>
      </c>
    </row>
    <row r="5">
      <c r="B5" s="10" t="inlineStr">
        <is>
          <t>グループホームイノベル信中島</t>
        </is>
      </c>
      <c r="E5" s="11" t="inlineStr">
        <is>
          <t>業種</t>
        </is>
      </c>
      <c r="F5" s="12">
        <f>IFERROR(INDEX('01_施設マスタ'!$C$2:$C$41,MATCH($B$5,'01_施設マスタ'!$B$2:$B$41,0)),"")</f>
        <v/>
      </c>
    </row>
    <row r="6">
      <c r="B6" s="8" t="inlineStr">
        <is>
          <t>対象年</t>
        </is>
      </c>
      <c r="E6" s="11" t="inlineStr">
        <is>
          <t>指定権者</t>
        </is>
      </c>
      <c r="F6" s="12">
        <f>IFERROR(INDEX('01_施設マスタ'!$D$2:$D$41,MATCH($B$5,'01_施設マスタ'!$B$2:$B$41,0)),"")</f>
        <v/>
      </c>
    </row>
    <row r="7">
      <c r="B7" s="10" t="n">
        <v>2026</v>
      </c>
      <c r="E7" s="11" t="inlineStr">
        <is>
          <t>都道府県</t>
        </is>
      </c>
      <c r="F7" s="12">
        <f>IFERROR(INDEX('01_施設マスタ'!$E$2:$E$41,MATCH($B$5,'01_施設マスタ'!$B$2:$B$41,0)),"")</f>
        <v/>
      </c>
    </row>
    <row r="8">
      <c r="B8" s="8" t="inlineStr">
        <is>
          <t>対象月</t>
        </is>
      </c>
      <c r="E8" s="11" t="inlineStr">
        <is>
          <t>担当AM</t>
        </is>
      </c>
      <c r="F8" s="12">
        <f>IFERROR(INDEX('01_施設マスタ'!$F$2:$F$41,MATCH($B$5,'01_施設マスタ'!$B$2:$B$41,0)),"")</f>
        <v/>
      </c>
    </row>
    <row r="9">
      <c r="B9" s="10" t="n">
        <v>8</v>
      </c>
      <c r="E9" s="11" t="inlineStr">
        <is>
          <t>兼務・副担当</t>
        </is>
      </c>
      <c r="F9" s="12">
        <f>IFERROR(INDEX('01_施設マスタ'!$G$2:$G$41,MATCH($B$5,'01_施設マスタ'!$B$2:$B$41,0)),"")</f>
        <v/>
      </c>
    </row>
    <row r="10">
      <c r="B10" s="8" t="inlineStr">
        <is>
          <t>第1週の基準日</t>
        </is>
      </c>
      <c r="C10" s="13" t="inlineStr">
        <is>
          <t>※ 第1週の月曜日など、運用上の起点日を入力してください。</t>
        </is>
      </c>
      <c r="E10" s="11" t="inlineStr">
        <is>
          <t>住所</t>
        </is>
      </c>
      <c r="F10" s="12">
        <f>IFERROR(INDEX('01_施設マスタ'!$H$2:$H$41,MATCH($B$5,'01_施設マスタ'!$B$2:$B$41,0)),"")</f>
        <v/>
      </c>
    </row>
    <row r="11">
      <c r="B11" s="14" t="n"/>
    </row>
    <row r="12">
      <c r="B12" s="8" t="inlineStr">
        <is>
          <t>作成者</t>
        </is>
      </c>
    </row>
    <row r="13">
      <c r="B13" s="10" t="n"/>
    </row>
    <row r="15">
      <c r="B15" s="9" t="inlineStr">
        <is>
          <t>週の基準日（自動計算）</t>
        </is>
      </c>
    </row>
    <row r="16">
      <c r="B16" s="5" t="inlineStr">
        <is>
          <t>週</t>
        </is>
      </c>
      <c r="C16" s="5" t="inlineStr">
        <is>
          <t>基準日</t>
        </is>
      </c>
      <c r="D16" s="5" t="inlineStr">
        <is>
          <t>入力締切（翌営業日想定）</t>
        </is>
      </c>
    </row>
    <row r="17">
      <c r="B17" s="4" t="inlineStr">
        <is>
          <t>第1週</t>
        </is>
      </c>
      <c r="C17" s="15">
        <f>IF($B$11="","",$B$11)</f>
        <v/>
      </c>
      <c r="D17" s="15">
        <f>IF($C17="","",$C17+1)</f>
        <v/>
      </c>
    </row>
    <row r="18">
      <c r="B18" s="4" t="inlineStr">
        <is>
          <t>第2週</t>
        </is>
      </c>
      <c r="C18" s="15">
        <f>IF($C17="","",$C17+7)</f>
        <v/>
      </c>
      <c r="D18" s="15">
        <f>IF($C18="","",$C18+1)</f>
        <v/>
      </c>
    </row>
    <row r="19">
      <c r="B19" s="4" t="inlineStr">
        <is>
          <t>第3週</t>
        </is>
      </c>
      <c r="C19" s="15">
        <f>IF($C18="","",$C18+7)</f>
        <v/>
      </c>
      <c r="D19" s="15">
        <f>IF($C19="","",$C19+1)</f>
        <v/>
      </c>
    </row>
    <row r="20">
      <c r="B20" s="4" t="inlineStr">
        <is>
          <t>第4週</t>
        </is>
      </c>
      <c r="C20" s="15">
        <f>IF($C19="","",$C19+7)</f>
        <v/>
      </c>
      <c r="D20" s="15">
        <f>IF($C20="","",$C20+1)</f>
        <v/>
      </c>
    </row>
    <row r="21">
      <c r="B21" s="4" t="inlineStr">
        <is>
          <t>第5週</t>
        </is>
      </c>
      <c r="C21" s="15">
        <f>IF($C20="","",$C20+7)</f>
        <v/>
      </c>
      <c r="D21" s="15">
        <f>IF($C21="","",$C21+1)</f>
        <v/>
      </c>
    </row>
  </sheetData>
  <dataValidations count="1">
    <dataValidation sqref="B5" showDropDown="0" showInputMessage="0" showErrorMessage="0" allowBlank="0" type="list">
      <formula1>施設名リスト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30" customWidth="1" min="4" max="4"/>
    <col width="22" customWidth="1" min="5" max="5"/>
    <col width="12" customWidth="1" min="6" max="6"/>
    <col width="8" customWidth="1" min="7" max="7"/>
    <col width="12" customWidth="1" min="8" max="8"/>
    <col width="10" customWidth="1" min="9" max="9"/>
    <col width="34" customWidth="1" min="10" max="10"/>
    <col width="30" customWidth="1" min="11" max="11"/>
    <col width="30" customWidth="1" min="12" max="12"/>
    <col width="30" customWidth="1" min="13" max="13"/>
    <col width="16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24" customWidth="1" min="21" max="21"/>
  </cols>
  <sheetData>
    <row r="1" ht="40" customHeight="1">
      <c r="A1" s="5" t="inlineStr">
        <is>
          <t>No.</t>
        </is>
      </c>
      <c r="B1" s="5" t="inlineStr">
        <is>
          <t>対象施設</t>
        </is>
      </c>
      <c r="C1" s="5" t="inlineStr">
        <is>
          <t>カテゴリ（KGI領域）</t>
        </is>
      </c>
      <c r="D1" s="5" t="inlineStr">
        <is>
          <t>課題（KPI）</t>
        </is>
      </c>
      <c r="E1" s="5" t="inlineStr">
        <is>
          <t>KGI目標</t>
        </is>
      </c>
      <c r="F1" s="5" t="inlineStr">
        <is>
          <t>KPI目標値</t>
        </is>
      </c>
      <c r="G1" s="5" t="inlineStr">
        <is>
          <t>単位</t>
        </is>
      </c>
      <c r="H1" s="5" t="inlineStr">
        <is>
          <t>現状値</t>
        </is>
      </c>
      <c r="I1" s="5" t="inlineStr">
        <is>
          <t>達成率</t>
        </is>
      </c>
      <c r="J1" s="5" t="inlineStr">
        <is>
          <t>対応方針（Plan）</t>
        </is>
      </c>
      <c r="K1" s="5" t="inlineStr">
        <is>
          <t>実行内容（Do）</t>
        </is>
      </c>
      <c r="L1" s="5" t="inlineStr">
        <is>
          <t>検証・所感（Check）</t>
        </is>
      </c>
      <c r="M1" s="5" t="inlineStr">
        <is>
          <t>次アクション（Act）</t>
        </is>
      </c>
      <c r="N1" s="5" t="inlineStr">
        <is>
          <t>担当者</t>
        </is>
      </c>
      <c r="O1" s="5" t="inlineStr">
        <is>
          <t>起票日</t>
        </is>
      </c>
      <c r="P1" s="5" t="inlineStr">
        <is>
          <t>期限</t>
        </is>
      </c>
      <c r="Q1" s="5" t="inlineStr">
        <is>
          <t>ステータス</t>
        </is>
      </c>
      <c r="R1" s="5" t="inlineStr">
        <is>
          <t>残日数</t>
        </is>
      </c>
      <c r="S1" s="5" t="inlineStr">
        <is>
          <t>遅延判定</t>
        </is>
      </c>
      <c r="T1" s="5" t="inlineStr">
        <is>
          <t>完了日</t>
        </is>
      </c>
      <c r="U1" s="5" t="inlineStr">
        <is>
          <t>備考</t>
        </is>
      </c>
    </row>
    <row r="2">
      <c r="A2" s="4">
        <f>IF($D2="","",ROW()-1)</f>
        <v/>
      </c>
      <c r="B2" s="4">
        <f>IF($D2="","",設定対象施設)</f>
        <v/>
      </c>
      <c r="C2" s="4" t="n"/>
      <c r="D2" s="16" t="n"/>
      <c r="E2" s="16" t="n"/>
      <c r="F2" s="16" t="n"/>
      <c r="G2" s="16" t="n"/>
      <c r="H2" s="16" t="n"/>
      <c r="I2" s="17">
        <f>IFERROR(IF($F2=0,"",$H2/$F2),"")</f>
        <v/>
      </c>
      <c r="J2" s="16" t="n"/>
      <c r="K2" s="16" t="n"/>
      <c r="L2" s="16" t="n"/>
      <c r="M2" s="16" t="n"/>
      <c r="N2" s="16" t="n"/>
      <c r="O2" s="18" t="n"/>
      <c r="P2" s="18" t="n"/>
      <c r="Q2" s="16" t="n"/>
      <c r="R2" s="4">
        <f>IF(OR($P2="",$Q2="完了",$Q2="中止"),"",$P2-TODAY())</f>
        <v/>
      </c>
      <c r="S2" s="4">
        <f>IF($P2="","",IF(OR($Q2="完了",$Q2="中止"),"—",IF($P2&lt;TODAY(),"遅延",IF($P2-TODAY()&lt;=2,"要注意",""))))</f>
        <v/>
      </c>
      <c r="T2" s="18" t="n"/>
      <c r="U2" s="16" t="n"/>
    </row>
    <row r="3">
      <c r="A3" s="4">
        <f>IF($D3="","",ROW()-1)</f>
        <v/>
      </c>
      <c r="B3" s="4">
        <f>IF($D3="","",設定対象施設)</f>
        <v/>
      </c>
      <c r="C3" s="4" t="n"/>
      <c r="D3" s="16" t="n"/>
      <c r="E3" s="16" t="n"/>
      <c r="F3" s="16" t="n"/>
      <c r="G3" s="16" t="n"/>
      <c r="H3" s="16" t="n"/>
      <c r="I3" s="17">
        <f>IFERROR(IF($F3=0,"",$H3/$F3),"")</f>
        <v/>
      </c>
      <c r="J3" s="16" t="n"/>
      <c r="K3" s="16" t="n"/>
      <c r="L3" s="16" t="n"/>
      <c r="M3" s="16" t="n"/>
      <c r="N3" s="16" t="n"/>
      <c r="O3" s="18" t="n"/>
      <c r="P3" s="18" t="n"/>
      <c r="Q3" s="16" t="n"/>
      <c r="R3" s="4">
        <f>IF(OR($P3="",$Q3="完了",$Q3="中止"),"",$P3-TODAY())</f>
        <v/>
      </c>
      <c r="S3" s="4">
        <f>IF($P3="","",IF(OR($Q3="完了",$Q3="中止"),"—",IF($P3&lt;TODAY(),"遅延",IF($P3-TODAY()&lt;=2,"要注意",""))))</f>
        <v/>
      </c>
      <c r="T3" s="18" t="n"/>
      <c r="U3" s="16" t="n"/>
    </row>
    <row r="4">
      <c r="A4" s="4">
        <f>IF($D4="","",ROW()-1)</f>
        <v/>
      </c>
      <c r="B4" s="4">
        <f>IF($D4="","",設定対象施設)</f>
        <v/>
      </c>
      <c r="C4" s="4" t="n"/>
      <c r="D4" s="16" t="n"/>
      <c r="E4" s="16" t="n"/>
      <c r="F4" s="16" t="n"/>
      <c r="G4" s="16" t="n"/>
      <c r="H4" s="16" t="n"/>
      <c r="I4" s="17">
        <f>IFERROR(IF($F4=0,"",$H4/$F4),"")</f>
        <v/>
      </c>
      <c r="J4" s="16" t="n"/>
      <c r="K4" s="16" t="n"/>
      <c r="L4" s="16" t="n"/>
      <c r="M4" s="16" t="n"/>
      <c r="N4" s="16" t="n"/>
      <c r="O4" s="18" t="n"/>
      <c r="P4" s="18" t="n"/>
      <c r="Q4" s="16" t="n"/>
      <c r="R4" s="4">
        <f>IF(OR($P4="",$Q4="完了",$Q4="中止"),"",$P4-TODAY())</f>
        <v/>
      </c>
      <c r="S4" s="4">
        <f>IF($P4="","",IF(OR($Q4="完了",$Q4="中止"),"—",IF($P4&lt;TODAY(),"遅延",IF($P4-TODAY()&lt;=2,"要注意",""))))</f>
        <v/>
      </c>
      <c r="T4" s="18" t="n"/>
      <c r="U4" s="16" t="n"/>
    </row>
    <row r="5">
      <c r="A5" s="4">
        <f>IF($D5="","",ROW()-1)</f>
        <v/>
      </c>
      <c r="B5" s="4">
        <f>IF($D5="","",設定対象施設)</f>
        <v/>
      </c>
      <c r="C5" s="4" t="n"/>
      <c r="D5" s="16" t="n"/>
      <c r="E5" s="16" t="n"/>
      <c r="F5" s="16" t="n"/>
      <c r="G5" s="16" t="n"/>
      <c r="H5" s="16" t="n"/>
      <c r="I5" s="17">
        <f>IFERROR(IF($F5=0,"",$H5/$F5),"")</f>
        <v/>
      </c>
      <c r="J5" s="16" t="n"/>
      <c r="K5" s="16" t="n"/>
      <c r="L5" s="16" t="n"/>
      <c r="M5" s="16" t="n"/>
      <c r="N5" s="16" t="n"/>
      <c r="O5" s="18" t="n"/>
      <c r="P5" s="18" t="n"/>
      <c r="Q5" s="16" t="n"/>
      <c r="R5" s="4">
        <f>IF(OR($P5="",$Q5="完了",$Q5="中止"),"",$P5-TODAY())</f>
        <v/>
      </c>
      <c r="S5" s="4">
        <f>IF($P5="","",IF(OR($Q5="完了",$Q5="中止"),"—",IF($P5&lt;TODAY(),"遅延",IF($P5-TODAY()&lt;=2,"要注意",""))))</f>
        <v/>
      </c>
      <c r="T5" s="18" t="n"/>
      <c r="U5" s="16" t="n"/>
    </row>
    <row r="6">
      <c r="A6" s="4">
        <f>IF($D6="","",ROW()-1)</f>
        <v/>
      </c>
      <c r="B6" s="4">
        <f>IF($D6="","",設定対象施設)</f>
        <v/>
      </c>
      <c r="C6" s="4" t="n"/>
      <c r="D6" s="16" t="n"/>
      <c r="E6" s="16" t="n"/>
      <c r="F6" s="16" t="n"/>
      <c r="G6" s="16" t="n"/>
      <c r="H6" s="16" t="n"/>
      <c r="I6" s="17">
        <f>IFERROR(IF($F6=0,"",$H6/$F6),"")</f>
        <v/>
      </c>
      <c r="J6" s="16" t="n"/>
      <c r="K6" s="16" t="n"/>
      <c r="L6" s="16" t="n"/>
      <c r="M6" s="16" t="n"/>
      <c r="N6" s="16" t="n"/>
      <c r="O6" s="18" t="n"/>
      <c r="P6" s="18" t="n"/>
      <c r="Q6" s="16" t="n"/>
      <c r="R6" s="4">
        <f>IF(OR($P6="",$Q6="完了",$Q6="中止"),"",$P6-TODAY())</f>
        <v/>
      </c>
      <c r="S6" s="4">
        <f>IF($P6="","",IF(OR($Q6="完了",$Q6="中止"),"—",IF($P6&lt;TODAY(),"遅延",IF($P6-TODAY()&lt;=2,"要注意",""))))</f>
        <v/>
      </c>
      <c r="T6" s="18" t="n"/>
      <c r="U6" s="16" t="n"/>
    </row>
    <row r="7">
      <c r="A7" s="4">
        <f>IF($D7="","",ROW()-1)</f>
        <v/>
      </c>
      <c r="B7" s="4">
        <f>IF($D7="","",設定対象施設)</f>
        <v/>
      </c>
      <c r="C7" s="4" t="n"/>
      <c r="D7" s="16" t="n"/>
      <c r="E7" s="16" t="n"/>
      <c r="F7" s="16" t="n"/>
      <c r="G7" s="16" t="n"/>
      <c r="H7" s="16" t="n"/>
      <c r="I7" s="17">
        <f>IFERROR(IF($F7=0,"",$H7/$F7),"")</f>
        <v/>
      </c>
      <c r="J7" s="16" t="n"/>
      <c r="K7" s="16" t="n"/>
      <c r="L7" s="16" t="n"/>
      <c r="M7" s="16" t="n"/>
      <c r="N7" s="16" t="n"/>
      <c r="O7" s="18" t="n"/>
      <c r="P7" s="18" t="n"/>
      <c r="Q7" s="16" t="n"/>
      <c r="R7" s="4">
        <f>IF(OR($P7="",$Q7="完了",$Q7="中止"),"",$P7-TODAY())</f>
        <v/>
      </c>
      <c r="S7" s="4">
        <f>IF($P7="","",IF(OR($Q7="完了",$Q7="中止"),"—",IF($P7&lt;TODAY(),"遅延",IF($P7-TODAY()&lt;=2,"要注意",""))))</f>
        <v/>
      </c>
      <c r="T7" s="18" t="n"/>
      <c r="U7" s="16" t="n"/>
    </row>
    <row r="8">
      <c r="A8" s="4">
        <f>IF($D8="","",ROW()-1)</f>
        <v/>
      </c>
      <c r="B8" s="4">
        <f>IF($D8="","",設定対象施設)</f>
        <v/>
      </c>
      <c r="C8" s="4" t="n"/>
      <c r="D8" s="16" t="n"/>
      <c r="E8" s="16" t="n"/>
      <c r="F8" s="16" t="n"/>
      <c r="G8" s="16" t="n"/>
      <c r="H8" s="16" t="n"/>
      <c r="I8" s="17">
        <f>IFERROR(IF($F8=0,"",$H8/$F8),"")</f>
        <v/>
      </c>
      <c r="J8" s="16" t="n"/>
      <c r="K8" s="16" t="n"/>
      <c r="L8" s="16" t="n"/>
      <c r="M8" s="16" t="n"/>
      <c r="N8" s="16" t="n"/>
      <c r="O8" s="18" t="n"/>
      <c r="P8" s="18" t="n"/>
      <c r="Q8" s="16" t="n"/>
      <c r="R8" s="4">
        <f>IF(OR($P8="",$Q8="完了",$Q8="中止"),"",$P8-TODAY())</f>
        <v/>
      </c>
      <c r="S8" s="4">
        <f>IF($P8="","",IF(OR($Q8="完了",$Q8="中止"),"—",IF($P8&lt;TODAY(),"遅延",IF($P8-TODAY()&lt;=2,"要注意",""))))</f>
        <v/>
      </c>
      <c r="T8" s="18" t="n"/>
      <c r="U8" s="16" t="n"/>
    </row>
    <row r="9">
      <c r="A9" s="4">
        <f>IF($D9="","",ROW()-1)</f>
        <v/>
      </c>
      <c r="B9" s="4">
        <f>IF($D9="","",設定対象施設)</f>
        <v/>
      </c>
      <c r="C9" s="4" t="n"/>
      <c r="D9" s="16" t="n"/>
      <c r="E9" s="16" t="n"/>
      <c r="F9" s="16" t="n"/>
      <c r="G9" s="16" t="n"/>
      <c r="H9" s="16" t="n"/>
      <c r="I9" s="17">
        <f>IFERROR(IF($F9=0,"",$H9/$F9),"")</f>
        <v/>
      </c>
      <c r="J9" s="16" t="n"/>
      <c r="K9" s="16" t="n"/>
      <c r="L9" s="16" t="n"/>
      <c r="M9" s="16" t="n"/>
      <c r="N9" s="16" t="n"/>
      <c r="O9" s="18" t="n"/>
      <c r="P9" s="18" t="n"/>
      <c r="Q9" s="16" t="n"/>
      <c r="R9" s="4">
        <f>IF(OR($P9="",$Q9="完了",$Q9="中止"),"",$P9-TODAY())</f>
        <v/>
      </c>
      <c r="S9" s="4">
        <f>IF($P9="","",IF(OR($Q9="完了",$Q9="中止"),"—",IF($P9&lt;TODAY(),"遅延",IF($P9-TODAY()&lt;=2,"要注意",""))))</f>
        <v/>
      </c>
      <c r="T9" s="18" t="n"/>
      <c r="U9" s="16" t="n"/>
    </row>
    <row r="10">
      <c r="A10" s="4">
        <f>IF($D10="","",ROW()-1)</f>
        <v/>
      </c>
      <c r="B10" s="4">
        <f>IF($D10="","",設定対象施設)</f>
        <v/>
      </c>
      <c r="C10" s="4" t="n"/>
      <c r="D10" s="16" t="n"/>
      <c r="E10" s="16" t="n"/>
      <c r="F10" s="16" t="n"/>
      <c r="G10" s="16" t="n"/>
      <c r="H10" s="16" t="n"/>
      <c r="I10" s="17">
        <f>IFERROR(IF($F10=0,"",$H10/$F10),"")</f>
        <v/>
      </c>
      <c r="J10" s="16" t="n"/>
      <c r="K10" s="16" t="n"/>
      <c r="L10" s="16" t="n"/>
      <c r="M10" s="16" t="n"/>
      <c r="N10" s="16" t="n"/>
      <c r="O10" s="18" t="n"/>
      <c r="P10" s="18" t="n"/>
      <c r="Q10" s="16" t="n"/>
      <c r="R10" s="4">
        <f>IF(OR($P10="",$Q10="完了",$Q10="中止"),"",$P10-TODAY())</f>
        <v/>
      </c>
      <c r="S10" s="4">
        <f>IF($P10="","",IF(OR($Q10="完了",$Q10="中止"),"—",IF($P10&lt;TODAY(),"遅延",IF($P10-TODAY()&lt;=2,"要注意",""))))</f>
        <v/>
      </c>
      <c r="T10" s="18" t="n"/>
      <c r="U10" s="16" t="n"/>
    </row>
    <row r="11">
      <c r="A11" s="4">
        <f>IF($D11="","",ROW()-1)</f>
        <v/>
      </c>
      <c r="B11" s="4">
        <f>IF($D11="","",設定対象施設)</f>
        <v/>
      </c>
      <c r="C11" s="4" t="n"/>
      <c r="D11" s="16" t="n"/>
      <c r="E11" s="16" t="n"/>
      <c r="F11" s="16" t="n"/>
      <c r="G11" s="16" t="n"/>
      <c r="H11" s="16" t="n"/>
      <c r="I11" s="17">
        <f>IFERROR(IF($F11=0,"",$H11/$F11),"")</f>
        <v/>
      </c>
      <c r="J11" s="16" t="n"/>
      <c r="K11" s="16" t="n"/>
      <c r="L11" s="16" t="n"/>
      <c r="M11" s="16" t="n"/>
      <c r="N11" s="16" t="n"/>
      <c r="O11" s="18" t="n"/>
      <c r="P11" s="18" t="n"/>
      <c r="Q11" s="16" t="n"/>
      <c r="R11" s="4">
        <f>IF(OR($P11="",$Q11="完了",$Q11="中止"),"",$P11-TODAY())</f>
        <v/>
      </c>
      <c r="S11" s="4">
        <f>IF($P11="","",IF(OR($Q11="完了",$Q11="中止"),"—",IF($P11&lt;TODAY(),"遅延",IF($P11-TODAY()&lt;=2,"要注意",""))))</f>
        <v/>
      </c>
      <c r="T11" s="18" t="n"/>
      <c r="U11" s="16" t="n"/>
    </row>
    <row r="12">
      <c r="A12" s="4">
        <f>IF($D12="","",ROW()-1)</f>
        <v/>
      </c>
      <c r="B12" s="4">
        <f>IF($D12="","",設定対象施設)</f>
        <v/>
      </c>
      <c r="C12" s="4" t="n"/>
      <c r="D12" s="16" t="n"/>
      <c r="E12" s="16" t="n"/>
      <c r="F12" s="16" t="n"/>
      <c r="G12" s="16" t="n"/>
      <c r="H12" s="16" t="n"/>
      <c r="I12" s="17">
        <f>IFERROR(IF($F12=0,"",$H12/$F12),"")</f>
        <v/>
      </c>
      <c r="J12" s="16" t="n"/>
      <c r="K12" s="16" t="n"/>
      <c r="L12" s="16" t="n"/>
      <c r="M12" s="16" t="n"/>
      <c r="N12" s="16" t="n"/>
      <c r="O12" s="18" t="n"/>
      <c r="P12" s="18" t="n"/>
      <c r="Q12" s="16" t="n"/>
      <c r="R12" s="4">
        <f>IF(OR($P12="",$Q12="完了",$Q12="中止"),"",$P12-TODAY())</f>
        <v/>
      </c>
      <c r="S12" s="4">
        <f>IF($P12="","",IF(OR($Q12="完了",$Q12="中止"),"—",IF($P12&lt;TODAY(),"遅延",IF($P12-TODAY()&lt;=2,"要注意",""))))</f>
        <v/>
      </c>
      <c r="T12" s="18" t="n"/>
      <c r="U12" s="16" t="n"/>
    </row>
    <row r="13">
      <c r="A13" s="4">
        <f>IF($D13="","",ROW()-1)</f>
        <v/>
      </c>
      <c r="B13" s="4">
        <f>IF($D13="","",設定対象施設)</f>
        <v/>
      </c>
      <c r="C13" s="4" t="n"/>
      <c r="D13" s="16" t="n"/>
      <c r="E13" s="16" t="n"/>
      <c r="F13" s="16" t="n"/>
      <c r="G13" s="16" t="n"/>
      <c r="H13" s="16" t="n"/>
      <c r="I13" s="17">
        <f>IFERROR(IF($F13=0,"",$H13/$F13),"")</f>
        <v/>
      </c>
      <c r="J13" s="16" t="n"/>
      <c r="K13" s="16" t="n"/>
      <c r="L13" s="16" t="n"/>
      <c r="M13" s="16" t="n"/>
      <c r="N13" s="16" t="n"/>
      <c r="O13" s="18" t="n"/>
      <c r="P13" s="18" t="n"/>
      <c r="Q13" s="16" t="n"/>
      <c r="R13" s="4">
        <f>IF(OR($P13="",$Q13="完了",$Q13="中止"),"",$P13-TODAY())</f>
        <v/>
      </c>
      <c r="S13" s="4">
        <f>IF($P13="","",IF(OR($Q13="完了",$Q13="中止"),"—",IF($P13&lt;TODAY(),"遅延",IF($P13-TODAY()&lt;=2,"要注意",""))))</f>
        <v/>
      </c>
      <c r="T13" s="18" t="n"/>
      <c r="U13" s="16" t="n"/>
    </row>
    <row r="14">
      <c r="A14" s="4">
        <f>IF($D14="","",ROW()-1)</f>
        <v/>
      </c>
      <c r="B14" s="4">
        <f>IF($D14="","",設定対象施設)</f>
        <v/>
      </c>
      <c r="C14" s="4" t="n"/>
      <c r="D14" s="16" t="n"/>
      <c r="E14" s="16" t="n"/>
      <c r="F14" s="16" t="n"/>
      <c r="G14" s="16" t="n"/>
      <c r="H14" s="16" t="n"/>
      <c r="I14" s="17">
        <f>IFERROR(IF($F14=0,"",$H14/$F14),"")</f>
        <v/>
      </c>
      <c r="J14" s="16" t="n"/>
      <c r="K14" s="16" t="n"/>
      <c r="L14" s="16" t="n"/>
      <c r="M14" s="16" t="n"/>
      <c r="N14" s="16" t="n"/>
      <c r="O14" s="18" t="n"/>
      <c r="P14" s="18" t="n"/>
      <c r="Q14" s="16" t="n"/>
      <c r="R14" s="4">
        <f>IF(OR($P14="",$Q14="完了",$Q14="中止"),"",$P14-TODAY())</f>
        <v/>
      </c>
      <c r="S14" s="4">
        <f>IF($P14="","",IF(OR($Q14="完了",$Q14="中止"),"—",IF($P14&lt;TODAY(),"遅延",IF($P14-TODAY()&lt;=2,"要注意",""))))</f>
        <v/>
      </c>
      <c r="T14" s="18" t="n"/>
      <c r="U14" s="16" t="n"/>
    </row>
    <row r="15">
      <c r="A15" s="4">
        <f>IF($D15="","",ROW()-1)</f>
        <v/>
      </c>
      <c r="B15" s="4">
        <f>IF($D15="","",設定対象施設)</f>
        <v/>
      </c>
      <c r="C15" s="4" t="n"/>
      <c r="D15" s="16" t="n"/>
      <c r="E15" s="16" t="n"/>
      <c r="F15" s="16" t="n"/>
      <c r="G15" s="16" t="n"/>
      <c r="H15" s="16" t="n"/>
      <c r="I15" s="17">
        <f>IFERROR(IF($F15=0,"",$H15/$F15),"")</f>
        <v/>
      </c>
      <c r="J15" s="16" t="n"/>
      <c r="K15" s="16" t="n"/>
      <c r="L15" s="16" t="n"/>
      <c r="M15" s="16" t="n"/>
      <c r="N15" s="16" t="n"/>
      <c r="O15" s="18" t="n"/>
      <c r="P15" s="18" t="n"/>
      <c r="Q15" s="16" t="n"/>
      <c r="R15" s="4">
        <f>IF(OR($P15="",$Q15="完了",$Q15="中止"),"",$P15-TODAY())</f>
        <v/>
      </c>
      <c r="S15" s="4">
        <f>IF($P15="","",IF(OR($Q15="完了",$Q15="中止"),"—",IF($P15&lt;TODAY(),"遅延",IF($P15-TODAY()&lt;=2,"要注意",""))))</f>
        <v/>
      </c>
      <c r="T15" s="18" t="n"/>
      <c r="U15" s="16" t="n"/>
    </row>
    <row r="16">
      <c r="A16" s="4">
        <f>IF($D16="","",ROW()-1)</f>
        <v/>
      </c>
      <c r="B16" s="4">
        <f>IF($D16="","",設定対象施設)</f>
        <v/>
      </c>
      <c r="C16" s="4" t="n"/>
      <c r="D16" s="16" t="n"/>
      <c r="E16" s="16" t="n"/>
      <c r="F16" s="16" t="n"/>
      <c r="G16" s="16" t="n"/>
      <c r="H16" s="16" t="n"/>
      <c r="I16" s="17">
        <f>IFERROR(IF($F16=0,"",$H16/$F16),"")</f>
        <v/>
      </c>
      <c r="J16" s="16" t="n"/>
      <c r="K16" s="16" t="n"/>
      <c r="L16" s="16" t="n"/>
      <c r="M16" s="16" t="n"/>
      <c r="N16" s="16" t="n"/>
      <c r="O16" s="18" t="n"/>
      <c r="P16" s="18" t="n"/>
      <c r="Q16" s="16" t="n"/>
      <c r="R16" s="4">
        <f>IF(OR($P16="",$Q16="完了",$Q16="中止"),"",$P16-TODAY())</f>
        <v/>
      </c>
      <c r="S16" s="4">
        <f>IF($P16="","",IF(OR($Q16="完了",$Q16="中止"),"—",IF($P16&lt;TODAY(),"遅延",IF($P16-TODAY()&lt;=2,"要注意",""))))</f>
        <v/>
      </c>
      <c r="T16" s="18" t="n"/>
      <c r="U16" s="16" t="n"/>
    </row>
    <row r="17">
      <c r="A17" s="4">
        <f>IF($D17="","",ROW()-1)</f>
        <v/>
      </c>
      <c r="B17" s="4">
        <f>IF($D17="","",設定対象施設)</f>
        <v/>
      </c>
      <c r="C17" s="4" t="n"/>
      <c r="D17" s="16" t="n"/>
      <c r="E17" s="16" t="n"/>
      <c r="F17" s="16" t="n"/>
      <c r="G17" s="16" t="n"/>
      <c r="H17" s="16" t="n"/>
      <c r="I17" s="17">
        <f>IFERROR(IF($F17=0,"",$H17/$F17),"")</f>
        <v/>
      </c>
      <c r="J17" s="16" t="n"/>
      <c r="K17" s="16" t="n"/>
      <c r="L17" s="16" t="n"/>
      <c r="M17" s="16" t="n"/>
      <c r="N17" s="16" t="n"/>
      <c r="O17" s="18" t="n"/>
      <c r="P17" s="18" t="n"/>
      <c r="Q17" s="16" t="n"/>
      <c r="R17" s="4">
        <f>IF(OR($P17="",$Q17="完了",$Q17="中止"),"",$P17-TODAY())</f>
        <v/>
      </c>
      <c r="S17" s="4">
        <f>IF($P17="","",IF(OR($Q17="完了",$Q17="中止"),"—",IF($P17&lt;TODAY(),"遅延",IF($P17-TODAY()&lt;=2,"要注意",""))))</f>
        <v/>
      </c>
      <c r="T17" s="18" t="n"/>
      <c r="U17" s="16" t="n"/>
    </row>
    <row r="18">
      <c r="A18" s="4">
        <f>IF($D18="","",ROW()-1)</f>
        <v/>
      </c>
      <c r="B18" s="4">
        <f>IF($D18="","",設定対象施設)</f>
        <v/>
      </c>
      <c r="C18" s="4" t="n"/>
      <c r="D18" s="16" t="n"/>
      <c r="E18" s="16" t="n"/>
      <c r="F18" s="16" t="n"/>
      <c r="G18" s="16" t="n"/>
      <c r="H18" s="16" t="n"/>
      <c r="I18" s="17">
        <f>IFERROR(IF($F18=0,"",$H18/$F18),"")</f>
        <v/>
      </c>
      <c r="J18" s="16" t="n"/>
      <c r="K18" s="16" t="n"/>
      <c r="L18" s="16" t="n"/>
      <c r="M18" s="16" t="n"/>
      <c r="N18" s="16" t="n"/>
      <c r="O18" s="18" t="n"/>
      <c r="P18" s="18" t="n"/>
      <c r="Q18" s="16" t="n"/>
      <c r="R18" s="4">
        <f>IF(OR($P18="",$Q18="完了",$Q18="中止"),"",$P18-TODAY())</f>
        <v/>
      </c>
      <c r="S18" s="4">
        <f>IF($P18="","",IF(OR($Q18="完了",$Q18="中止"),"—",IF($P18&lt;TODAY(),"遅延",IF($P18-TODAY()&lt;=2,"要注意",""))))</f>
        <v/>
      </c>
      <c r="T18" s="18" t="n"/>
      <c r="U18" s="16" t="n"/>
    </row>
    <row r="19">
      <c r="A19" s="4">
        <f>IF($D19="","",ROW()-1)</f>
        <v/>
      </c>
      <c r="B19" s="4">
        <f>IF($D19="","",設定対象施設)</f>
        <v/>
      </c>
      <c r="C19" s="4" t="n"/>
      <c r="D19" s="16" t="n"/>
      <c r="E19" s="16" t="n"/>
      <c r="F19" s="16" t="n"/>
      <c r="G19" s="16" t="n"/>
      <c r="H19" s="16" t="n"/>
      <c r="I19" s="17">
        <f>IFERROR(IF($F19=0,"",$H19/$F19),"")</f>
        <v/>
      </c>
      <c r="J19" s="16" t="n"/>
      <c r="K19" s="16" t="n"/>
      <c r="L19" s="16" t="n"/>
      <c r="M19" s="16" t="n"/>
      <c r="N19" s="16" t="n"/>
      <c r="O19" s="18" t="n"/>
      <c r="P19" s="18" t="n"/>
      <c r="Q19" s="16" t="n"/>
      <c r="R19" s="4">
        <f>IF(OR($P19="",$Q19="完了",$Q19="中止"),"",$P19-TODAY())</f>
        <v/>
      </c>
      <c r="S19" s="4">
        <f>IF($P19="","",IF(OR($Q19="完了",$Q19="中止"),"—",IF($P19&lt;TODAY(),"遅延",IF($P19-TODAY()&lt;=2,"要注意",""))))</f>
        <v/>
      </c>
      <c r="T19" s="18" t="n"/>
      <c r="U19" s="16" t="n"/>
    </row>
    <row r="20">
      <c r="A20" s="4">
        <f>IF($D20="","",ROW()-1)</f>
        <v/>
      </c>
      <c r="B20" s="4">
        <f>IF($D20="","",設定対象施設)</f>
        <v/>
      </c>
      <c r="C20" s="4" t="n"/>
      <c r="D20" s="16" t="n"/>
      <c r="E20" s="16" t="n"/>
      <c r="F20" s="16" t="n"/>
      <c r="G20" s="16" t="n"/>
      <c r="H20" s="16" t="n"/>
      <c r="I20" s="17">
        <f>IFERROR(IF($F20=0,"",$H20/$F20),"")</f>
        <v/>
      </c>
      <c r="J20" s="16" t="n"/>
      <c r="K20" s="16" t="n"/>
      <c r="L20" s="16" t="n"/>
      <c r="M20" s="16" t="n"/>
      <c r="N20" s="16" t="n"/>
      <c r="O20" s="18" t="n"/>
      <c r="P20" s="18" t="n"/>
      <c r="Q20" s="16" t="n"/>
      <c r="R20" s="4">
        <f>IF(OR($P20="",$Q20="完了",$Q20="中止"),"",$P20-TODAY())</f>
        <v/>
      </c>
      <c r="S20" s="4">
        <f>IF($P20="","",IF(OR($Q20="完了",$Q20="中止"),"—",IF($P20&lt;TODAY(),"遅延",IF($P20-TODAY()&lt;=2,"要注意",""))))</f>
        <v/>
      </c>
      <c r="T20" s="18" t="n"/>
      <c r="U20" s="16" t="n"/>
    </row>
    <row r="21">
      <c r="A21" s="4">
        <f>IF($D21="","",ROW()-1)</f>
        <v/>
      </c>
      <c r="B21" s="4">
        <f>IF($D21="","",設定対象施設)</f>
        <v/>
      </c>
      <c r="C21" s="4" t="n"/>
      <c r="D21" s="16" t="n"/>
      <c r="E21" s="16" t="n"/>
      <c r="F21" s="16" t="n"/>
      <c r="G21" s="16" t="n"/>
      <c r="H21" s="16" t="n"/>
      <c r="I21" s="17">
        <f>IFERROR(IF($F21=0,"",$H21/$F21),"")</f>
        <v/>
      </c>
      <c r="J21" s="16" t="n"/>
      <c r="K21" s="16" t="n"/>
      <c r="L21" s="16" t="n"/>
      <c r="M21" s="16" t="n"/>
      <c r="N21" s="16" t="n"/>
      <c r="O21" s="18" t="n"/>
      <c r="P21" s="18" t="n"/>
      <c r="Q21" s="16" t="n"/>
      <c r="R21" s="4">
        <f>IF(OR($P21="",$Q21="完了",$Q21="中止"),"",$P21-TODAY())</f>
        <v/>
      </c>
      <c r="S21" s="4">
        <f>IF($P21="","",IF(OR($Q21="完了",$Q21="中止"),"—",IF($P21&lt;TODAY(),"遅延",IF($P21-TODAY()&lt;=2,"要注意",""))))</f>
        <v/>
      </c>
      <c r="T21" s="18" t="n"/>
      <c r="U21" s="16" t="n"/>
    </row>
    <row r="22">
      <c r="A22" s="4">
        <f>IF($D22="","",ROW()-1)</f>
        <v/>
      </c>
      <c r="B22" s="4">
        <f>IF($D22="","",設定対象施設)</f>
        <v/>
      </c>
      <c r="C22" s="4" t="n"/>
      <c r="D22" s="16" t="n"/>
      <c r="E22" s="16" t="n"/>
      <c r="F22" s="16" t="n"/>
      <c r="G22" s="16" t="n"/>
      <c r="H22" s="16" t="n"/>
      <c r="I22" s="17">
        <f>IFERROR(IF($F22=0,"",$H22/$F22),"")</f>
        <v/>
      </c>
      <c r="J22" s="16" t="n"/>
      <c r="K22" s="16" t="n"/>
      <c r="L22" s="16" t="n"/>
      <c r="M22" s="16" t="n"/>
      <c r="N22" s="16" t="n"/>
      <c r="O22" s="18" t="n"/>
      <c r="P22" s="18" t="n"/>
      <c r="Q22" s="16" t="n"/>
      <c r="R22" s="4">
        <f>IF(OR($P22="",$Q22="完了",$Q22="中止"),"",$P22-TODAY())</f>
        <v/>
      </c>
      <c r="S22" s="4">
        <f>IF($P22="","",IF(OR($Q22="完了",$Q22="中止"),"—",IF($P22&lt;TODAY(),"遅延",IF($P22-TODAY()&lt;=2,"要注意",""))))</f>
        <v/>
      </c>
      <c r="T22" s="18" t="n"/>
      <c r="U22" s="16" t="n"/>
    </row>
    <row r="23">
      <c r="A23" s="4">
        <f>IF($D23="","",ROW()-1)</f>
        <v/>
      </c>
      <c r="B23" s="4">
        <f>IF($D23="","",設定対象施設)</f>
        <v/>
      </c>
      <c r="C23" s="4" t="n"/>
      <c r="D23" s="16" t="n"/>
      <c r="E23" s="16" t="n"/>
      <c r="F23" s="16" t="n"/>
      <c r="G23" s="16" t="n"/>
      <c r="H23" s="16" t="n"/>
      <c r="I23" s="17">
        <f>IFERROR(IF($F23=0,"",$H23/$F23),"")</f>
        <v/>
      </c>
      <c r="J23" s="16" t="n"/>
      <c r="K23" s="16" t="n"/>
      <c r="L23" s="16" t="n"/>
      <c r="M23" s="16" t="n"/>
      <c r="N23" s="16" t="n"/>
      <c r="O23" s="18" t="n"/>
      <c r="P23" s="18" t="n"/>
      <c r="Q23" s="16" t="n"/>
      <c r="R23" s="4">
        <f>IF(OR($P23="",$Q23="完了",$Q23="中止"),"",$P23-TODAY())</f>
        <v/>
      </c>
      <c r="S23" s="4">
        <f>IF($P23="","",IF(OR($Q23="完了",$Q23="中止"),"—",IF($P23&lt;TODAY(),"遅延",IF($P23-TODAY()&lt;=2,"要注意",""))))</f>
        <v/>
      </c>
      <c r="T23" s="18" t="n"/>
      <c r="U23" s="16" t="n"/>
    </row>
    <row r="24">
      <c r="A24" s="4">
        <f>IF($D24="","",ROW()-1)</f>
        <v/>
      </c>
      <c r="B24" s="4">
        <f>IF($D24="","",設定対象施設)</f>
        <v/>
      </c>
      <c r="C24" s="4" t="n"/>
      <c r="D24" s="16" t="n"/>
      <c r="E24" s="16" t="n"/>
      <c r="F24" s="16" t="n"/>
      <c r="G24" s="16" t="n"/>
      <c r="H24" s="16" t="n"/>
      <c r="I24" s="17">
        <f>IFERROR(IF($F24=0,"",$H24/$F24),"")</f>
        <v/>
      </c>
      <c r="J24" s="16" t="n"/>
      <c r="K24" s="16" t="n"/>
      <c r="L24" s="16" t="n"/>
      <c r="M24" s="16" t="n"/>
      <c r="N24" s="16" t="n"/>
      <c r="O24" s="18" t="n"/>
      <c r="P24" s="18" t="n"/>
      <c r="Q24" s="16" t="n"/>
      <c r="R24" s="4">
        <f>IF(OR($P24="",$Q24="完了",$Q24="中止"),"",$P24-TODAY())</f>
        <v/>
      </c>
      <c r="S24" s="4">
        <f>IF($P24="","",IF(OR($Q24="完了",$Q24="中止"),"—",IF($P24&lt;TODAY(),"遅延",IF($P24-TODAY()&lt;=2,"要注意",""))))</f>
        <v/>
      </c>
      <c r="T24" s="18" t="n"/>
      <c r="U24" s="16" t="n"/>
    </row>
    <row r="25">
      <c r="A25" s="4">
        <f>IF($D25="","",ROW()-1)</f>
        <v/>
      </c>
      <c r="B25" s="4">
        <f>IF($D25="","",設定対象施設)</f>
        <v/>
      </c>
      <c r="C25" s="4" t="n"/>
      <c r="D25" s="16" t="n"/>
      <c r="E25" s="16" t="n"/>
      <c r="F25" s="16" t="n"/>
      <c r="G25" s="16" t="n"/>
      <c r="H25" s="16" t="n"/>
      <c r="I25" s="17">
        <f>IFERROR(IF($F25=0,"",$H25/$F25),"")</f>
        <v/>
      </c>
      <c r="J25" s="16" t="n"/>
      <c r="K25" s="16" t="n"/>
      <c r="L25" s="16" t="n"/>
      <c r="M25" s="16" t="n"/>
      <c r="N25" s="16" t="n"/>
      <c r="O25" s="18" t="n"/>
      <c r="P25" s="18" t="n"/>
      <c r="Q25" s="16" t="n"/>
      <c r="R25" s="4">
        <f>IF(OR($P25="",$Q25="完了",$Q25="中止"),"",$P25-TODAY())</f>
        <v/>
      </c>
      <c r="S25" s="4">
        <f>IF($P25="","",IF(OR($Q25="完了",$Q25="中止"),"—",IF($P25&lt;TODAY(),"遅延",IF($P25-TODAY()&lt;=2,"要注意",""))))</f>
        <v/>
      </c>
      <c r="T25" s="18" t="n"/>
      <c r="U25" s="16" t="n"/>
    </row>
    <row r="26">
      <c r="A26" s="4">
        <f>IF($D26="","",ROW()-1)</f>
        <v/>
      </c>
      <c r="B26" s="4">
        <f>IF($D26="","",設定対象施設)</f>
        <v/>
      </c>
      <c r="C26" s="4" t="n"/>
      <c r="D26" s="16" t="n"/>
      <c r="E26" s="16" t="n"/>
      <c r="F26" s="16" t="n"/>
      <c r="G26" s="16" t="n"/>
      <c r="H26" s="16" t="n"/>
      <c r="I26" s="17">
        <f>IFERROR(IF($F26=0,"",$H26/$F26),"")</f>
        <v/>
      </c>
      <c r="J26" s="16" t="n"/>
      <c r="K26" s="16" t="n"/>
      <c r="L26" s="16" t="n"/>
      <c r="M26" s="16" t="n"/>
      <c r="N26" s="16" t="n"/>
      <c r="O26" s="18" t="n"/>
      <c r="P26" s="18" t="n"/>
      <c r="Q26" s="16" t="n"/>
      <c r="R26" s="4">
        <f>IF(OR($P26="",$Q26="完了",$Q26="中止"),"",$P26-TODAY())</f>
        <v/>
      </c>
      <c r="S26" s="4">
        <f>IF($P26="","",IF(OR($Q26="完了",$Q26="中止"),"—",IF($P26&lt;TODAY(),"遅延",IF($P26-TODAY()&lt;=2,"要注意",""))))</f>
        <v/>
      </c>
      <c r="T26" s="18" t="n"/>
      <c r="U26" s="16" t="n"/>
    </row>
    <row r="27">
      <c r="A27" s="4">
        <f>IF($D27="","",ROW()-1)</f>
        <v/>
      </c>
      <c r="B27" s="4">
        <f>IF($D27="","",設定対象施設)</f>
        <v/>
      </c>
      <c r="C27" s="4" t="n"/>
      <c r="D27" s="16" t="n"/>
      <c r="E27" s="16" t="n"/>
      <c r="F27" s="16" t="n"/>
      <c r="G27" s="16" t="n"/>
      <c r="H27" s="16" t="n"/>
      <c r="I27" s="17">
        <f>IFERROR(IF($F27=0,"",$H27/$F27),"")</f>
        <v/>
      </c>
      <c r="J27" s="16" t="n"/>
      <c r="K27" s="16" t="n"/>
      <c r="L27" s="16" t="n"/>
      <c r="M27" s="16" t="n"/>
      <c r="N27" s="16" t="n"/>
      <c r="O27" s="18" t="n"/>
      <c r="P27" s="18" t="n"/>
      <c r="Q27" s="16" t="n"/>
      <c r="R27" s="4">
        <f>IF(OR($P27="",$Q27="完了",$Q27="中止"),"",$P27-TODAY())</f>
        <v/>
      </c>
      <c r="S27" s="4">
        <f>IF($P27="","",IF(OR($Q27="完了",$Q27="中止"),"—",IF($P27&lt;TODAY(),"遅延",IF($P27-TODAY()&lt;=2,"要注意",""))))</f>
        <v/>
      </c>
      <c r="T27" s="18" t="n"/>
      <c r="U27" s="16" t="n"/>
    </row>
    <row r="28">
      <c r="A28" s="4">
        <f>IF($D28="","",ROW()-1)</f>
        <v/>
      </c>
      <c r="B28" s="4">
        <f>IF($D28="","",設定対象施設)</f>
        <v/>
      </c>
      <c r="C28" s="4" t="n"/>
      <c r="D28" s="16" t="n"/>
      <c r="E28" s="16" t="n"/>
      <c r="F28" s="16" t="n"/>
      <c r="G28" s="16" t="n"/>
      <c r="H28" s="16" t="n"/>
      <c r="I28" s="17">
        <f>IFERROR(IF($F28=0,"",$H28/$F28),"")</f>
        <v/>
      </c>
      <c r="J28" s="16" t="n"/>
      <c r="K28" s="16" t="n"/>
      <c r="L28" s="16" t="n"/>
      <c r="M28" s="16" t="n"/>
      <c r="N28" s="16" t="n"/>
      <c r="O28" s="18" t="n"/>
      <c r="P28" s="18" t="n"/>
      <c r="Q28" s="16" t="n"/>
      <c r="R28" s="4">
        <f>IF(OR($P28="",$Q28="完了",$Q28="中止"),"",$P28-TODAY())</f>
        <v/>
      </c>
      <c r="S28" s="4">
        <f>IF($P28="","",IF(OR($Q28="完了",$Q28="中止"),"—",IF($P28&lt;TODAY(),"遅延",IF($P28-TODAY()&lt;=2,"要注意",""))))</f>
        <v/>
      </c>
      <c r="T28" s="18" t="n"/>
      <c r="U28" s="16" t="n"/>
    </row>
    <row r="29">
      <c r="A29" s="4">
        <f>IF($D29="","",ROW()-1)</f>
        <v/>
      </c>
      <c r="B29" s="4">
        <f>IF($D29="","",設定対象施設)</f>
        <v/>
      </c>
      <c r="C29" s="4" t="n"/>
      <c r="D29" s="16" t="n"/>
      <c r="E29" s="16" t="n"/>
      <c r="F29" s="16" t="n"/>
      <c r="G29" s="16" t="n"/>
      <c r="H29" s="16" t="n"/>
      <c r="I29" s="17">
        <f>IFERROR(IF($F29=0,"",$H29/$F29),"")</f>
        <v/>
      </c>
      <c r="J29" s="16" t="n"/>
      <c r="K29" s="16" t="n"/>
      <c r="L29" s="16" t="n"/>
      <c r="M29" s="16" t="n"/>
      <c r="N29" s="16" t="n"/>
      <c r="O29" s="18" t="n"/>
      <c r="P29" s="18" t="n"/>
      <c r="Q29" s="16" t="n"/>
      <c r="R29" s="4">
        <f>IF(OR($P29="",$Q29="完了",$Q29="中止"),"",$P29-TODAY())</f>
        <v/>
      </c>
      <c r="S29" s="4">
        <f>IF($P29="","",IF(OR($Q29="完了",$Q29="中止"),"—",IF($P29&lt;TODAY(),"遅延",IF($P29-TODAY()&lt;=2,"要注意",""))))</f>
        <v/>
      </c>
      <c r="T29" s="18" t="n"/>
      <c r="U29" s="16" t="n"/>
    </row>
    <row r="30">
      <c r="A30" s="4">
        <f>IF($D30="","",ROW()-1)</f>
        <v/>
      </c>
      <c r="B30" s="4">
        <f>IF($D30="","",設定対象施設)</f>
        <v/>
      </c>
      <c r="C30" s="4" t="n"/>
      <c r="D30" s="16" t="n"/>
      <c r="E30" s="16" t="n"/>
      <c r="F30" s="16" t="n"/>
      <c r="G30" s="16" t="n"/>
      <c r="H30" s="16" t="n"/>
      <c r="I30" s="17">
        <f>IFERROR(IF($F30=0,"",$H30/$F30),"")</f>
        <v/>
      </c>
      <c r="J30" s="16" t="n"/>
      <c r="K30" s="16" t="n"/>
      <c r="L30" s="16" t="n"/>
      <c r="M30" s="16" t="n"/>
      <c r="N30" s="16" t="n"/>
      <c r="O30" s="18" t="n"/>
      <c r="P30" s="18" t="n"/>
      <c r="Q30" s="16" t="n"/>
      <c r="R30" s="4">
        <f>IF(OR($P30="",$Q30="完了",$Q30="中止"),"",$P30-TODAY())</f>
        <v/>
      </c>
      <c r="S30" s="4">
        <f>IF($P30="","",IF(OR($Q30="完了",$Q30="中止"),"—",IF($P30&lt;TODAY(),"遅延",IF($P30-TODAY()&lt;=2,"要注意",""))))</f>
        <v/>
      </c>
      <c r="T30" s="18" t="n"/>
      <c r="U30" s="16" t="n"/>
    </row>
    <row r="31">
      <c r="A31" s="4">
        <f>IF($D31="","",ROW()-1)</f>
        <v/>
      </c>
      <c r="B31" s="4">
        <f>IF($D31="","",設定対象施設)</f>
        <v/>
      </c>
      <c r="C31" s="4" t="n"/>
      <c r="D31" s="16" t="n"/>
      <c r="E31" s="16" t="n"/>
      <c r="F31" s="16" t="n"/>
      <c r="G31" s="16" t="n"/>
      <c r="H31" s="16" t="n"/>
      <c r="I31" s="17">
        <f>IFERROR(IF($F31=0,"",$H31/$F31),"")</f>
        <v/>
      </c>
      <c r="J31" s="16" t="n"/>
      <c r="K31" s="16" t="n"/>
      <c r="L31" s="16" t="n"/>
      <c r="M31" s="16" t="n"/>
      <c r="N31" s="16" t="n"/>
      <c r="O31" s="18" t="n"/>
      <c r="P31" s="18" t="n"/>
      <c r="Q31" s="16" t="n"/>
      <c r="R31" s="4">
        <f>IF(OR($P31="",$Q31="完了",$Q31="中止"),"",$P31-TODAY())</f>
        <v/>
      </c>
      <c r="S31" s="4">
        <f>IF($P31="","",IF(OR($Q31="完了",$Q31="中止"),"—",IF($P31&lt;TODAY(),"遅延",IF($P31-TODAY()&lt;=2,"要注意",""))))</f>
        <v/>
      </c>
      <c r="T31" s="18" t="n"/>
      <c r="U31" s="16" t="n"/>
    </row>
    <row r="32">
      <c r="A32" s="4">
        <f>IF($D32="","",ROW()-1)</f>
        <v/>
      </c>
      <c r="B32" s="4">
        <f>IF($D32="","",設定対象施設)</f>
        <v/>
      </c>
      <c r="C32" s="4" t="n"/>
      <c r="D32" s="16" t="n"/>
      <c r="E32" s="16" t="n"/>
      <c r="F32" s="16" t="n"/>
      <c r="G32" s="16" t="n"/>
      <c r="H32" s="16" t="n"/>
      <c r="I32" s="17">
        <f>IFERROR(IF($F32=0,"",$H32/$F32),"")</f>
        <v/>
      </c>
      <c r="J32" s="16" t="n"/>
      <c r="K32" s="16" t="n"/>
      <c r="L32" s="16" t="n"/>
      <c r="M32" s="16" t="n"/>
      <c r="N32" s="16" t="n"/>
      <c r="O32" s="18" t="n"/>
      <c r="P32" s="18" t="n"/>
      <c r="Q32" s="16" t="n"/>
      <c r="R32" s="4">
        <f>IF(OR($P32="",$Q32="完了",$Q32="中止"),"",$P32-TODAY())</f>
        <v/>
      </c>
      <c r="S32" s="4">
        <f>IF($P32="","",IF(OR($Q32="完了",$Q32="中止"),"—",IF($P32&lt;TODAY(),"遅延",IF($P32-TODAY()&lt;=2,"要注意",""))))</f>
        <v/>
      </c>
      <c r="T32" s="18" t="n"/>
      <c r="U32" s="16" t="n"/>
    </row>
    <row r="33">
      <c r="A33" s="4">
        <f>IF($D33="","",ROW()-1)</f>
        <v/>
      </c>
      <c r="B33" s="4">
        <f>IF($D33="","",設定対象施設)</f>
        <v/>
      </c>
      <c r="C33" s="4" t="n"/>
      <c r="D33" s="16" t="n"/>
      <c r="E33" s="16" t="n"/>
      <c r="F33" s="16" t="n"/>
      <c r="G33" s="16" t="n"/>
      <c r="H33" s="16" t="n"/>
      <c r="I33" s="17">
        <f>IFERROR(IF($F33=0,"",$H33/$F33),"")</f>
        <v/>
      </c>
      <c r="J33" s="16" t="n"/>
      <c r="K33" s="16" t="n"/>
      <c r="L33" s="16" t="n"/>
      <c r="M33" s="16" t="n"/>
      <c r="N33" s="16" t="n"/>
      <c r="O33" s="18" t="n"/>
      <c r="P33" s="18" t="n"/>
      <c r="Q33" s="16" t="n"/>
      <c r="R33" s="4">
        <f>IF(OR($P33="",$Q33="完了",$Q33="中止"),"",$P33-TODAY())</f>
        <v/>
      </c>
      <c r="S33" s="4">
        <f>IF($P33="","",IF(OR($Q33="完了",$Q33="中止"),"—",IF($P33&lt;TODAY(),"遅延",IF($P33-TODAY()&lt;=2,"要注意",""))))</f>
        <v/>
      </c>
      <c r="T33" s="18" t="n"/>
      <c r="U33" s="16" t="n"/>
    </row>
    <row r="34">
      <c r="A34" s="4">
        <f>IF($D34="","",ROW()-1)</f>
        <v/>
      </c>
      <c r="B34" s="4">
        <f>IF($D34="","",設定対象施設)</f>
        <v/>
      </c>
      <c r="C34" s="4" t="n"/>
      <c r="D34" s="16" t="n"/>
      <c r="E34" s="16" t="n"/>
      <c r="F34" s="16" t="n"/>
      <c r="G34" s="16" t="n"/>
      <c r="H34" s="16" t="n"/>
      <c r="I34" s="17">
        <f>IFERROR(IF($F34=0,"",$H34/$F34),"")</f>
        <v/>
      </c>
      <c r="J34" s="16" t="n"/>
      <c r="K34" s="16" t="n"/>
      <c r="L34" s="16" t="n"/>
      <c r="M34" s="16" t="n"/>
      <c r="N34" s="16" t="n"/>
      <c r="O34" s="18" t="n"/>
      <c r="P34" s="18" t="n"/>
      <c r="Q34" s="16" t="n"/>
      <c r="R34" s="4">
        <f>IF(OR($P34="",$Q34="完了",$Q34="中止"),"",$P34-TODAY())</f>
        <v/>
      </c>
      <c r="S34" s="4">
        <f>IF($P34="","",IF(OR($Q34="完了",$Q34="中止"),"—",IF($P34&lt;TODAY(),"遅延",IF($P34-TODAY()&lt;=2,"要注意",""))))</f>
        <v/>
      </c>
      <c r="T34" s="18" t="n"/>
      <c r="U34" s="16" t="n"/>
    </row>
    <row r="35">
      <c r="A35" s="4">
        <f>IF($D35="","",ROW()-1)</f>
        <v/>
      </c>
      <c r="B35" s="4">
        <f>IF($D35="","",設定対象施設)</f>
        <v/>
      </c>
      <c r="C35" s="4" t="n"/>
      <c r="D35" s="16" t="n"/>
      <c r="E35" s="16" t="n"/>
      <c r="F35" s="16" t="n"/>
      <c r="G35" s="16" t="n"/>
      <c r="H35" s="16" t="n"/>
      <c r="I35" s="17">
        <f>IFERROR(IF($F35=0,"",$H35/$F35),"")</f>
        <v/>
      </c>
      <c r="J35" s="16" t="n"/>
      <c r="K35" s="16" t="n"/>
      <c r="L35" s="16" t="n"/>
      <c r="M35" s="16" t="n"/>
      <c r="N35" s="16" t="n"/>
      <c r="O35" s="18" t="n"/>
      <c r="P35" s="18" t="n"/>
      <c r="Q35" s="16" t="n"/>
      <c r="R35" s="4">
        <f>IF(OR($P35="",$Q35="完了",$Q35="中止"),"",$P35-TODAY())</f>
        <v/>
      </c>
      <c r="S35" s="4">
        <f>IF($P35="","",IF(OR($Q35="完了",$Q35="中止"),"—",IF($P35&lt;TODAY(),"遅延",IF($P35-TODAY()&lt;=2,"要注意",""))))</f>
        <v/>
      </c>
      <c r="T35" s="18" t="n"/>
      <c r="U35" s="16" t="n"/>
    </row>
    <row r="36">
      <c r="A36" s="4">
        <f>IF($D36="","",ROW()-1)</f>
        <v/>
      </c>
      <c r="B36" s="4">
        <f>IF($D36="","",設定対象施設)</f>
        <v/>
      </c>
      <c r="C36" s="4" t="n"/>
      <c r="D36" s="16" t="n"/>
      <c r="E36" s="16" t="n"/>
      <c r="F36" s="16" t="n"/>
      <c r="G36" s="16" t="n"/>
      <c r="H36" s="16" t="n"/>
      <c r="I36" s="17">
        <f>IFERROR(IF($F36=0,"",$H36/$F36),"")</f>
        <v/>
      </c>
      <c r="J36" s="16" t="n"/>
      <c r="K36" s="16" t="n"/>
      <c r="L36" s="16" t="n"/>
      <c r="M36" s="16" t="n"/>
      <c r="N36" s="16" t="n"/>
      <c r="O36" s="18" t="n"/>
      <c r="P36" s="18" t="n"/>
      <c r="Q36" s="16" t="n"/>
      <c r="R36" s="4">
        <f>IF(OR($P36="",$Q36="完了",$Q36="中止"),"",$P36-TODAY())</f>
        <v/>
      </c>
      <c r="S36" s="4">
        <f>IF($P36="","",IF(OR($Q36="完了",$Q36="中止"),"—",IF($P36&lt;TODAY(),"遅延",IF($P36-TODAY()&lt;=2,"要注意",""))))</f>
        <v/>
      </c>
      <c r="T36" s="18" t="n"/>
      <c r="U36" s="16" t="n"/>
    </row>
    <row r="37">
      <c r="A37" s="4">
        <f>IF($D37="","",ROW()-1)</f>
        <v/>
      </c>
      <c r="B37" s="4">
        <f>IF($D37="","",設定対象施設)</f>
        <v/>
      </c>
      <c r="C37" s="4" t="n"/>
      <c r="D37" s="16" t="n"/>
      <c r="E37" s="16" t="n"/>
      <c r="F37" s="16" t="n"/>
      <c r="G37" s="16" t="n"/>
      <c r="H37" s="16" t="n"/>
      <c r="I37" s="17">
        <f>IFERROR(IF($F37=0,"",$H37/$F37),"")</f>
        <v/>
      </c>
      <c r="J37" s="16" t="n"/>
      <c r="K37" s="16" t="n"/>
      <c r="L37" s="16" t="n"/>
      <c r="M37" s="16" t="n"/>
      <c r="N37" s="16" t="n"/>
      <c r="O37" s="18" t="n"/>
      <c r="P37" s="18" t="n"/>
      <c r="Q37" s="16" t="n"/>
      <c r="R37" s="4">
        <f>IF(OR($P37="",$Q37="完了",$Q37="中止"),"",$P37-TODAY())</f>
        <v/>
      </c>
      <c r="S37" s="4">
        <f>IF($P37="","",IF(OR($Q37="完了",$Q37="中止"),"—",IF($P37&lt;TODAY(),"遅延",IF($P37-TODAY()&lt;=2,"要注意",""))))</f>
        <v/>
      </c>
      <c r="T37" s="18" t="n"/>
      <c r="U37" s="16" t="n"/>
    </row>
    <row r="38">
      <c r="A38" s="4">
        <f>IF($D38="","",ROW()-1)</f>
        <v/>
      </c>
      <c r="B38" s="4">
        <f>IF($D38="","",設定対象施設)</f>
        <v/>
      </c>
      <c r="C38" s="4" t="n"/>
      <c r="D38" s="16" t="n"/>
      <c r="E38" s="16" t="n"/>
      <c r="F38" s="16" t="n"/>
      <c r="G38" s="16" t="n"/>
      <c r="H38" s="16" t="n"/>
      <c r="I38" s="17">
        <f>IFERROR(IF($F38=0,"",$H38/$F38),"")</f>
        <v/>
      </c>
      <c r="J38" s="16" t="n"/>
      <c r="K38" s="16" t="n"/>
      <c r="L38" s="16" t="n"/>
      <c r="M38" s="16" t="n"/>
      <c r="N38" s="16" t="n"/>
      <c r="O38" s="18" t="n"/>
      <c r="P38" s="18" t="n"/>
      <c r="Q38" s="16" t="n"/>
      <c r="R38" s="4">
        <f>IF(OR($P38="",$Q38="完了",$Q38="中止"),"",$P38-TODAY())</f>
        <v/>
      </c>
      <c r="S38" s="4">
        <f>IF($P38="","",IF(OR($Q38="完了",$Q38="中止"),"—",IF($P38&lt;TODAY(),"遅延",IF($P38-TODAY()&lt;=2,"要注意",""))))</f>
        <v/>
      </c>
      <c r="T38" s="18" t="n"/>
      <c r="U38" s="16" t="n"/>
    </row>
    <row r="39">
      <c r="A39" s="4">
        <f>IF($D39="","",ROW()-1)</f>
        <v/>
      </c>
      <c r="B39" s="4">
        <f>IF($D39="","",設定対象施設)</f>
        <v/>
      </c>
      <c r="C39" s="4" t="n"/>
      <c r="D39" s="16" t="n"/>
      <c r="E39" s="16" t="n"/>
      <c r="F39" s="16" t="n"/>
      <c r="G39" s="16" t="n"/>
      <c r="H39" s="16" t="n"/>
      <c r="I39" s="17">
        <f>IFERROR(IF($F39=0,"",$H39/$F39),"")</f>
        <v/>
      </c>
      <c r="J39" s="16" t="n"/>
      <c r="K39" s="16" t="n"/>
      <c r="L39" s="16" t="n"/>
      <c r="M39" s="16" t="n"/>
      <c r="N39" s="16" t="n"/>
      <c r="O39" s="18" t="n"/>
      <c r="P39" s="18" t="n"/>
      <c r="Q39" s="16" t="n"/>
      <c r="R39" s="4">
        <f>IF(OR($P39="",$Q39="完了",$Q39="中止"),"",$P39-TODAY())</f>
        <v/>
      </c>
      <c r="S39" s="4">
        <f>IF($P39="","",IF(OR($Q39="完了",$Q39="中止"),"—",IF($P39&lt;TODAY(),"遅延",IF($P39-TODAY()&lt;=2,"要注意",""))))</f>
        <v/>
      </c>
      <c r="T39" s="18" t="n"/>
      <c r="U39" s="16" t="n"/>
    </row>
    <row r="40">
      <c r="A40" s="4">
        <f>IF($D40="","",ROW()-1)</f>
        <v/>
      </c>
      <c r="B40" s="4">
        <f>IF($D40="","",設定対象施設)</f>
        <v/>
      </c>
      <c r="C40" s="4" t="n"/>
      <c r="D40" s="16" t="n"/>
      <c r="E40" s="16" t="n"/>
      <c r="F40" s="16" t="n"/>
      <c r="G40" s="16" t="n"/>
      <c r="H40" s="16" t="n"/>
      <c r="I40" s="17">
        <f>IFERROR(IF($F40=0,"",$H40/$F40),"")</f>
        <v/>
      </c>
      <c r="J40" s="16" t="n"/>
      <c r="K40" s="16" t="n"/>
      <c r="L40" s="16" t="n"/>
      <c r="M40" s="16" t="n"/>
      <c r="N40" s="16" t="n"/>
      <c r="O40" s="18" t="n"/>
      <c r="P40" s="18" t="n"/>
      <c r="Q40" s="16" t="n"/>
      <c r="R40" s="4">
        <f>IF(OR($P40="",$Q40="完了",$Q40="中止"),"",$P40-TODAY())</f>
        <v/>
      </c>
      <c r="S40" s="4">
        <f>IF($P40="","",IF(OR($Q40="完了",$Q40="中止"),"—",IF($P40&lt;TODAY(),"遅延",IF($P40-TODAY()&lt;=2,"要注意",""))))</f>
        <v/>
      </c>
      <c r="T40" s="18" t="n"/>
      <c r="U40" s="16" t="n"/>
    </row>
    <row r="41">
      <c r="A41" s="4">
        <f>IF($D41="","",ROW()-1)</f>
        <v/>
      </c>
      <c r="B41" s="4">
        <f>IF($D41="","",設定対象施設)</f>
        <v/>
      </c>
      <c r="C41" s="4" t="n"/>
      <c r="D41" s="16" t="n"/>
      <c r="E41" s="16" t="n"/>
      <c r="F41" s="16" t="n"/>
      <c r="G41" s="16" t="n"/>
      <c r="H41" s="16" t="n"/>
      <c r="I41" s="17">
        <f>IFERROR(IF($F41=0,"",$H41/$F41),"")</f>
        <v/>
      </c>
      <c r="J41" s="16" t="n"/>
      <c r="K41" s="16" t="n"/>
      <c r="L41" s="16" t="n"/>
      <c r="M41" s="16" t="n"/>
      <c r="N41" s="16" t="n"/>
      <c r="O41" s="18" t="n"/>
      <c r="P41" s="18" t="n"/>
      <c r="Q41" s="16" t="n"/>
      <c r="R41" s="4">
        <f>IF(OR($P41="",$Q41="完了",$Q41="中止"),"",$P41-TODAY())</f>
        <v/>
      </c>
      <c r="S41" s="4">
        <f>IF($P41="","",IF(OR($Q41="完了",$Q41="中止"),"—",IF($P41&lt;TODAY(),"遅延",IF($P41-TODAY()&lt;=2,"要注意",""))))</f>
        <v/>
      </c>
      <c r="T41" s="18" t="n"/>
      <c r="U41" s="16" t="n"/>
    </row>
    <row r="42">
      <c r="A42" s="4">
        <f>IF($D42="","",ROW()-1)</f>
        <v/>
      </c>
      <c r="B42" s="4">
        <f>IF($D42="","",設定対象施設)</f>
        <v/>
      </c>
      <c r="C42" s="4" t="n"/>
      <c r="D42" s="16" t="n"/>
      <c r="E42" s="16" t="n"/>
      <c r="F42" s="16" t="n"/>
      <c r="G42" s="16" t="n"/>
      <c r="H42" s="16" t="n"/>
      <c r="I42" s="17">
        <f>IFERROR(IF($F42=0,"",$H42/$F42),"")</f>
        <v/>
      </c>
      <c r="J42" s="16" t="n"/>
      <c r="K42" s="16" t="n"/>
      <c r="L42" s="16" t="n"/>
      <c r="M42" s="16" t="n"/>
      <c r="N42" s="16" t="n"/>
      <c r="O42" s="18" t="n"/>
      <c r="P42" s="18" t="n"/>
      <c r="Q42" s="16" t="n"/>
      <c r="R42" s="4">
        <f>IF(OR($P42="",$Q42="完了",$Q42="中止"),"",$P42-TODAY())</f>
        <v/>
      </c>
      <c r="S42" s="4">
        <f>IF($P42="","",IF(OR($Q42="完了",$Q42="中止"),"—",IF($P42&lt;TODAY(),"遅延",IF($P42-TODAY()&lt;=2,"要注意",""))))</f>
        <v/>
      </c>
      <c r="T42" s="18" t="n"/>
      <c r="U42" s="16" t="n"/>
    </row>
    <row r="43">
      <c r="A43" s="4">
        <f>IF($D43="","",ROW()-1)</f>
        <v/>
      </c>
      <c r="B43" s="4">
        <f>IF($D43="","",設定対象施設)</f>
        <v/>
      </c>
      <c r="C43" s="4" t="n"/>
      <c r="D43" s="16" t="n"/>
      <c r="E43" s="16" t="n"/>
      <c r="F43" s="16" t="n"/>
      <c r="G43" s="16" t="n"/>
      <c r="H43" s="16" t="n"/>
      <c r="I43" s="17">
        <f>IFERROR(IF($F43=0,"",$H43/$F43),"")</f>
        <v/>
      </c>
      <c r="J43" s="16" t="n"/>
      <c r="K43" s="16" t="n"/>
      <c r="L43" s="16" t="n"/>
      <c r="M43" s="16" t="n"/>
      <c r="N43" s="16" t="n"/>
      <c r="O43" s="18" t="n"/>
      <c r="P43" s="18" t="n"/>
      <c r="Q43" s="16" t="n"/>
      <c r="R43" s="4">
        <f>IF(OR($P43="",$Q43="完了",$Q43="中止"),"",$P43-TODAY())</f>
        <v/>
      </c>
      <c r="S43" s="4">
        <f>IF($P43="","",IF(OR($Q43="完了",$Q43="中止"),"—",IF($P43&lt;TODAY(),"遅延",IF($P43-TODAY()&lt;=2,"要注意",""))))</f>
        <v/>
      </c>
      <c r="T43" s="18" t="n"/>
      <c r="U43" s="16" t="n"/>
    </row>
    <row r="44">
      <c r="A44" s="4">
        <f>IF($D44="","",ROW()-1)</f>
        <v/>
      </c>
      <c r="B44" s="4">
        <f>IF($D44="","",設定対象施設)</f>
        <v/>
      </c>
      <c r="C44" s="4" t="n"/>
      <c r="D44" s="16" t="n"/>
      <c r="E44" s="16" t="n"/>
      <c r="F44" s="16" t="n"/>
      <c r="G44" s="16" t="n"/>
      <c r="H44" s="16" t="n"/>
      <c r="I44" s="17">
        <f>IFERROR(IF($F44=0,"",$H44/$F44),"")</f>
        <v/>
      </c>
      <c r="J44" s="16" t="n"/>
      <c r="K44" s="16" t="n"/>
      <c r="L44" s="16" t="n"/>
      <c r="M44" s="16" t="n"/>
      <c r="N44" s="16" t="n"/>
      <c r="O44" s="18" t="n"/>
      <c r="P44" s="18" t="n"/>
      <c r="Q44" s="16" t="n"/>
      <c r="R44" s="4">
        <f>IF(OR($P44="",$Q44="完了",$Q44="中止"),"",$P44-TODAY())</f>
        <v/>
      </c>
      <c r="S44" s="4">
        <f>IF($P44="","",IF(OR($Q44="完了",$Q44="中止"),"—",IF($P44&lt;TODAY(),"遅延",IF($P44-TODAY()&lt;=2,"要注意",""))))</f>
        <v/>
      </c>
      <c r="T44" s="18" t="n"/>
      <c r="U44" s="16" t="n"/>
    </row>
    <row r="45">
      <c r="A45" s="4">
        <f>IF($D45="","",ROW()-1)</f>
        <v/>
      </c>
      <c r="B45" s="4">
        <f>IF($D45="","",設定対象施設)</f>
        <v/>
      </c>
      <c r="C45" s="4" t="n"/>
      <c r="D45" s="16" t="n"/>
      <c r="E45" s="16" t="n"/>
      <c r="F45" s="16" t="n"/>
      <c r="G45" s="16" t="n"/>
      <c r="H45" s="16" t="n"/>
      <c r="I45" s="17">
        <f>IFERROR(IF($F45=0,"",$H45/$F45),"")</f>
        <v/>
      </c>
      <c r="J45" s="16" t="n"/>
      <c r="K45" s="16" t="n"/>
      <c r="L45" s="16" t="n"/>
      <c r="M45" s="16" t="n"/>
      <c r="N45" s="16" t="n"/>
      <c r="O45" s="18" t="n"/>
      <c r="P45" s="18" t="n"/>
      <c r="Q45" s="16" t="n"/>
      <c r="R45" s="4">
        <f>IF(OR($P45="",$Q45="完了",$Q45="中止"),"",$P45-TODAY())</f>
        <v/>
      </c>
      <c r="S45" s="4">
        <f>IF($P45="","",IF(OR($Q45="完了",$Q45="中止"),"—",IF($P45&lt;TODAY(),"遅延",IF($P45-TODAY()&lt;=2,"要注意",""))))</f>
        <v/>
      </c>
      <c r="T45" s="18" t="n"/>
      <c r="U45" s="16" t="n"/>
    </row>
    <row r="46">
      <c r="A46" s="4">
        <f>IF($D46="","",ROW()-1)</f>
        <v/>
      </c>
      <c r="B46" s="4">
        <f>IF($D46="","",設定対象施設)</f>
        <v/>
      </c>
      <c r="C46" s="4" t="n"/>
      <c r="D46" s="16" t="n"/>
      <c r="E46" s="16" t="n"/>
      <c r="F46" s="16" t="n"/>
      <c r="G46" s="16" t="n"/>
      <c r="H46" s="16" t="n"/>
      <c r="I46" s="17">
        <f>IFERROR(IF($F46=0,"",$H46/$F46),"")</f>
        <v/>
      </c>
      <c r="J46" s="16" t="n"/>
      <c r="K46" s="16" t="n"/>
      <c r="L46" s="16" t="n"/>
      <c r="M46" s="16" t="n"/>
      <c r="N46" s="16" t="n"/>
      <c r="O46" s="18" t="n"/>
      <c r="P46" s="18" t="n"/>
      <c r="Q46" s="16" t="n"/>
      <c r="R46" s="4">
        <f>IF(OR($P46="",$Q46="完了",$Q46="中止"),"",$P46-TODAY())</f>
        <v/>
      </c>
      <c r="S46" s="4">
        <f>IF($P46="","",IF(OR($Q46="完了",$Q46="中止"),"—",IF($P46&lt;TODAY(),"遅延",IF($P46-TODAY()&lt;=2,"要注意",""))))</f>
        <v/>
      </c>
      <c r="T46" s="18" t="n"/>
      <c r="U46" s="16" t="n"/>
    </row>
    <row r="47">
      <c r="A47" s="4">
        <f>IF($D47="","",ROW()-1)</f>
        <v/>
      </c>
      <c r="B47" s="4">
        <f>IF($D47="","",設定対象施設)</f>
        <v/>
      </c>
      <c r="C47" s="4" t="n"/>
      <c r="D47" s="16" t="n"/>
      <c r="E47" s="16" t="n"/>
      <c r="F47" s="16" t="n"/>
      <c r="G47" s="16" t="n"/>
      <c r="H47" s="16" t="n"/>
      <c r="I47" s="17">
        <f>IFERROR(IF($F47=0,"",$H47/$F47),"")</f>
        <v/>
      </c>
      <c r="J47" s="16" t="n"/>
      <c r="K47" s="16" t="n"/>
      <c r="L47" s="16" t="n"/>
      <c r="M47" s="16" t="n"/>
      <c r="N47" s="16" t="n"/>
      <c r="O47" s="18" t="n"/>
      <c r="P47" s="18" t="n"/>
      <c r="Q47" s="16" t="n"/>
      <c r="R47" s="4">
        <f>IF(OR($P47="",$Q47="完了",$Q47="中止"),"",$P47-TODAY())</f>
        <v/>
      </c>
      <c r="S47" s="4">
        <f>IF($P47="","",IF(OR($Q47="完了",$Q47="中止"),"—",IF($P47&lt;TODAY(),"遅延",IF($P47-TODAY()&lt;=2,"要注意",""))))</f>
        <v/>
      </c>
      <c r="T47" s="18" t="n"/>
      <c r="U47" s="16" t="n"/>
    </row>
    <row r="48">
      <c r="A48" s="4">
        <f>IF($D48="","",ROW()-1)</f>
        <v/>
      </c>
      <c r="B48" s="4">
        <f>IF($D48="","",設定対象施設)</f>
        <v/>
      </c>
      <c r="C48" s="4" t="n"/>
      <c r="D48" s="16" t="n"/>
      <c r="E48" s="16" t="n"/>
      <c r="F48" s="16" t="n"/>
      <c r="G48" s="16" t="n"/>
      <c r="H48" s="16" t="n"/>
      <c r="I48" s="17">
        <f>IFERROR(IF($F48=0,"",$H48/$F48),"")</f>
        <v/>
      </c>
      <c r="J48" s="16" t="n"/>
      <c r="K48" s="16" t="n"/>
      <c r="L48" s="16" t="n"/>
      <c r="M48" s="16" t="n"/>
      <c r="N48" s="16" t="n"/>
      <c r="O48" s="18" t="n"/>
      <c r="P48" s="18" t="n"/>
      <c r="Q48" s="16" t="n"/>
      <c r="R48" s="4">
        <f>IF(OR($P48="",$Q48="完了",$Q48="中止"),"",$P48-TODAY())</f>
        <v/>
      </c>
      <c r="S48" s="4">
        <f>IF($P48="","",IF(OR($Q48="完了",$Q48="中止"),"—",IF($P48&lt;TODAY(),"遅延",IF($P48-TODAY()&lt;=2,"要注意",""))))</f>
        <v/>
      </c>
      <c r="T48" s="18" t="n"/>
      <c r="U48" s="16" t="n"/>
    </row>
    <row r="49">
      <c r="A49" s="4">
        <f>IF($D49="","",ROW()-1)</f>
        <v/>
      </c>
      <c r="B49" s="4">
        <f>IF($D49="","",設定対象施設)</f>
        <v/>
      </c>
      <c r="C49" s="4" t="n"/>
      <c r="D49" s="16" t="n"/>
      <c r="E49" s="16" t="n"/>
      <c r="F49" s="16" t="n"/>
      <c r="G49" s="16" t="n"/>
      <c r="H49" s="16" t="n"/>
      <c r="I49" s="17">
        <f>IFERROR(IF($F49=0,"",$H49/$F49),"")</f>
        <v/>
      </c>
      <c r="J49" s="16" t="n"/>
      <c r="K49" s="16" t="n"/>
      <c r="L49" s="16" t="n"/>
      <c r="M49" s="16" t="n"/>
      <c r="N49" s="16" t="n"/>
      <c r="O49" s="18" t="n"/>
      <c r="P49" s="18" t="n"/>
      <c r="Q49" s="16" t="n"/>
      <c r="R49" s="4">
        <f>IF(OR($P49="",$Q49="完了",$Q49="中止"),"",$P49-TODAY())</f>
        <v/>
      </c>
      <c r="S49" s="4">
        <f>IF($P49="","",IF(OR($Q49="完了",$Q49="中止"),"—",IF($P49&lt;TODAY(),"遅延",IF($P49-TODAY()&lt;=2,"要注意",""))))</f>
        <v/>
      </c>
      <c r="T49" s="18" t="n"/>
      <c r="U49" s="16" t="n"/>
    </row>
    <row r="50">
      <c r="A50" s="4">
        <f>IF($D50="","",ROW()-1)</f>
        <v/>
      </c>
      <c r="B50" s="4">
        <f>IF($D50="","",設定対象施設)</f>
        <v/>
      </c>
      <c r="C50" s="4" t="n"/>
      <c r="D50" s="16" t="n"/>
      <c r="E50" s="16" t="n"/>
      <c r="F50" s="16" t="n"/>
      <c r="G50" s="16" t="n"/>
      <c r="H50" s="16" t="n"/>
      <c r="I50" s="17">
        <f>IFERROR(IF($F50=0,"",$H50/$F50),"")</f>
        <v/>
      </c>
      <c r="J50" s="16" t="n"/>
      <c r="K50" s="16" t="n"/>
      <c r="L50" s="16" t="n"/>
      <c r="M50" s="16" t="n"/>
      <c r="N50" s="16" t="n"/>
      <c r="O50" s="18" t="n"/>
      <c r="P50" s="18" t="n"/>
      <c r="Q50" s="16" t="n"/>
      <c r="R50" s="4">
        <f>IF(OR($P50="",$Q50="完了",$Q50="中止"),"",$P50-TODAY())</f>
        <v/>
      </c>
      <c r="S50" s="4">
        <f>IF($P50="","",IF(OR($Q50="完了",$Q50="中止"),"—",IF($P50&lt;TODAY(),"遅延",IF($P50-TODAY()&lt;=2,"要注意",""))))</f>
        <v/>
      </c>
      <c r="T50" s="18" t="n"/>
      <c r="U50" s="16" t="n"/>
    </row>
    <row r="51">
      <c r="A51" s="4">
        <f>IF($D51="","",ROW()-1)</f>
        <v/>
      </c>
      <c r="B51" s="4">
        <f>IF($D51="","",設定対象施設)</f>
        <v/>
      </c>
      <c r="C51" s="4" t="n"/>
      <c r="D51" s="16" t="n"/>
      <c r="E51" s="16" t="n"/>
      <c r="F51" s="16" t="n"/>
      <c r="G51" s="16" t="n"/>
      <c r="H51" s="16" t="n"/>
      <c r="I51" s="17">
        <f>IFERROR(IF($F51=0,"",$H51/$F51),"")</f>
        <v/>
      </c>
      <c r="J51" s="16" t="n"/>
      <c r="K51" s="16" t="n"/>
      <c r="L51" s="16" t="n"/>
      <c r="M51" s="16" t="n"/>
      <c r="N51" s="16" t="n"/>
      <c r="O51" s="18" t="n"/>
      <c r="P51" s="18" t="n"/>
      <c r="Q51" s="16" t="n"/>
      <c r="R51" s="4">
        <f>IF(OR($P51="",$Q51="完了",$Q51="中止"),"",$P51-TODAY())</f>
        <v/>
      </c>
      <c r="S51" s="4">
        <f>IF($P51="","",IF(OR($Q51="完了",$Q51="中止"),"—",IF($P51&lt;TODAY(),"遅延",IF($P51-TODAY()&lt;=2,"要注意",""))))</f>
        <v/>
      </c>
      <c r="T51" s="18" t="n"/>
      <c r="U51" s="16" t="n"/>
    </row>
    <row r="52">
      <c r="A52" s="4">
        <f>IF($D52="","",ROW()-1)</f>
        <v/>
      </c>
      <c r="B52" s="4">
        <f>IF($D52="","",設定対象施設)</f>
        <v/>
      </c>
      <c r="C52" s="4" t="n"/>
      <c r="D52" s="16" t="n"/>
      <c r="E52" s="16" t="n"/>
      <c r="F52" s="16" t="n"/>
      <c r="G52" s="16" t="n"/>
      <c r="H52" s="16" t="n"/>
      <c r="I52" s="17">
        <f>IFERROR(IF($F52=0,"",$H52/$F52),"")</f>
        <v/>
      </c>
      <c r="J52" s="16" t="n"/>
      <c r="K52" s="16" t="n"/>
      <c r="L52" s="16" t="n"/>
      <c r="M52" s="16" t="n"/>
      <c r="N52" s="16" t="n"/>
      <c r="O52" s="18" t="n"/>
      <c r="P52" s="18" t="n"/>
      <c r="Q52" s="16" t="n"/>
      <c r="R52" s="4">
        <f>IF(OR($P52="",$Q52="完了",$Q52="中止"),"",$P52-TODAY())</f>
        <v/>
      </c>
      <c r="S52" s="4">
        <f>IF($P52="","",IF(OR($Q52="完了",$Q52="中止"),"—",IF($P52&lt;TODAY(),"遅延",IF($P52-TODAY()&lt;=2,"要注意",""))))</f>
        <v/>
      </c>
      <c r="T52" s="18" t="n"/>
      <c r="U52" s="16" t="n"/>
    </row>
    <row r="53">
      <c r="A53" s="4">
        <f>IF($D53="","",ROW()-1)</f>
        <v/>
      </c>
      <c r="B53" s="4">
        <f>IF($D53="","",設定対象施設)</f>
        <v/>
      </c>
      <c r="C53" s="4" t="n"/>
      <c r="D53" s="16" t="n"/>
      <c r="E53" s="16" t="n"/>
      <c r="F53" s="16" t="n"/>
      <c r="G53" s="16" t="n"/>
      <c r="H53" s="16" t="n"/>
      <c r="I53" s="17">
        <f>IFERROR(IF($F53=0,"",$H53/$F53),"")</f>
        <v/>
      </c>
      <c r="J53" s="16" t="n"/>
      <c r="K53" s="16" t="n"/>
      <c r="L53" s="16" t="n"/>
      <c r="M53" s="16" t="n"/>
      <c r="N53" s="16" t="n"/>
      <c r="O53" s="18" t="n"/>
      <c r="P53" s="18" t="n"/>
      <c r="Q53" s="16" t="n"/>
      <c r="R53" s="4">
        <f>IF(OR($P53="",$Q53="完了",$Q53="中止"),"",$P53-TODAY())</f>
        <v/>
      </c>
      <c r="S53" s="4">
        <f>IF($P53="","",IF(OR($Q53="完了",$Q53="中止"),"—",IF($P53&lt;TODAY(),"遅延",IF($P53-TODAY()&lt;=2,"要注意",""))))</f>
        <v/>
      </c>
      <c r="T53" s="18" t="n"/>
      <c r="U53" s="16" t="n"/>
    </row>
    <row r="54">
      <c r="A54" s="4">
        <f>IF($D54="","",ROW()-1)</f>
        <v/>
      </c>
      <c r="B54" s="4">
        <f>IF($D54="","",設定対象施設)</f>
        <v/>
      </c>
      <c r="C54" s="4" t="n"/>
      <c r="D54" s="16" t="n"/>
      <c r="E54" s="16" t="n"/>
      <c r="F54" s="16" t="n"/>
      <c r="G54" s="16" t="n"/>
      <c r="H54" s="16" t="n"/>
      <c r="I54" s="17">
        <f>IFERROR(IF($F54=0,"",$H54/$F54),"")</f>
        <v/>
      </c>
      <c r="J54" s="16" t="n"/>
      <c r="K54" s="16" t="n"/>
      <c r="L54" s="16" t="n"/>
      <c r="M54" s="16" t="n"/>
      <c r="N54" s="16" t="n"/>
      <c r="O54" s="18" t="n"/>
      <c r="P54" s="18" t="n"/>
      <c r="Q54" s="16" t="n"/>
      <c r="R54" s="4">
        <f>IF(OR($P54="",$Q54="完了",$Q54="中止"),"",$P54-TODAY())</f>
        <v/>
      </c>
      <c r="S54" s="4">
        <f>IF($P54="","",IF(OR($Q54="完了",$Q54="中止"),"—",IF($P54&lt;TODAY(),"遅延",IF($P54-TODAY()&lt;=2,"要注意",""))))</f>
        <v/>
      </c>
      <c r="T54" s="18" t="n"/>
      <c r="U54" s="16" t="n"/>
    </row>
    <row r="55">
      <c r="A55" s="4">
        <f>IF($D55="","",ROW()-1)</f>
        <v/>
      </c>
      <c r="B55" s="4">
        <f>IF($D55="","",設定対象施設)</f>
        <v/>
      </c>
      <c r="C55" s="4" t="n"/>
      <c r="D55" s="16" t="n"/>
      <c r="E55" s="16" t="n"/>
      <c r="F55" s="16" t="n"/>
      <c r="G55" s="16" t="n"/>
      <c r="H55" s="16" t="n"/>
      <c r="I55" s="17">
        <f>IFERROR(IF($F55=0,"",$H55/$F55),"")</f>
        <v/>
      </c>
      <c r="J55" s="16" t="n"/>
      <c r="K55" s="16" t="n"/>
      <c r="L55" s="16" t="n"/>
      <c r="M55" s="16" t="n"/>
      <c r="N55" s="16" t="n"/>
      <c r="O55" s="18" t="n"/>
      <c r="P55" s="18" t="n"/>
      <c r="Q55" s="16" t="n"/>
      <c r="R55" s="4">
        <f>IF(OR($P55="",$Q55="完了",$Q55="中止"),"",$P55-TODAY())</f>
        <v/>
      </c>
      <c r="S55" s="4">
        <f>IF($P55="","",IF(OR($Q55="完了",$Q55="中止"),"—",IF($P55&lt;TODAY(),"遅延",IF($P55-TODAY()&lt;=2,"要注意",""))))</f>
        <v/>
      </c>
      <c r="T55" s="18" t="n"/>
      <c r="U55" s="16" t="n"/>
    </row>
    <row r="56">
      <c r="A56" s="4">
        <f>IF($D56="","",ROW()-1)</f>
        <v/>
      </c>
      <c r="B56" s="4">
        <f>IF($D56="","",設定対象施設)</f>
        <v/>
      </c>
      <c r="C56" s="4" t="n"/>
      <c r="D56" s="16" t="n"/>
      <c r="E56" s="16" t="n"/>
      <c r="F56" s="16" t="n"/>
      <c r="G56" s="16" t="n"/>
      <c r="H56" s="16" t="n"/>
      <c r="I56" s="17">
        <f>IFERROR(IF($F56=0,"",$H56/$F56),"")</f>
        <v/>
      </c>
      <c r="J56" s="16" t="n"/>
      <c r="K56" s="16" t="n"/>
      <c r="L56" s="16" t="n"/>
      <c r="M56" s="16" t="n"/>
      <c r="N56" s="16" t="n"/>
      <c r="O56" s="18" t="n"/>
      <c r="P56" s="18" t="n"/>
      <c r="Q56" s="16" t="n"/>
      <c r="R56" s="4">
        <f>IF(OR($P56="",$Q56="完了",$Q56="中止"),"",$P56-TODAY())</f>
        <v/>
      </c>
      <c r="S56" s="4">
        <f>IF($P56="","",IF(OR($Q56="完了",$Q56="中止"),"—",IF($P56&lt;TODAY(),"遅延",IF($P56-TODAY()&lt;=2,"要注意",""))))</f>
        <v/>
      </c>
      <c r="T56" s="18" t="n"/>
      <c r="U56" s="16" t="n"/>
    </row>
    <row r="57">
      <c r="A57" s="4">
        <f>IF($D57="","",ROW()-1)</f>
        <v/>
      </c>
      <c r="B57" s="4">
        <f>IF($D57="","",設定対象施設)</f>
        <v/>
      </c>
      <c r="C57" s="4" t="n"/>
      <c r="D57" s="16" t="n"/>
      <c r="E57" s="16" t="n"/>
      <c r="F57" s="16" t="n"/>
      <c r="G57" s="16" t="n"/>
      <c r="H57" s="16" t="n"/>
      <c r="I57" s="17">
        <f>IFERROR(IF($F57=0,"",$H57/$F57),"")</f>
        <v/>
      </c>
      <c r="J57" s="16" t="n"/>
      <c r="K57" s="16" t="n"/>
      <c r="L57" s="16" t="n"/>
      <c r="M57" s="16" t="n"/>
      <c r="N57" s="16" t="n"/>
      <c r="O57" s="18" t="n"/>
      <c r="P57" s="18" t="n"/>
      <c r="Q57" s="16" t="n"/>
      <c r="R57" s="4">
        <f>IF(OR($P57="",$Q57="完了",$Q57="中止"),"",$P57-TODAY())</f>
        <v/>
      </c>
      <c r="S57" s="4">
        <f>IF($P57="","",IF(OR($Q57="完了",$Q57="中止"),"—",IF($P57&lt;TODAY(),"遅延",IF($P57-TODAY()&lt;=2,"要注意",""))))</f>
        <v/>
      </c>
      <c r="T57" s="18" t="n"/>
      <c r="U57" s="16" t="n"/>
    </row>
    <row r="58">
      <c r="A58" s="4">
        <f>IF($D58="","",ROW()-1)</f>
        <v/>
      </c>
      <c r="B58" s="4">
        <f>IF($D58="","",設定対象施設)</f>
        <v/>
      </c>
      <c r="C58" s="4" t="n"/>
      <c r="D58" s="16" t="n"/>
      <c r="E58" s="16" t="n"/>
      <c r="F58" s="16" t="n"/>
      <c r="G58" s="16" t="n"/>
      <c r="H58" s="16" t="n"/>
      <c r="I58" s="17">
        <f>IFERROR(IF($F58=0,"",$H58/$F58),"")</f>
        <v/>
      </c>
      <c r="J58" s="16" t="n"/>
      <c r="K58" s="16" t="n"/>
      <c r="L58" s="16" t="n"/>
      <c r="M58" s="16" t="n"/>
      <c r="N58" s="16" t="n"/>
      <c r="O58" s="18" t="n"/>
      <c r="P58" s="18" t="n"/>
      <c r="Q58" s="16" t="n"/>
      <c r="R58" s="4">
        <f>IF(OR($P58="",$Q58="完了",$Q58="中止"),"",$P58-TODAY())</f>
        <v/>
      </c>
      <c r="S58" s="4">
        <f>IF($P58="","",IF(OR($Q58="完了",$Q58="中止"),"—",IF($P58&lt;TODAY(),"遅延",IF($P58-TODAY()&lt;=2,"要注意",""))))</f>
        <v/>
      </c>
      <c r="T58" s="18" t="n"/>
      <c r="U58" s="16" t="n"/>
    </row>
    <row r="59">
      <c r="A59" s="4">
        <f>IF($D59="","",ROW()-1)</f>
        <v/>
      </c>
      <c r="B59" s="4">
        <f>IF($D59="","",設定対象施設)</f>
        <v/>
      </c>
      <c r="C59" s="4" t="n"/>
      <c r="D59" s="16" t="n"/>
      <c r="E59" s="16" t="n"/>
      <c r="F59" s="16" t="n"/>
      <c r="G59" s="16" t="n"/>
      <c r="H59" s="16" t="n"/>
      <c r="I59" s="17">
        <f>IFERROR(IF($F59=0,"",$H59/$F59),"")</f>
        <v/>
      </c>
      <c r="J59" s="16" t="n"/>
      <c r="K59" s="16" t="n"/>
      <c r="L59" s="16" t="n"/>
      <c r="M59" s="16" t="n"/>
      <c r="N59" s="16" t="n"/>
      <c r="O59" s="18" t="n"/>
      <c r="P59" s="18" t="n"/>
      <c r="Q59" s="16" t="n"/>
      <c r="R59" s="4">
        <f>IF(OR($P59="",$Q59="完了",$Q59="中止"),"",$P59-TODAY())</f>
        <v/>
      </c>
      <c r="S59" s="4">
        <f>IF($P59="","",IF(OR($Q59="完了",$Q59="中止"),"—",IF($P59&lt;TODAY(),"遅延",IF($P59-TODAY()&lt;=2,"要注意",""))))</f>
        <v/>
      </c>
      <c r="T59" s="18" t="n"/>
      <c r="U59" s="16" t="n"/>
    </row>
    <row r="60">
      <c r="A60" s="4">
        <f>IF($D60="","",ROW()-1)</f>
        <v/>
      </c>
      <c r="B60" s="4">
        <f>IF($D60="","",設定対象施設)</f>
        <v/>
      </c>
      <c r="C60" s="4" t="n"/>
      <c r="D60" s="16" t="n"/>
      <c r="E60" s="16" t="n"/>
      <c r="F60" s="16" t="n"/>
      <c r="G60" s="16" t="n"/>
      <c r="H60" s="16" t="n"/>
      <c r="I60" s="17">
        <f>IFERROR(IF($F60=0,"",$H60/$F60),"")</f>
        <v/>
      </c>
      <c r="J60" s="16" t="n"/>
      <c r="K60" s="16" t="n"/>
      <c r="L60" s="16" t="n"/>
      <c r="M60" s="16" t="n"/>
      <c r="N60" s="16" t="n"/>
      <c r="O60" s="18" t="n"/>
      <c r="P60" s="18" t="n"/>
      <c r="Q60" s="16" t="n"/>
      <c r="R60" s="4">
        <f>IF(OR($P60="",$Q60="完了",$Q60="中止"),"",$P60-TODAY())</f>
        <v/>
      </c>
      <c r="S60" s="4">
        <f>IF($P60="","",IF(OR($Q60="完了",$Q60="中止"),"—",IF($P60&lt;TODAY(),"遅延",IF($P60-TODAY()&lt;=2,"要注意",""))))</f>
        <v/>
      </c>
      <c r="T60" s="18" t="n"/>
      <c r="U60" s="16" t="n"/>
    </row>
    <row r="61">
      <c r="A61" s="4">
        <f>IF($D61="","",ROW()-1)</f>
        <v/>
      </c>
      <c r="B61" s="4">
        <f>IF($D61="","",設定対象施設)</f>
        <v/>
      </c>
      <c r="C61" s="4" t="n"/>
      <c r="D61" s="16" t="n"/>
      <c r="E61" s="16" t="n"/>
      <c r="F61" s="16" t="n"/>
      <c r="G61" s="16" t="n"/>
      <c r="H61" s="16" t="n"/>
      <c r="I61" s="17">
        <f>IFERROR(IF($F61=0,"",$H61/$F61),"")</f>
        <v/>
      </c>
      <c r="J61" s="16" t="n"/>
      <c r="K61" s="16" t="n"/>
      <c r="L61" s="16" t="n"/>
      <c r="M61" s="16" t="n"/>
      <c r="N61" s="16" t="n"/>
      <c r="O61" s="18" t="n"/>
      <c r="P61" s="18" t="n"/>
      <c r="Q61" s="16" t="n"/>
      <c r="R61" s="4">
        <f>IF(OR($P61="",$Q61="完了",$Q61="中止"),"",$P61-TODAY())</f>
        <v/>
      </c>
      <c r="S61" s="4">
        <f>IF($P61="","",IF(OR($Q61="完了",$Q61="中止"),"—",IF($P61&lt;TODAY(),"遅延",IF($P61-TODAY()&lt;=2,"要注意",""))))</f>
        <v/>
      </c>
      <c r="T61" s="18" t="n"/>
      <c r="U61" s="16" t="n"/>
    </row>
  </sheetData>
  <autoFilter ref="A1:U61"/>
  <conditionalFormatting sqref="A2:U61">
    <cfRule type="expression" priority="1" dxfId="0" stopIfTrue="0">
      <formula>$S2="遅延"</formula>
    </cfRule>
    <cfRule type="expression" priority="2" dxfId="1" stopIfTrue="0">
      <formula>$Q2="完了"</formula>
    </cfRule>
  </conditionalFormatting>
  <conditionalFormatting sqref="I2:I61">
    <cfRule type="cellIs" priority="3" operator="greaterThanOrEqual" dxfId="2">
      <formula>1</formula>
    </cfRule>
  </conditionalFormatting>
  <dataValidations count="3">
    <dataValidation sqref="C2:C61" showDropDown="0" showInputMessage="0" showErrorMessage="0" allowBlank="1" type="list">
      <formula1>カテゴリリスト</formula1>
    </dataValidation>
    <dataValidation sqref="Q2:Q61" showDropDown="0" showInputMessage="0" showErrorMessage="0" allowBlank="1" type="list">
      <formula1>ステータスリスト</formula1>
    </dataValidation>
    <dataValidation sqref="N2:N61" showDropDown="0" showInputMessage="0" showErrorMessage="0" allowBlank="1" type="list">
      <formula1>担当者リスト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7" customWidth="1" min="3" max="3"/>
    <col width="7" customWidth="1" min="4" max="4"/>
    <col width="9" customWidth="1" min="5" max="5"/>
    <col width="14" customWidth="1" min="6" max="6"/>
    <col width="20" customWidth="1" min="7" max="7"/>
    <col width="7" customWidth="1" min="8" max="8"/>
    <col width="11" customWidth="1" min="9" max="9"/>
    <col width="11" customWidth="1" min="10" max="10"/>
    <col width="10" customWidth="1" min="11" max="11"/>
    <col width="9" customWidth="1" min="12" max="12"/>
    <col width="16" customWidth="1" min="13" max="13"/>
    <col width="34" customWidth="1" min="14" max="14"/>
    <col width="34" customWidth="1" min="15" max="15"/>
  </cols>
  <sheetData>
    <row r="1" ht="32" customHeight="1">
      <c r="A1" s="5" t="inlineStr">
        <is>
          <t>記録日</t>
        </is>
      </c>
      <c r="B1" s="5" t="inlineStr">
        <is>
          <t>対象施設</t>
        </is>
      </c>
      <c r="C1" s="5" t="inlineStr">
        <is>
          <t>年</t>
        </is>
      </c>
      <c r="D1" s="5" t="inlineStr">
        <is>
          <t>月</t>
        </is>
      </c>
      <c r="E1" s="5" t="inlineStr">
        <is>
          <t>週</t>
        </is>
      </c>
      <c r="F1" s="5" t="inlineStr">
        <is>
          <t>カテゴリ</t>
        </is>
      </c>
      <c r="G1" s="5" t="inlineStr">
        <is>
          <t>指標名</t>
        </is>
      </c>
      <c r="H1" s="5" t="inlineStr">
        <is>
          <t>単位</t>
        </is>
      </c>
      <c r="I1" s="5" t="inlineStr">
        <is>
          <t>週次目標</t>
        </is>
      </c>
      <c r="J1" s="5" t="inlineStr">
        <is>
          <t>実績</t>
        </is>
      </c>
      <c r="K1" s="5" t="inlineStr">
        <is>
          <t>達成率</t>
        </is>
      </c>
      <c r="L1" s="5" t="inlineStr">
        <is>
          <t>差異</t>
        </is>
      </c>
      <c r="M1" s="5" t="inlineStr">
        <is>
          <t>担当者</t>
        </is>
      </c>
      <c r="N1" s="5" t="inlineStr">
        <is>
          <t>未達要因（Check）</t>
        </is>
      </c>
      <c r="O1" s="5" t="inlineStr">
        <is>
          <t>次週アクション（Act）</t>
        </is>
      </c>
    </row>
    <row r="2">
      <c r="A2" s="18" t="n"/>
      <c r="B2" s="4">
        <f>設定対象施設</f>
        <v/>
      </c>
      <c r="C2" s="4">
        <f>設定対象年</f>
        <v/>
      </c>
      <c r="D2" s="4">
        <f>設定対象月</f>
        <v/>
      </c>
      <c r="E2" s="4" t="inlineStr">
        <is>
          <t>第1週</t>
        </is>
      </c>
      <c r="F2" s="4" t="inlineStr">
        <is>
          <t>①施設稼働</t>
        </is>
      </c>
      <c r="G2" s="4" t="inlineStr">
        <is>
          <t>GH稼働率</t>
        </is>
      </c>
      <c r="H2" s="4" t="inlineStr">
        <is>
          <t>%</t>
        </is>
      </c>
      <c r="I2" s="19" t="n"/>
      <c r="J2" s="19" t="n"/>
      <c r="K2" s="17">
        <f>IFERROR(IF($I2=0,"",$J2/$I2),"")</f>
        <v/>
      </c>
      <c r="L2" s="4">
        <f>IF(OR($I2="",$J2=""),"",$J2-$I2)</f>
        <v/>
      </c>
      <c r="M2" s="16" t="n"/>
      <c r="N2" s="16" t="n"/>
      <c r="O2" s="16" t="n"/>
    </row>
    <row r="3">
      <c r="A3" s="18" t="n"/>
      <c r="B3" s="4">
        <f>設定対象施設</f>
        <v/>
      </c>
      <c r="C3" s="4">
        <f>設定対象年</f>
        <v/>
      </c>
      <c r="D3" s="4">
        <f>設定対象月</f>
        <v/>
      </c>
      <c r="E3" s="4" t="inlineStr">
        <is>
          <t>第1週</t>
        </is>
      </c>
      <c r="F3" s="4" t="inlineStr">
        <is>
          <t>①施設稼働</t>
        </is>
      </c>
      <c r="G3" s="4" t="inlineStr">
        <is>
          <t>営業接点件数</t>
        </is>
      </c>
      <c r="H3" s="4" t="inlineStr">
        <is>
          <t>件</t>
        </is>
      </c>
      <c r="I3" s="16" t="n"/>
      <c r="J3" s="16" t="n"/>
      <c r="K3" s="17">
        <f>IFERROR(IF($I3=0,"",$J3/$I3),"")</f>
        <v/>
      </c>
      <c r="L3" s="4">
        <f>IF(OR($I3="",$J3=""),"",$J3-$I3)</f>
        <v/>
      </c>
      <c r="M3" s="16" t="n"/>
      <c r="N3" s="16" t="n"/>
      <c r="O3" s="16" t="n"/>
    </row>
    <row r="4">
      <c r="A4" s="18" t="n"/>
      <c r="B4" s="4">
        <f>設定対象施設</f>
        <v/>
      </c>
      <c r="C4" s="4">
        <f>設定対象年</f>
        <v/>
      </c>
      <c r="D4" s="4">
        <f>設定対象月</f>
        <v/>
      </c>
      <c r="E4" s="4" t="inlineStr">
        <is>
          <t>第1週</t>
        </is>
      </c>
      <c r="F4" s="4" t="inlineStr">
        <is>
          <t>①施設稼働</t>
        </is>
      </c>
      <c r="G4" s="4" t="inlineStr">
        <is>
          <t>見学・体験件数</t>
        </is>
      </c>
      <c r="H4" s="4" t="inlineStr">
        <is>
          <t>件</t>
        </is>
      </c>
      <c r="I4" s="16" t="n"/>
      <c r="J4" s="16" t="n"/>
      <c r="K4" s="17">
        <f>IFERROR(IF($I4=0,"",$J4/$I4),"")</f>
        <v/>
      </c>
      <c r="L4" s="4">
        <f>IF(OR($I4="",$J4=""),"",$J4-$I4)</f>
        <v/>
      </c>
      <c r="M4" s="16" t="n"/>
      <c r="N4" s="16" t="n"/>
      <c r="O4" s="16" t="n"/>
    </row>
    <row r="5">
      <c r="A5" s="18" t="n"/>
      <c r="B5" s="4">
        <f>設定対象施設</f>
        <v/>
      </c>
      <c r="C5" s="4">
        <f>設定対象年</f>
        <v/>
      </c>
      <c r="D5" s="4">
        <f>設定対象月</f>
        <v/>
      </c>
      <c r="E5" s="4" t="inlineStr">
        <is>
          <t>第1週</t>
        </is>
      </c>
      <c r="F5" s="4" t="inlineStr">
        <is>
          <t>①施設稼働</t>
        </is>
      </c>
      <c r="G5" s="4" t="inlineStr">
        <is>
          <t>入居契約件数</t>
        </is>
      </c>
      <c r="H5" s="4" t="inlineStr">
        <is>
          <t>件</t>
        </is>
      </c>
      <c r="I5" s="16" t="n"/>
      <c r="J5" s="16" t="n"/>
      <c r="K5" s="17">
        <f>IFERROR(IF($I5=0,"",$J5/$I5),"")</f>
        <v/>
      </c>
      <c r="L5" s="4">
        <f>IF(OR($I5="",$J5=""),"",$J5-$I5)</f>
        <v/>
      </c>
      <c r="M5" s="16" t="n"/>
      <c r="N5" s="16" t="n"/>
      <c r="O5" s="16" t="n"/>
    </row>
    <row r="6">
      <c r="A6" s="18" t="n"/>
      <c r="B6" s="4">
        <f>設定対象施設</f>
        <v/>
      </c>
      <c r="C6" s="4">
        <f>設定対象年</f>
        <v/>
      </c>
      <c r="D6" s="4">
        <f>設定対象月</f>
        <v/>
      </c>
      <c r="E6" s="4" t="inlineStr">
        <is>
          <t>第1週</t>
        </is>
      </c>
      <c r="F6" s="4" t="inlineStr">
        <is>
          <t>②短期入所</t>
        </is>
      </c>
      <c r="G6" s="4" t="inlineStr">
        <is>
          <t>SS稼働率</t>
        </is>
      </c>
      <c r="H6" s="4" t="inlineStr">
        <is>
          <t>%</t>
        </is>
      </c>
      <c r="I6" s="19" t="n"/>
      <c r="J6" s="19" t="n"/>
      <c r="K6" s="17">
        <f>IFERROR(IF($I6=0,"",$J6/$I6),"")</f>
        <v/>
      </c>
      <c r="L6" s="4">
        <f>IF(OR($I6="",$J6=""),"",$J6-$I6)</f>
        <v/>
      </c>
      <c r="M6" s="16" t="n"/>
      <c r="N6" s="16" t="n"/>
      <c r="O6" s="16" t="n"/>
    </row>
    <row r="7">
      <c r="A7" s="18" t="n"/>
      <c r="B7" s="4">
        <f>設定対象施設</f>
        <v/>
      </c>
      <c r="C7" s="4">
        <f>設定対象年</f>
        <v/>
      </c>
      <c r="D7" s="4">
        <f>設定対象月</f>
        <v/>
      </c>
      <c r="E7" s="4" t="inlineStr">
        <is>
          <t>第1週</t>
        </is>
      </c>
      <c r="F7" s="4" t="inlineStr">
        <is>
          <t>②短期入所</t>
        </is>
      </c>
      <c r="G7" s="4" t="inlineStr">
        <is>
          <t>SS案件発掘件数</t>
        </is>
      </c>
      <c r="H7" s="4" t="inlineStr">
        <is>
          <t>件</t>
        </is>
      </c>
      <c r="I7" s="16" t="n"/>
      <c r="J7" s="16" t="n"/>
      <c r="K7" s="17">
        <f>IFERROR(IF($I7=0,"",$J7/$I7),"")</f>
        <v/>
      </c>
      <c r="L7" s="4">
        <f>IF(OR($I7="",$J7=""),"",$J7-$I7)</f>
        <v/>
      </c>
      <c r="M7" s="16" t="n"/>
      <c r="N7" s="16" t="n"/>
      <c r="O7" s="16" t="n"/>
    </row>
    <row r="8">
      <c r="A8" s="18" t="n"/>
      <c r="B8" s="4">
        <f>設定対象施設</f>
        <v/>
      </c>
      <c r="C8" s="4">
        <f>設定対象年</f>
        <v/>
      </c>
      <c r="D8" s="4">
        <f>設定対象月</f>
        <v/>
      </c>
      <c r="E8" s="4" t="inlineStr">
        <is>
          <t>第1週</t>
        </is>
      </c>
      <c r="F8" s="4" t="inlineStr">
        <is>
          <t>③加算詳細</t>
        </is>
      </c>
      <c r="G8" s="4" t="inlineStr">
        <is>
          <t>夜勤加配 取得率</t>
        </is>
      </c>
      <c r="H8" s="4" t="inlineStr">
        <is>
          <t>%</t>
        </is>
      </c>
      <c r="I8" s="19" t="n"/>
      <c r="J8" s="19" t="n"/>
      <c r="K8" s="17">
        <f>IFERROR(IF($I8=0,"",$J8/$I8),"")</f>
        <v/>
      </c>
      <c r="L8" s="4">
        <f>IF(OR($I8="",$J8=""),"",$J8-$I8)</f>
        <v/>
      </c>
      <c r="M8" s="16" t="n"/>
      <c r="N8" s="16" t="n"/>
      <c r="O8" s="16" t="n"/>
    </row>
    <row r="9">
      <c r="A9" s="18" t="n"/>
      <c r="B9" s="4">
        <f>設定対象施設</f>
        <v/>
      </c>
      <c r="C9" s="4">
        <f>設定対象年</f>
        <v/>
      </c>
      <c r="D9" s="4">
        <f>設定対象月</f>
        <v/>
      </c>
      <c r="E9" s="4" t="inlineStr">
        <is>
          <t>第1週</t>
        </is>
      </c>
      <c r="F9" s="4" t="inlineStr">
        <is>
          <t>④訪看契約</t>
        </is>
      </c>
      <c r="G9" s="4" t="inlineStr">
        <is>
          <t>訪看契約件数</t>
        </is>
      </c>
      <c r="H9" s="4" t="inlineStr">
        <is>
          <t>件</t>
        </is>
      </c>
      <c r="I9" s="16" t="n"/>
      <c r="J9" s="16" t="n"/>
      <c r="K9" s="17">
        <f>IFERROR(IF($I9=0,"",$J9/$I9),"")</f>
        <v/>
      </c>
      <c r="L9" s="4">
        <f>IF(OR($I9="",$J9=""),"",$J9-$I9)</f>
        <v/>
      </c>
      <c r="M9" s="16" t="n"/>
      <c r="N9" s="16" t="n"/>
      <c r="O9" s="16" t="n"/>
    </row>
    <row r="10">
      <c r="A10" s="18" t="n"/>
      <c r="B10" s="4">
        <f>設定対象施設</f>
        <v/>
      </c>
      <c r="C10" s="4">
        <f>設定対象年</f>
        <v/>
      </c>
      <c r="D10" s="4">
        <f>設定対象月</f>
        <v/>
      </c>
      <c r="E10" s="4" t="inlineStr">
        <is>
          <t>第1週</t>
        </is>
      </c>
      <c r="F10" s="4" t="inlineStr">
        <is>
          <t>⑤SQ利用</t>
        </is>
      </c>
      <c r="G10" s="4" t="inlineStr">
        <is>
          <t>SQ契約件数</t>
        </is>
      </c>
      <c r="H10" s="4" t="inlineStr">
        <is>
          <t>件</t>
        </is>
      </c>
      <c r="I10" s="16" t="n"/>
      <c r="J10" s="16" t="n"/>
      <c r="K10" s="17">
        <f>IFERROR(IF($I10=0,"",$J10/$I10),"")</f>
        <v/>
      </c>
      <c r="L10" s="4">
        <f>IF(OR($I10="",$J10=""),"",$J10-$I10)</f>
        <v/>
      </c>
      <c r="M10" s="16" t="n"/>
      <c r="N10" s="16" t="n"/>
      <c r="O10" s="16" t="n"/>
    </row>
    <row r="11">
      <c r="A11" s="18" t="n"/>
      <c r="B11" s="4">
        <f>設定対象施設</f>
        <v/>
      </c>
      <c r="C11" s="4">
        <f>設定対象年</f>
        <v/>
      </c>
      <c r="D11" s="4">
        <f>設定対象月</f>
        <v/>
      </c>
      <c r="E11" s="4" t="inlineStr">
        <is>
          <t>第2週</t>
        </is>
      </c>
      <c r="F11" s="4" t="inlineStr">
        <is>
          <t>①施設稼働</t>
        </is>
      </c>
      <c r="G11" s="4" t="inlineStr">
        <is>
          <t>GH稼働率</t>
        </is>
      </c>
      <c r="H11" s="4" t="inlineStr">
        <is>
          <t>%</t>
        </is>
      </c>
      <c r="I11" s="19" t="n"/>
      <c r="J11" s="19" t="n"/>
      <c r="K11" s="17">
        <f>IFERROR(IF($I11=0,"",$J11/$I11),"")</f>
        <v/>
      </c>
      <c r="L11" s="4">
        <f>IF(OR($I11="",$J11=""),"",$J11-$I11)</f>
        <v/>
      </c>
      <c r="M11" s="16" t="n"/>
      <c r="N11" s="16" t="n"/>
      <c r="O11" s="16" t="n"/>
    </row>
    <row r="12">
      <c r="A12" s="18" t="n"/>
      <c r="B12" s="4">
        <f>設定対象施設</f>
        <v/>
      </c>
      <c r="C12" s="4">
        <f>設定対象年</f>
        <v/>
      </c>
      <c r="D12" s="4">
        <f>設定対象月</f>
        <v/>
      </c>
      <c r="E12" s="4" t="inlineStr">
        <is>
          <t>第2週</t>
        </is>
      </c>
      <c r="F12" s="4" t="inlineStr">
        <is>
          <t>①施設稼働</t>
        </is>
      </c>
      <c r="G12" s="4" t="inlineStr">
        <is>
          <t>営業接点件数</t>
        </is>
      </c>
      <c r="H12" s="4" t="inlineStr">
        <is>
          <t>件</t>
        </is>
      </c>
      <c r="I12" s="16" t="n"/>
      <c r="J12" s="16" t="n"/>
      <c r="K12" s="17">
        <f>IFERROR(IF($I12=0,"",$J12/$I12),"")</f>
        <v/>
      </c>
      <c r="L12" s="4">
        <f>IF(OR($I12="",$J12=""),"",$J12-$I12)</f>
        <v/>
      </c>
      <c r="M12" s="16" t="n"/>
      <c r="N12" s="16" t="n"/>
      <c r="O12" s="16" t="n"/>
    </row>
    <row r="13">
      <c r="A13" s="18" t="n"/>
      <c r="B13" s="4">
        <f>設定対象施設</f>
        <v/>
      </c>
      <c r="C13" s="4">
        <f>設定対象年</f>
        <v/>
      </c>
      <c r="D13" s="4">
        <f>設定対象月</f>
        <v/>
      </c>
      <c r="E13" s="4" t="inlineStr">
        <is>
          <t>第2週</t>
        </is>
      </c>
      <c r="F13" s="4" t="inlineStr">
        <is>
          <t>①施設稼働</t>
        </is>
      </c>
      <c r="G13" s="4" t="inlineStr">
        <is>
          <t>見学・体験件数</t>
        </is>
      </c>
      <c r="H13" s="4" t="inlineStr">
        <is>
          <t>件</t>
        </is>
      </c>
      <c r="I13" s="16" t="n"/>
      <c r="J13" s="16" t="n"/>
      <c r="K13" s="17">
        <f>IFERROR(IF($I13=0,"",$J13/$I13),"")</f>
        <v/>
      </c>
      <c r="L13" s="4">
        <f>IF(OR($I13="",$J13=""),"",$J13-$I13)</f>
        <v/>
      </c>
      <c r="M13" s="16" t="n"/>
      <c r="N13" s="16" t="n"/>
      <c r="O13" s="16" t="n"/>
    </row>
    <row r="14">
      <c r="A14" s="18" t="n"/>
      <c r="B14" s="4">
        <f>設定対象施設</f>
        <v/>
      </c>
      <c r="C14" s="4">
        <f>設定対象年</f>
        <v/>
      </c>
      <c r="D14" s="4">
        <f>設定対象月</f>
        <v/>
      </c>
      <c r="E14" s="4" t="inlineStr">
        <is>
          <t>第2週</t>
        </is>
      </c>
      <c r="F14" s="4" t="inlineStr">
        <is>
          <t>①施設稼働</t>
        </is>
      </c>
      <c r="G14" s="4" t="inlineStr">
        <is>
          <t>入居契約件数</t>
        </is>
      </c>
      <c r="H14" s="4" t="inlineStr">
        <is>
          <t>件</t>
        </is>
      </c>
      <c r="I14" s="16" t="n"/>
      <c r="J14" s="16" t="n"/>
      <c r="K14" s="17">
        <f>IFERROR(IF($I14=0,"",$J14/$I14),"")</f>
        <v/>
      </c>
      <c r="L14" s="4">
        <f>IF(OR($I14="",$J14=""),"",$J14-$I14)</f>
        <v/>
      </c>
      <c r="M14" s="16" t="n"/>
      <c r="N14" s="16" t="n"/>
      <c r="O14" s="16" t="n"/>
    </row>
    <row r="15">
      <c r="A15" s="18" t="n"/>
      <c r="B15" s="4">
        <f>設定対象施設</f>
        <v/>
      </c>
      <c r="C15" s="4">
        <f>設定対象年</f>
        <v/>
      </c>
      <c r="D15" s="4">
        <f>設定対象月</f>
        <v/>
      </c>
      <c r="E15" s="4" t="inlineStr">
        <is>
          <t>第2週</t>
        </is>
      </c>
      <c r="F15" s="4" t="inlineStr">
        <is>
          <t>②短期入所</t>
        </is>
      </c>
      <c r="G15" s="4" t="inlineStr">
        <is>
          <t>SS稼働率</t>
        </is>
      </c>
      <c r="H15" s="4" t="inlineStr">
        <is>
          <t>%</t>
        </is>
      </c>
      <c r="I15" s="19" t="n"/>
      <c r="J15" s="19" t="n"/>
      <c r="K15" s="17">
        <f>IFERROR(IF($I15=0,"",$J15/$I15),"")</f>
        <v/>
      </c>
      <c r="L15" s="4">
        <f>IF(OR($I15="",$J15=""),"",$J15-$I15)</f>
        <v/>
      </c>
      <c r="M15" s="16" t="n"/>
      <c r="N15" s="16" t="n"/>
      <c r="O15" s="16" t="n"/>
    </row>
    <row r="16">
      <c r="A16" s="18" t="n"/>
      <c r="B16" s="4">
        <f>設定対象施設</f>
        <v/>
      </c>
      <c r="C16" s="4">
        <f>設定対象年</f>
        <v/>
      </c>
      <c r="D16" s="4">
        <f>設定対象月</f>
        <v/>
      </c>
      <c r="E16" s="4" t="inlineStr">
        <is>
          <t>第2週</t>
        </is>
      </c>
      <c r="F16" s="4" t="inlineStr">
        <is>
          <t>②短期入所</t>
        </is>
      </c>
      <c r="G16" s="4" t="inlineStr">
        <is>
          <t>SS案件発掘件数</t>
        </is>
      </c>
      <c r="H16" s="4" t="inlineStr">
        <is>
          <t>件</t>
        </is>
      </c>
      <c r="I16" s="16" t="n"/>
      <c r="J16" s="16" t="n"/>
      <c r="K16" s="17">
        <f>IFERROR(IF($I16=0,"",$J16/$I16),"")</f>
        <v/>
      </c>
      <c r="L16" s="4">
        <f>IF(OR($I16="",$J16=""),"",$J16-$I16)</f>
        <v/>
      </c>
      <c r="M16" s="16" t="n"/>
      <c r="N16" s="16" t="n"/>
      <c r="O16" s="16" t="n"/>
    </row>
    <row r="17">
      <c r="A17" s="18" t="n"/>
      <c r="B17" s="4">
        <f>設定対象施設</f>
        <v/>
      </c>
      <c r="C17" s="4">
        <f>設定対象年</f>
        <v/>
      </c>
      <c r="D17" s="4">
        <f>設定対象月</f>
        <v/>
      </c>
      <c r="E17" s="4" t="inlineStr">
        <is>
          <t>第2週</t>
        </is>
      </c>
      <c r="F17" s="4" t="inlineStr">
        <is>
          <t>③加算詳細</t>
        </is>
      </c>
      <c r="G17" s="4" t="inlineStr">
        <is>
          <t>夜勤加配 取得率</t>
        </is>
      </c>
      <c r="H17" s="4" t="inlineStr">
        <is>
          <t>%</t>
        </is>
      </c>
      <c r="I17" s="19" t="n"/>
      <c r="J17" s="19" t="n"/>
      <c r="K17" s="17">
        <f>IFERROR(IF($I17=0,"",$J17/$I17),"")</f>
        <v/>
      </c>
      <c r="L17" s="4">
        <f>IF(OR($I17="",$J17=""),"",$J17-$I17)</f>
        <v/>
      </c>
      <c r="M17" s="16" t="n"/>
      <c r="N17" s="16" t="n"/>
      <c r="O17" s="16" t="n"/>
    </row>
    <row r="18">
      <c r="A18" s="18" t="n"/>
      <c r="B18" s="4">
        <f>設定対象施設</f>
        <v/>
      </c>
      <c r="C18" s="4">
        <f>設定対象年</f>
        <v/>
      </c>
      <c r="D18" s="4">
        <f>設定対象月</f>
        <v/>
      </c>
      <c r="E18" s="4" t="inlineStr">
        <is>
          <t>第2週</t>
        </is>
      </c>
      <c r="F18" s="4" t="inlineStr">
        <is>
          <t>④訪看契約</t>
        </is>
      </c>
      <c r="G18" s="4" t="inlineStr">
        <is>
          <t>訪看契約件数</t>
        </is>
      </c>
      <c r="H18" s="4" t="inlineStr">
        <is>
          <t>件</t>
        </is>
      </c>
      <c r="I18" s="16" t="n"/>
      <c r="J18" s="16" t="n"/>
      <c r="K18" s="17">
        <f>IFERROR(IF($I18=0,"",$J18/$I18),"")</f>
        <v/>
      </c>
      <c r="L18" s="4">
        <f>IF(OR($I18="",$J18=""),"",$J18-$I18)</f>
        <v/>
      </c>
      <c r="M18" s="16" t="n"/>
      <c r="N18" s="16" t="n"/>
      <c r="O18" s="16" t="n"/>
    </row>
    <row r="19">
      <c r="A19" s="18" t="n"/>
      <c r="B19" s="4">
        <f>設定対象施設</f>
        <v/>
      </c>
      <c r="C19" s="4">
        <f>設定対象年</f>
        <v/>
      </c>
      <c r="D19" s="4">
        <f>設定対象月</f>
        <v/>
      </c>
      <c r="E19" s="4" t="inlineStr">
        <is>
          <t>第2週</t>
        </is>
      </c>
      <c r="F19" s="4" t="inlineStr">
        <is>
          <t>⑤SQ利用</t>
        </is>
      </c>
      <c r="G19" s="4" t="inlineStr">
        <is>
          <t>SQ契約件数</t>
        </is>
      </c>
      <c r="H19" s="4" t="inlineStr">
        <is>
          <t>件</t>
        </is>
      </c>
      <c r="I19" s="16" t="n"/>
      <c r="J19" s="16" t="n"/>
      <c r="K19" s="17">
        <f>IFERROR(IF($I19=0,"",$J19/$I19),"")</f>
        <v/>
      </c>
      <c r="L19" s="4">
        <f>IF(OR($I19="",$J19=""),"",$J19-$I19)</f>
        <v/>
      </c>
      <c r="M19" s="16" t="n"/>
      <c r="N19" s="16" t="n"/>
      <c r="O19" s="16" t="n"/>
    </row>
    <row r="20">
      <c r="A20" s="18" t="n"/>
      <c r="B20" s="4">
        <f>設定対象施設</f>
        <v/>
      </c>
      <c r="C20" s="4">
        <f>設定対象年</f>
        <v/>
      </c>
      <c r="D20" s="4">
        <f>設定対象月</f>
        <v/>
      </c>
      <c r="E20" s="4" t="inlineStr">
        <is>
          <t>第3週</t>
        </is>
      </c>
      <c r="F20" s="4" t="inlineStr">
        <is>
          <t>①施設稼働</t>
        </is>
      </c>
      <c r="G20" s="4" t="inlineStr">
        <is>
          <t>GH稼働率</t>
        </is>
      </c>
      <c r="H20" s="4" t="inlineStr">
        <is>
          <t>%</t>
        </is>
      </c>
      <c r="I20" s="19" t="n"/>
      <c r="J20" s="19" t="n"/>
      <c r="K20" s="17">
        <f>IFERROR(IF($I20=0,"",$J20/$I20),"")</f>
        <v/>
      </c>
      <c r="L20" s="4">
        <f>IF(OR($I20="",$J20=""),"",$J20-$I20)</f>
        <v/>
      </c>
      <c r="M20" s="16" t="n"/>
      <c r="N20" s="16" t="n"/>
      <c r="O20" s="16" t="n"/>
    </row>
    <row r="21">
      <c r="A21" s="18" t="n"/>
      <c r="B21" s="4">
        <f>設定対象施設</f>
        <v/>
      </c>
      <c r="C21" s="4">
        <f>設定対象年</f>
        <v/>
      </c>
      <c r="D21" s="4">
        <f>設定対象月</f>
        <v/>
      </c>
      <c r="E21" s="4" t="inlineStr">
        <is>
          <t>第3週</t>
        </is>
      </c>
      <c r="F21" s="4" t="inlineStr">
        <is>
          <t>①施設稼働</t>
        </is>
      </c>
      <c r="G21" s="4" t="inlineStr">
        <is>
          <t>営業接点件数</t>
        </is>
      </c>
      <c r="H21" s="4" t="inlineStr">
        <is>
          <t>件</t>
        </is>
      </c>
      <c r="I21" s="16" t="n"/>
      <c r="J21" s="16" t="n"/>
      <c r="K21" s="17">
        <f>IFERROR(IF($I21=0,"",$J21/$I21),"")</f>
        <v/>
      </c>
      <c r="L21" s="4">
        <f>IF(OR($I21="",$J21=""),"",$J21-$I21)</f>
        <v/>
      </c>
      <c r="M21" s="16" t="n"/>
      <c r="N21" s="16" t="n"/>
      <c r="O21" s="16" t="n"/>
    </row>
    <row r="22">
      <c r="A22" s="18" t="n"/>
      <c r="B22" s="4">
        <f>設定対象施設</f>
        <v/>
      </c>
      <c r="C22" s="4">
        <f>設定対象年</f>
        <v/>
      </c>
      <c r="D22" s="4">
        <f>設定対象月</f>
        <v/>
      </c>
      <c r="E22" s="4" t="inlineStr">
        <is>
          <t>第3週</t>
        </is>
      </c>
      <c r="F22" s="4" t="inlineStr">
        <is>
          <t>①施設稼働</t>
        </is>
      </c>
      <c r="G22" s="4" t="inlineStr">
        <is>
          <t>見学・体験件数</t>
        </is>
      </c>
      <c r="H22" s="4" t="inlineStr">
        <is>
          <t>件</t>
        </is>
      </c>
      <c r="I22" s="16" t="n"/>
      <c r="J22" s="16" t="n"/>
      <c r="K22" s="17">
        <f>IFERROR(IF($I22=0,"",$J22/$I22),"")</f>
        <v/>
      </c>
      <c r="L22" s="4">
        <f>IF(OR($I22="",$J22=""),"",$J22-$I22)</f>
        <v/>
      </c>
      <c r="M22" s="16" t="n"/>
      <c r="N22" s="16" t="n"/>
      <c r="O22" s="16" t="n"/>
    </row>
    <row r="23">
      <c r="A23" s="18" t="n"/>
      <c r="B23" s="4">
        <f>設定対象施設</f>
        <v/>
      </c>
      <c r="C23" s="4">
        <f>設定対象年</f>
        <v/>
      </c>
      <c r="D23" s="4">
        <f>設定対象月</f>
        <v/>
      </c>
      <c r="E23" s="4" t="inlineStr">
        <is>
          <t>第3週</t>
        </is>
      </c>
      <c r="F23" s="4" t="inlineStr">
        <is>
          <t>①施設稼働</t>
        </is>
      </c>
      <c r="G23" s="4" t="inlineStr">
        <is>
          <t>入居契約件数</t>
        </is>
      </c>
      <c r="H23" s="4" t="inlineStr">
        <is>
          <t>件</t>
        </is>
      </c>
      <c r="I23" s="16" t="n"/>
      <c r="J23" s="16" t="n"/>
      <c r="K23" s="17">
        <f>IFERROR(IF($I23=0,"",$J23/$I23),"")</f>
        <v/>
      </c>
      <c r="L23" s="4">
        <f>IF(OR($I23="",$J23=""),"",$J23-$I23)</f>
        <v/>
      </c>
      <c r="M23" s="16" t="n"/>
      <c r="N23" s="16" t="n"/>
      <c r="O23" s="16" t="n"/>
    </row>
    <row r="24">
      <c r="A24" s="18" t="n"/>
      <c r="B24" s="4">
        <f>設定対象施設</f>
        <v/>
      </c>
      <c r="C24" s="4">
        <f>設定対象年</f>
        <v/>
      </c>
      <c r="D24" s="4">
        <f>設定対象月</f>
        <v/>
      </c>
      <c r="E24" s="4" t="inlineStr">
        <is>
          <t>第3週</t>
        </is>
      </c>
      <c r="F24" s="4" t="inlineStr">
        <is>
          <t>②短期入所</t>
        </is>
      </c>
      <c r="G24" s="4" t="inlineStr">
        <is>
          <t>SS稼働率</t>
        </is>
      </c>
      <c r="H24" s="4" t="inlineStr">
        <is>
          <t>%</t>
        </is>
      </c>
      <c r="I24" s="19" t="n"/>
      <c r="J24" s="19" t="n"/>
      <c r="K24" s="17">
        <f>IFERROR(IF($I24=0,"",$J24/$I24),"")</f>
        <v/>
      </c>
      <c r="L24" s="4">
        <f>IF(OR($I24="",$J24=""),"",$J24-$I24)</f>
        <v/>
      </c>
      <c r="M24" s="16" t="n"/>
      <c r="N24" s="16" t="n"/>
      <c r="O24" s="16" t="n"/>
    </row>
    <row r="25">
      <c r="A25" s="18" t="n"/>
      <c r="B25" s="4">
        <f>設定対象施設</f>
        <v/>
      </c>
      <c r="C25" s="4">
        <f>設定対象年</f>
        <v/>
      </c>
      <c r="D25" s="4">
        <f>設定対象月</f>
        <v/>
      </c>
      <c r="E25" s="4" t="inlineStr">
        <is>
          <t>第3週</t>
        </is>
      </c>
      <c r="F25" s="4" t="inlineStr">
        <is>
          <t>②短期入所</t>
        </is>
      </c>
      <c r="G25" s="4" t="inlineStr">
        <is>
          <t>SS案件発掘件数</t>
        </is>
      </c>
      <c r="H25" s="4" t="inlineStr">
        <is>
          <t>件</t>
        </is>
      </c>
      <c r="I25" s="16" t="n"/>
      <c r="J25" s="16" t="n"/>
      <c r="K25" s="17">
        <f>IFERROR(IF($I25=0,"",$J25/$I25),"")</f>
        <v/>
      </c>
      <c r="L25" s="4">
        <f>IF(OR($I25="",$J25=""),"",$J25-$I25)</f>
        <v/>
      </c>
      <c r="M25" s="16" t="n"/>
      <c r="N25" s="16" t="n"/>
      <c r="O25" s="16" t="n"/>
    </row>
    <row r="26">
      <c r="A26" s="18" t="n"/>
      <c r="B26" s="4">
        <f>設定対象施設</f>
        <v/>
      </c>
      <c r="C26" s="4">
        <f>設定対象年</f>
        <v/>
      </c>
      <c r="D26" s="4">
        <f>設定対象月</f>
        <v/>
      </c>
      <c r="E26" s="4" t="inlineStr">
        <is>
          <t>第3週</t>
        </is>
      </c>
      <c r="F26" s="4" t="inlineStr">
        <is>
          <t>③加算詳細</t>
        </is>
      </c>
      <c r="G26" s="4" t="inlineStr">
        <is>
          <t>夜勤加配 取得率</t>
        </is>
      </c>
      <c r="H26" s="4" t="inlineStr">
        <is>
          <t>%</t>
        </is>
      </c>
      <c r="I26" s="19" t="n"/>
      <c r="J26" s="19" t="n"/>
      <c r="K26" s="17">
        <f>IFERROR(IF($I26=0,"",$J26/$I26),"")</f>
        <v/>
      </c>
      <c r="L26" s="4">
        <f>IF(OR($I26="",$J26=""),"",$J26-$I26)</f>
        <v/>
      </c>
      <c r="M26" s="16" t="n"/>
      <c r="N26" s="16" t="n"/>
      <c r="O26" s="16" t="n"/>
    </row>
    <row r="27">
      <c r="A27" s="18" t="n"/>
      <c r="B27" s="4">
        <f>設定対象施設</f>
        <v/>
      </c>
      <c r="C27" s="4">
        <f>設定対象年</f>
        <v/>
      </c>
      <c r="D27" s="4">
        <f>設定対象月</f>
        <v/>
      </c>
      <c r="E27" s="4" t="inlineStr">
        <is>
          <t>第3週</t>
        </is>
      </c>
      <c r="F27" s="4" t="inlineStr">
        <is>
          <t>④訪看契約</t>
        </is>
      </c>
      <c r="G27" s="4" t="inlineStr">
        <is>
          <t>訪看契約件数</t>
        </is>
      </c>
      <c r="H27" s="4" t="inlineStr">
        <is>
          <t>件</t>
        </is>
      </c>
      <c r="I27" s="16" t="n"/>
      <c r="J27" s="16" t="n"/>
      <c r="K27" s="17">
        <f>IFERROR(IF($I27=0,"",$J27/$I27),"")</f>
        <v/>
      </c>
      <c r="L27" s="4">
        <f>IF(OR($I27="",$J27=""),"",$J27-$I27)</f>
        <v/>
      </c>
      <c r="M27" s="16" t="n"/>
      <c r="N27" s="16" t="n"/>
      <c r="O27" s="16" t="n"/>
    </row>
    <row r="28">
      <c r="A28" s="18" t="n"/>
      <c r="B28" s="4">
        <f>設定対象施設</f>
        <v/>
      </c>
      <c r="C28" s="4">
        <f>設定対象年</f>
        <v/>
      </c>
      <c r="D28" s="4">
        <f>設定対象月</f>
        <v/>
      </c>
      <c r="E28" s="4" t="inlineStr">
        <is>
          <t>第3週</t>
        </is>
      </c>
      <c r="F28" s="4" t="inlineStr">
        <is>
          <t>⑤SQ利用</t>
        </is>
      </c>
      <c r="G28" s="4" t="inlineStr">
        <is>
          <t>SQ契約件数</t>
        </is>
      </c>
      <c r="H28" s="4" t="inlineStr">
        <is>
          <t>件</t>
        </is>
      </c>
      <c r="I28" s="16" t="n"/>
      <c r="J28" s="16" t="n"/>
      <c r="K28" s="17">
        <f>IFERROR(IF($I28=0,"",$J28/$I28),"")</f>
        <v/>
      </c>
      <c r="L28" s="4">
        <f>IF(OR($I28="",$J28=""),"",$J28-$I28)</f>
        <v/>
      </c>
      <c r="M28" s="16" t="n"/>
      <c r="N28" s="16" t="n"/>
      <c r="O28" s="16" t="n"/>
    </row>
    <row r="29">
      <c r="A29" s="18" t="n"/>
      <c r="B29" s="4">
        <f>設定対象施設</f>
        <v/>
      </c>
      <c r="C29" s="4">
        <f>設定対象年</f>
        <v/>
      </c>
      <c r="D29" s="4">
        <f>設定対象月</f>
        <v/>
      </c>
      <c r="E29" s="4" t="inlineStr">
        <is>
          <t>第4週</t>
        </is>
      </c>
      <c r="F29" s="4" t="inlineStr">
        <is>
          <t>①施設稼働</t>
        </is>
      </c>
      <c r="G29" s="4" t="inlineStr">
        <is>
          <t>GH稼働率</t>
        </is>
      </c>
      <c r="H29" s="4" t="inlineStr">
        <is>
          <t>%</t>
        </is>
      </c>
      <c r="I29" s="19" t="n"/>
      <c r="J29" s="19" t="n"/>
      <c r="K29" s="17">
        <f>IFERROR(IF($I29=0,"",$J29/$I29),"")</f>
        <v/>
      </c>
      <c r="L29" s="4">
        <f>IF(OR($I29="",$J29=""),"",$J29-$I29)</f>
        <v/>
      </c>
      <c r="M29" s="16" t="n"/>
      <c r="N29" s="16" t="n"/>
      <c r="O29" s="16" t="n"/>
    </row>
    <row r="30">
      <c r="A30" s="18" t="n"/>
      <c r="B30" s="4">
        <f>設定対象施設</f>
        <v/>
      </c>
      <c r="C30" s="4">
        <f>設定対象年</f>
        <v/>
      </c>
      <c r="D30" s="4">
        <f>設定対象月</f>
        <v/>
      </c>
      <c r="E30" s="4" t="inlineStr">
        <is>
          <t>第4週</t>
        </is>
      </c>
      <c r="F30" s="4" t="inlineStr">
        <is>
          <t>①施設稼働</t>
        </is>
      </c>
      <c r="G30" s="4" t="inlineStr">
        <is>
          <t>営業接点件数</t>
        </is>
      </c>
      <c r="H30" s="4" t="inlineStr">
        <is>
          <t>件</t>
        </is>
      </c>
      <c r="I30" s="16" t="n"/>
      <c r="J30" s="16" t="n"/>
      <c r="K30" s="17">
        <f>IFERROR(IF($I30=0,"",$J30/$I30),"")</f>
        <v/>
      </c>
      <c r="L30" s="4">
        <f>IF(OR($I30="",$J30=""),"",$J30-$I30)</f>
        <v/>
      </c>
      <c r="M30" s="16" t="n"/>
      <c r="N30" s="16" t="n"/>
      <c r="O30" s="16" t="n"/>
    </row>
    <row r="31">
      <c r="A31" s="18" t="n"/>
      <c r="B31" s="4">
        <f>設定対象施設</f>
        <v/>
      </c>
      <c r="C31" s="4">
        <f>設定対象年</f>
        <v/>
      </c>
      <c r="D31" s="4">
        <f>設定対象月</f>
        <v/>
      </c>
      <c r="E31" s="4" t="inlineStr">
        <is>
          <t>第4週</t>
        </is>
      </c>
      <c r="F31" s="4" t="inlineStr">
        <is>
          <t>①施設稼働</t>
        </is>
      </c>
      <c r="G31" s="4" t="inlineStr">
        <is>
          <t>見学・体験件数</t>
        </is>
      </c>
      <c r="H31" s="4" t="inlineStr">
        <is>
          <t>件</t>
        </is>
      </c>
      <c r="I31" s="16" t="n"/>
      <c r="J31" s="16" t="n"/>
      <c r="K31" s="17">
        <f>IFERROR(IF($I31=0,"",$J31/$I31),"")</f>
        <v/>
      </c>
      <c r="L31" s="4">
        <f>IF(OR($I31="",$J31=""),"",$J31-$I31)</f>
        <v/>
      </c>
      <c r="M31" s="16" t="n"/>
      <c r="N31" s="16" t="n"/>
      <c r="O31" s="16" t="n"/>
    </row>
    <row r="32">
      <c r="A32" s="18" t="n"/>
      <c r="B32" s="4">
        <f>設定対象施設</f>
        <v/>
      </c>
      <c r="C32" s="4">
        <f>設定対象年</f>
        <v/>
      </c>
      <c r="D32" s="4">
        <f>設定対象月</f>
        <v/>
      </c>
      <c r="E32" s="4" t="inlineStr">
        <is>
          <t>第4週</t>
        </is>
      </c>
      <c r="F32" s="4" t="inlineStr">
        <is>
          <t>①施設稼働</t>
        </is>
      </c>
      <c r="G32" s="4" t="inlineStr">
        <is>
          <t>入居契約件数</t>
        </is>
      </c>
      <c r="H32" s="4" t="inlineStr">
        <is>
          <t>件</t>
        </is>
      </c>
      <c r="I32" s="16" t="n"/>
      <c r="J32" s="16" t="n"/>
      <c r="K32" s="17">
        <f>IFERROR(IF($I32=0,"",$J32/$I32),"")</f>
        <v/>
      </c>
      <c r="L32" s="4">
        <f>IF(OR($I32="",$J32=""),"",$J32-$I32)</f>
        <v/>
      </c>
      <c r="M32" s="16" t="n"/>
      <c r="N32" s="16" t="n"/>
      <c r="O32" s="16" t="n"/>
    </row>
    <row r="33">
      <c r="A33" s="18" t="n"/>
      <c r="B33" s="4">
        <f>設定対象施設</f>
        <v/>
      </c>
      <c r="C33" s="4">
        <f>設定対象年</f>
        <v/>
      </c>
      <c r="D33" s="4">
        <f>設定対象月</f>
        <v/>
      </c>
      <c r="E33" s="4" t="inlineStr">
        <is>
          <t>第4週</t>
        </is>
      </c>
      <c r="F33" s="4" t="inlineStr">
        <is>
          <t>②短期入所</t>
        </is>
      </c>
      <c r="G33" s="4" t="inlineStr">
        <is>
          <t>SS稼働率</t>
        </is>
      </c>
      <c r="H33" s="4" t="inlineStr">
        <is>
          <t>%</t>
        </is>
      </c>
      <c r="I33" s="19" t="n"/>
      <c r="J33" s="19" t="n"/>
      <c r="K33" s="17">
        <f>IFERROR(IF($I33=0,"",$J33/$I33),"")</f>
        <v/>
      </c>
      <c r="L33" s="4">
        <f>IF(OR($I33="",$J33=""),"",$J33-$I33)</f>
        <v/>
      </c>
      <c r="M33" s="16" t="n"/>
      <c r="N33" s="16" t="n"/>
      <c r="O33" s="16" t="n"/>
    </row>
    <row r="34">
      <c r="A34" s="18" t="n"/>
      <c r="B34" s="4">
        <f>設定対象施設</f>
        <v/>
      </c>
      <c r="C34" s="4">
        <f>設定対象年</f>
        <v/>
      </c>
      <c r="D34" s="4">
        <f>設定対象月</f>
        <v/>
      </c>
      <c r="E34" s="4" t="inlineStr">
        <is>
          <t>第4週</t>
        </is>
      </c>
      <c r="F34" s="4" t="inlineStr">
        <is>
          <t>②短期入所</t>
        </is>
      </c>
      <c r="G34" s="4" t="inlineStr">
        <is>
          <t>SS案件発掘件数</t>
        </is>
      </c>
      <c r="H34" s="4" t="inlineStr">
        <is>
          <t>件</t>
        </is>
      </c>
      <c r="I34" s="16" t="n"/>
      <c r="J34" s="16" t="n"/>
      <c r="K34" s="17">
        <f>IFERROR(IF($I34=0,"",$J34/$I34),"")</f>
        <v/>
      </c>
      <c r="L34" s="4">
        <f>IF(OR($I34="",$J34=""),"",$J34-$I34)</f>
        <v/>
      </c>
      <c r="M34" s="16" t="n"/>
      <c r="N34" s="16" t="n"/>
      <c r="O34" s="16" t="n"/>
    </row>
    <row r="35">
      <c r="A35" s="18" t="n"/>
      <c r="B35" s="4">
        <f>設定対象施設</f>
        <v/>
      </c>
      <c r="C35" s="4">
        <f>設定対象年</f>
        <v/>
      </c>
      <c r="D35" s="4">
        <f>設定対象月</f>
        <v/>
      </c>
      <c r="E35" s="4" t="inlineStr">
        <is>
          <t>第4週</t>
        </is>
      </c>
      <c r="F35" s="4" t="inlineStr">
        <is>
          <t>③加算詳細</t>
        </is>
      </c>
      <c r="G35" s="4" t="inlineStr">
        <is>
          <t>夜勤加配 取得率</t>
        </is>
      </c>
      <c r="H35" s="4" t="inlineStr">
        <is>
          <t>%</t>
        </is>
      </c>
      <c r="I35" s="19" t="n"/>
      <c r="J35" s="19" t="n"/>
      <c r="K35" s="17">
        <f>IFERROR(IF($I35=0,"",$J35/$I35),"")</f>
        <v/>
      </c>
      <c r="L35" s="4">
        <f>IF(OR($I35="",$J35=""),"",$J35-$I35)</f>
        <v/>
      </c>
      <c r="M35" s="16" t="n"/>
      <c r="N35" s="16" t="n"/>
      <c r="O35" s="16" t="n"/>
    </row>
    <row r="36">
      <c r="A36" s="18" t="n"/>
      <c r="B36" s="4">
        <f>設定対象施設</f>
        <v/>
      </c>
      <c r="C36" s="4">
        <f>設定対象年</f>
        <v/>
      </c>
      <c r="D36" s="4">
        <f>設定対象月</f>
        <v/>
      </c>
      <c r="E36" s="4" t="inlineStr">
        <is>
          <t>第4週</t>
        </is>
      </c>
      <c r="F36" s="4" t="inlineStr">
        <is>
          <t>④訪看契約</t>
        </is>
      </c>
      <c r="G36" s="4" t="inlineStr">
        <is>
          <t>訪看契約件数</t>
        </is>
      </c>
      <c r="H36" s="4" t="inlineStr">
        <is>
          <t>件</t>
        </is>
      </c>
      <c r="I36" s="16" t="n"/>
      <c r="J36" s="16" t="n"/>
      <c r="K36" s="17">
        <f>IFERROR(IF($I36=0,"",$J36/$I36),"")</f>
        <v/>
      </c>
      <c r="L36" s="4">
        <f>IF(OR($I36="",$J36=""),"",$J36-$I36)</f>
        <v/>
      </c>
      <c r="M36" s="16" t="n"/>
      <c r="N36" s="16" t="n"/>
      <c r="O36" s="16" t="n"/>
    </row>
    <row r="37">
      <c r="A37" s="18" t="n"/>
      <c r="B37" s="4">
        <f>設定対象施設</f>
        <v/>
      </c>
      <c r="C37" s="4">
        <f>設定対象年</f>
        <v/>
      </c>
      <c r="D37" s="4">
        <f>設定対象月</f>
        <v/>
      </c>
      <c r="E37" s="4" t="inlineStr">
        <is>
          <t>第4週</t>
        </is>
      </c>
      <c r="F37" s="4" t="inlineStr">
        <is>
          <t>⑤SQ利用</t>
        </is>
      </c>
      <c r="G37" s="4" t="inlineStr">
        <is>
          <t>SQ契約件数</t>
        </is>
      </c>
      <c r="H37" s="4" t="inlineStr">
        <is>
          <t>件</t>
        </is>
      </c>
      <c r="I37" s="16" t="n"/>
      <c r="J37" s="16" t="n"/>
      <c r="K37" s="17">
        <f>IFERROR(IF($I37=0,"",$J37/$I37),"")</f>
        <v/>
      </c>
      <c r="L37" s="4">
        <f>IF(OR($I37="",$J37=""),"",$J37-$I37)</f>
        <v/>
      </c>
      <c r="M37" s="16" t="n"/>
      <c r="N37" s="16" t="n"/>
      <c r="O37" s="16" t="n"/>
    </row>
    <row r="38">
      <c r="A38" s="18" t="n"/>
      <c r="B38" s="4">
        <f>設定対象施設</f>
        <v/>
      </c>
      <c r="C38" s="4">
        <f>設定対象年</f>
        <v/>
      </c>
      <c r="D38" s="4">
        <f>設定対象月</f>
        <v/>
      </c>
      <c r="E38" s="4" t="inlineStr">
        <is>
          <t>第5週</t>
        </is>
      </c>
      <c r="F38" s="4" t="inlineStr">
        <is>
          <t>①施設稼働</t>
        </is>
      </c>
      <c r="G38" s="4" t="inlineStr">
        <is>
          <t>GH稼働率</t>
        </is>
      </c>
      <c r="H38" s="4" t="inlineStr">
        <is>
          <t>%</t>
        </is>
      </c>
      <c r="I38" s="19" t="n"/>
      <c r="J38" s="19" t="n"/>
      <c r="K38" s="17">
        <f>IFERROR(IF($I38=0,"",$J38/$I38),"")</f>
        <v/>
      </c>
      <c r="L38" s="4">
        <f>IF(OR($I38="",$J38=""),"",$J38-$I38)</f>
        <v/>
      </c>
      <c r="M38" s="16" t="n"/>
      <c r="N38" s="16" t="n"/>
      <c r="O38" s="16" t="n"/>
    </row>
    <row r="39">
      <c r="A39" s="18" t="n"/>
      <c r="B39" s="4">
        <f>設定対象施設</f>
        <v/>
      </c>
      <c r="C39" s="4">
        <f>設定対象年</f>
        <v/>
      </c>
      <c r="D39" s="4">
        <f>設定対象月</f>
        <v/>
      </c>
      <c r="E39" s="4" t="inlineStr">
        <is>
          <t>第5週</t>
        </is>
      </c>
      <c r="F39" s="4" t="inlineStr">
        <is>
          <t>①施設稼働</t>
        </is>
      </c>
      <c r="G39" s="4" t="inlineStr">
        <is>
          <t>営業接点件数</t>
        </is>
      </c>
      <c r="H39" s="4" t="inlineStr">
        <is>
          <t>件</t>
        </is>
      </c>
      <c r="I39" s="16" t="n"/>
      <c r="J39" s="16" t="n"/>
      <c r="K39" s="17">
        <f>IFERROR(IF($I39=0,"",$J39/$I39),"")</f>
        <v/>
      </c>
      <c r="L39" s="4">
        <f>IF(OR($I39="",$J39=""),"",$J39-$I39)</f>
        <v/>
      </c>
      <c r="M39" s="16" t="n"/>
      <c r="N39" s="16" t="n"/>
      <c r="O39" s="16" t="n"/>
    </row>
    <row r="40">
      <c r="A40" s="18" t="n"/>
      <c r="B40" s="4">
        <f>設定対象施設</f>
        <v/>
      </c>
      <c r="C40" s="4">
        <f>設定対象年</f>
        <v/>
      </c>
      <c r="D40" s="4">
        <f>設定対象月</f>
        <v/>
      </c>
      <c r="E40" s="4" t="inlineStr">
        <is>
          <t>第5週</t>
        </is>
      </c>
      <c r="F40" s="4" t="inlineStr">
        <is>
          <t>①施設稼働</t>
        </is>
      </c>
      <c r="G40" s="4" t="inlineStr">
        <is>
          <t>見学・体験件数</t>
        </is>
      </c>
      <c r="H40" s="4" t="inlineStr">
        <is>
          <t>件</t>
        </is>
      </c>
      <c r="I40" s="16" t="n"/>
      <c r="J40" s="16" t="n"/>
      <c r="K40" s="17">
        <f>IFERROR(IF($I40=0,"",$J40/$I40),"")</f>
        <v/>
      </c>
      <c r="L40" s="4">
        <f>IF(OR($I40="",$J40=""),"",$J40-$I40)</f>
        <v/>
      </c>
      <c r="M40" s="16" t="n"/>
      <c r="N40" s="16" t="n"/>
      <c r="O40" s="16" t="n"/>
    </row>
    <row r="41">
      <c r="A41" s="18" t="n"/>
      <c r="B41" s="4">
        <f>設定対象施設</f>
        <v/>
      </c>
      <c r="C41" s="4">
        <f>設定対象年</f>
        <v/>
      </c>
      <c r="D41" s="4">
        <f>設定対象月</f>
        <v/>
      </c>
      <c r="E41" s="4" t="inlineStr">
        <is>
          <t>第5週</t>
        </is>
      </c>
      <c r="F41" s="4" t="inlineStr">
        <is>
          <t>①施設稼働</t>
        </is>
      </c>
      <c r="G41" s="4" t="inlineStr">
        <is>
          <t>入居契約件数</t>
        </is>
      </c>
      <c r="H41" s="4" t="inlineStr">
        <is>
          <t>件</t>
        </is>
      </c>
      <c r="I41" s="16" t="n"/>
      <c r="J41" s="16" t="n"/>
      <c r="K41" s="17">
        <f>IFERROR(IF($I41=0,"",$J41/$I41),"")</f>
        <v/>
      </c>
      <c r="L41" s="4">
        <f>IF(OR($I41="",$J41=""),"",$J41-$I41)</f>
        <v/>
      </c>
      <c r="M41" s="16" t="n"/>
      <c r="N41" s="16" t="n"/>
      <c r="O41" s="16" t="n"/>
    </row>
    <row r="42">
      <c r="A42" s="18" t="n"/>
      <c r="B42" s="4">
        <f>設定対象施設</f>
        <v/>
      </c>
      <c r="C42" s="4">
        <f>設定対象年</f>
        <v/>
      </c>
      <c r="D42" s="4">
        <f>設定対象月</f>
        <v/>
      </c>
      <c r="E42" s="4" t="inlineStr">
        <is>
          <t>第5週</t>
        </is>
      </c>
      <c r="F42" s="4" t="inlineStr">
        <is>
          <t>②短期入所</t>
        </is>
      </c>
      <c r="G42" s="4" t="inlineStr">
        <is>
          <t>SS稼働率</t>
        </is>
      </c>
      <c r="H42" s="4" t="inlineStr">
        <is>
          <t>%</t>
        </is>
      </c>
      <c r="I42" s="19" t="n"/>
      <c r="J42" s="19" t="n"/>
      <c r="K42" s="17">
        <f>IFERROR(IF($I42=0,"",$J42/$I42),"")</f>
        <v/>
      </c>
      <c r="L42" s="4">
        <f>IF(OR($I42="",$J42=""),"",$J42-$I42)</f>
        <v/>
      </c>
      <c r="M42" s="16" t="n"/>
      <c r="N42" s="16" t="n"/>
      <c r="O42" s="16" t="n"/>
    </row>
    <row r="43">
      <c r="A43" s="18" t="n"/>
      <c r="B43" s="4">
        <f>設定対象施設</f>
        <v/>
      </c>
      <c r="C43" s="4">
        <f>設定対象年</f>
        <v/>
      </c>
      <c r="D43" s="4">
        <f>設定対象月</f>
        <v/>
      </c>
      <c r="E43" s="4" t="inlineStr">
        <is>
          <t>第5週</t>
        </is>
      </c>
      <c r="F43" s="4" t="inlineStr">
        <is>
          <t>②短期入所</t>
        </is>
      </c>
      <c r="G43" s="4" t="inlineStr">
        <is>
          <t>SS案件発掘件数</t>
        </is>
      </c>
      <c r="H43" s="4" t="inlineStr">
        <is>
          <t>件</t>
        </is>
      </c>
      <c r="I43" s="16" t="n"/>
      <c r="J43" s="16" t="n"/>
      <c r="K43" s="17">
        <f>IFERROR(IF($I43=0,"",$J43/$I43),"")</f>
        <v/>
      </c>
      <c r="L43" s="4">
        <f>IF(OR($I43="",$J43=""),"",$J43-$I43)</f>
        <v/>
      </c>
      <c r="M43" s="16" t="n"/>
      <c r="N43" s="16" t="n"/>
      <c r="O43" s="16" t="n"/>
    </row>
    <row r="44">
      <c r="A44" s="18" t="n"/>
      <c r="B44" s="4">
        <f>設定対象施設</f>
        <v/>
      </c>
      <c r="C44" s="4">
        <f>設定対象年</f>
        <v/>
      </c>
      <c r="D44" s="4">
        <f>設定対象月</f>
        <v/>
      </c>
      <c r="E44" s="4" t="inlineStr">
        <is>
          <t>第5週</t>
        </is>
      </c>
      <c r="F44" s="4" t="inlineStr">
        <is>
          <t>③加算詳細</t>
        </is>
      </c>
      <c r="G44" s="4" t="inlineStr">
        <is>
          <t>夜勤加配 取得率</t>
        </is>
      </c>
      <c r="H44" s="4" t="inlineStr">
        <is>
          <t>%</t>
        </is>
      </c>
      <c r="I44" s="19" t="n"/>
      <c r="J44" s="19" t="n"/>
      <c r="K44" s="17">
        <f>IFERROR(IF($I44=0,"",$J44/$I44),"")</f>
        <v/>
      </c>
      <c r="L44" s="4">
        <f>IF(OR($I44="",$J44=""),"",$J44-$I44)</f>
        <v/>
      </c>
      <c r="M44" s="16" t="n"/>
      <c r="N44" s="16" t="n"/>
      <c r="O44" s="16" t="n"/>
    </row>
    <row r="45">
      <c r="A45" s="18" t="n"/>
      <c r="B45" s="4">
        <f>設定対象施設</f>
        <v/>
      </c>
      <c r="C45" s="4">
        <f>設定対象年</f>
        <v/>
      </c>
      <c r="D45" s="4">
        <f>設定対象月</f>
        <v/>
      </c>
      <c r="E45" s="4" t="inlineStr">
        <is>
          <t>第5週</t>
        </is>
      </c>
      <c r="F45" s="4" t="inlineStr">
        <is>
          <t>④訪看契約</t>
        </is>
      </c>
      <c r="G45" s="4" t="inlineStr">
        <is>
          <t>訪看契約件数</t>
        </is>
      </c>
      <c r="H45" s="4" t="inlineStr">
        <is>
          <t>件</t>
        </is>
      </c>
      <c r="I45" s="16" t="n"/>
      <c r="J45" s="16" t="n"/>
      <c r="K45" s="17">
        <f>IFERROR(IF($I45=0,"",$J45/$I45),"")</f>
        <v/>
      </c>
      <c r="L45" s="4">
        <f>IF(OR($I45="",$J45=""),"",$J45-$I45)</f>
        <v/>
      </c>
      <c r="M45" s="16" t="n"/>
      <c r="N45" s="16" t="n"/>
      <c r="O45" s="16" t="n"/>
    </row>
    <row r="46">
      <c r="A46" s="18" t="n"/>
      <c r="B46" s="4">
        <f>設定対象施設</f>
        <v/>
      </c>
      <c r="C46" s="4">
        <f>設定対象年</f>
        <v/>
      </c>
      <c r="D46" s="4">
        <f>設定対象月</f>
        <v/>
      </c>
      <c r="E46" s="4" t="inlineStr">
        <is>
          <t>第5週</t>
        </is>
      </c>
      <c r="F46" s="4" t="inlineStr">
        <is>
          <t>⑤SQ利用</t>
        </is>
      </c>
      <c r="G46" s="4" t="inlineStr">
        <is>
          <t>SQ契約件数</t>
        </is>
      </c>
      <c r="H46" s="4" t="inlineStr">
        <is>
          <t>件</t>
        </is>
      </c>
      <c r="I46" s="16" t="n"/>
      <c r="J46" s="16" t="n"/>
      <c r="K46" s="17">
        <f>IFERROR(IF($I46=0,"",$J46/$I46),"")</f>
        <v/>
      </c>
      <c r="L46" s="4">
        <f>IF(OR($I46="",$J46=""),"",$J46-$I46)</f>
        <v/>
      </c>
      <c r="M46" s="16" t="n"/>
      <c r="N46" s="16" t="n"/>
      <c r="O46" s="16" t="n"/>
    </row>
  </sheetData>
  <autoFilter ref="A1:O46"/>
  <conditionalFormatting sqref="K2:K46">
    <cfRule type="cellIs" priority="1" operator="lessThan" dxfId="0">
      <formula>1</formula>
    </cfRule>
    <cfRule type="cellIs" priority="2" operator="greaterThanOrEqual" dxfId="2">
      <formula>1</formula>
    </cfRule>
  </conditionalFormatting>
  <dataValidations count="1">
    <dataValidation sqref="M2:M46" showDropDown="0" showInputMessage="0" showErrorMessage="0" allowBlank="1" type="list">
      <formula1>担当者リスト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34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0" customWidth="1" min="11" max="11"/>
    <col width="18" customWidth="1" min="12" max="12"/>
    <col width="12" customWidth="1" min="13" max="13"/>
    <col width="12" customWidth="1" min="14" max="14"/>
  </cols>
  <sheetData>
    <row r="2">
      <c r="B2" s="1" t="inlineStr">
        <is>
          <t>週間PDCA ダッシュボード</t>
        </is>
      </c>
    </row>
    <row r="3">
      <c r="B3" s="20">
        <f>設定対象施設&amp;"／"&amp;設定対象年&amp;"年"&amp;設定対象月&amp;"月"</f>
        <v/>
      </c>
    </row>
    <row r="5">
      <c r="B5" s="9" t="inlineStr">
        <is>
          <t>■ KPI週次推移（05_週次KPIログの集計）</t>
        </is>
      </c>
    </row>
    <row r="6">
      <c r="B6" s="5" t="inlineStr">
        <is>
          <t>指標名</t>
        </is>
      </c>
      <c r="C6" s="5" t="inlineStr">
        <is>
          <t>単位</t>
        </is>
      </c>
      <c r="D6" s="5" t="inlineStr">
        <is>
          <t>第1週</t>
        </is>
      </c>
      <c r="E6" s="5" t="inlineStr">
        <is>
          <t>第2週</t>
        </is>
      </c>
      <c r="F6" s="5" t="inlineStr">
        <is>
          <t>第3週</t>
        </is>
      </c>
      <c r="G6" s="5" t="inlineStr">
        <is>
          <t>第4週</t>
        </is>
      </c>
      <c r="H6" s="5" t="inlineStr">
        <is>
          <t>第5週</t>
        </is>
      </c>
      <c r="I6" s="5" t="inlineStr">
        <is>
          <t>月間目標</t>
        </is>
      </c>
      <c r="J6" s="5" t="inlineStr">
        <is>
          <t>月間実績</t>
        </is>
      </c>
      <c r="K6" s="5" t="inlineStr">
        <is>
          <t>達成率</t>
        </is>
      </c>
      <c r="L6" s="5" t="inlineStr">
        <is>
          <t>判定</t>
        </is>
      </c>
    </row>
    <row r="7">
      <c r="B7" s="4" t="inlineStr">
        <is>
          <t>GH稼働率</t>
        </is>
      </c>
      <c r="C7" s="4" t="inlineStr">
        <is>
          <t>%</t>
        </is>
      </c>
      <c r="D7" s="17">
        <f>IFERROR(AVERAGEIFS('05_週次KPIログ'!$J$2:$J$46,'05_週次KPIログ'!$G$2:$G$46,$B7,'05_週次KPIログ'!$E$2:$E$46,"第1週"),"")</f>
        <v/>
      </c>
      <c r="E7" s="17">
        <f>IFERROR(AVERAGEIFS('05_週次KPIログ'!$J$2:$J$46,'05_週次KPIログ'!$G$2:$G$46,$B7,'05_週次KPIログ'!$E$2:$E$46,"第2週"),"")</f>
        <v/>
      </c>
      <c r="F7" s="17">
        <f>IFERROR(AVERAGEIFS('05_週次KPIログ'!$J$2:$J$46,'05_週次KPIログ'!$G$2:$G$46,$B7,'05_週次KPIログ'!$E$2:$E$46,"第3週"),"")</f>
        <v/>
      </c>
      <c r="G7" s="17">
        <f>IFERROR(AVERAGEIFS('05_週次KPIログ'!$J$2:$J$46,'05_週次KPIログ'!$G$2:$G$46,$B7,'05_週次KPIログ'!$E$2:$E$46,"第4週"),"")</f>
        <v/>
      </c>
      <c r="H7" s="17">
        <f>IFERROR(AVERAGEIFS('05_週次KPIログ'!$J$2:$J$46,'05_週次KPIログ'!$G$2:$G$46,$B7,'05_週次KPIログ'!$E$2:$E$46,"第5週"),"")</f>
        <v/>
      </c>
      <c r="I7" s="17">
        <f>IFERROR(AVERAGEIFS('05_週次KPIログ'!$I$2:$I$46,'05_週次KPIログ'!$G$2:$G$46,$B7),"")</f>
        <v/>
      </c>
      <c r="J7" s="17">
        <f>IFERROR(AVERAGEIFS('05_週次KPIログ'!$J$2:$J$46,'05_週次KPIログ'!$G$2:$G$46,$B7),"")</f>
        <v/>
      </c>
      <c r="K7" s="17">
        <f>IFERROR(IF($I7=0,"",$J7/$I7),"")</f>
        <v/>
      </c>
      <c r="L7" s="4">
        <f>IF($K7="","未入力",IF($K7&gt;=1,"〇 達成",IF($K7&gt;=0.9,"△ 要注意","✕ 未達")))</f>
        <v/>
      </c>
    </row>
    <row r="8">
      <c r="B8" s="4" t="inlineStr">
        <is>
          <t>営業接点件数</t>
        </is>
      </c>
      <c r="C8" s="4" t="inlineStr">
        <is>
          <t>件</t>
        </is>
      </c>
      <c r="D8" s="4">
        <f>IFERROR(SUMIFS('05_週次KPIログ'!$J$2:$J$46,'05_週次KPIログ'!$G$2:$G$46,$B8,'05_週次KPIログ'!$E$2:$E$46,"第1週"),"")</f>
        <v/>
      </c>
      <c r="E8" s="4">
        <f>IFERROR(SUMIFS('05_週次KPIログ'!$J$2:$J$46,'05_週次KPIログ'!$G$2:$G$46,$B8,'05_週次KPIログ'!$E$2:$E$46,"第2週"),"")</f>
        <v/>
      </c>
      <c r="F8" s="4">
        <f>IFERROR(SUMIFS('05_週次KPIログ'!$J$2:$J$46,'05_週次KPIログ'!$G$2:$G$46,$B8,'05_週次KPIログ'!$E$2:$E$46,"第3週"),"")</f>
        <v/>
      </c>
      <c r="G8" s="4">
        <f>IFERROR(SUMIFS('05_週次KPIログ'!$J$2:$J$46,'05_週次KPIログ'!$G$2:$G$46,$B8,'05_週次KPIログ'!$E$2:$E$46,"第4週"),"")</f>
        <v/>
      </c>
      <c r="H8" s="4">
        <f>IFERROR(SUMIFS('05_週次KPIログ'!$J$2:$J$46,'05_週次KPIログ'!$G$2:$G$46,$B8,'05_週次KPIログ'!$E$2:$E$46,"第5週"),"")</f>
        <v/>
      </c>
      <c r="I8" s="4">
        <f>IFERROR(SUMIFS('05_週次KPIログ'!$I$2:$I$46,'05_週次KPIログ'!$G$2:$G$46,$B8),"")</f>
        <v/>
      </c>
      <c r="J8" s="4">
        <f>IFERROR(SUMIFS('05_週次KPIログ'!$J$2:$J$46,'05_週次KPIログ'!$G$2:$G$46,$B8),"")</f>
        <v/>
      </c>
      <c r="K8" s="17">
        <f>IFERROR(IF($I8=0,"",$J8/$I8),"")</f>
        <v/>
      </c>
      <c r="L8" s="4">
        <f>IF($K8="","未入力",IF($K8&gt;=1,"〇 達成",IF($K8&gt;=0.9,"△ 要注意","✕ 未達")))</f>
        <v/>
      </c>
    </row>
    <row r="9">
      <c r="B9" s="4" t="inlineStr">
        <is>
          <t>見学・体験件数</t>
        </is>
      </c>
      <c r="C9" s="4" t="inlineStr">
        <is>
          <t>件</t>
        </is>
      </c>
      <c r="D9" s="4">
        <f>IFERROR(SUMIFS('05_週次KPIログ'!$J$2:$J$46,'05_週次KPIログ'!$G$2:$G$46,$B9,'05_週次KPIログ'!$E$2:$E$46,"第1週"),"")</f>
        <v/>
      </c>
      <c r="E9" s="4">
        <f>IFERROR(SUMIFS('05_週次KPIログ'!$J$2:$J$46,'05_週次KPIログ'!$G$2:$G$46,$B9,'05_週次KPIログ'!$E$2:$E$46,"第2週"),"")</f>
        <v/>
      </c>
      <c r="F9" s="4">
        <f>IFERROR(SUMIFS('05_週次KPIログ'!$J$2:$J$46,'05_週次KPIログ'!$G$2:$G$46,$B9,'05_週次KPIログ'!$E$2:$E$46,"第3週"),"")</f>
        <v/>
      </c>
      <c r="G9" s="4">
        <f>IFERROR(SUMIFS('05_週次KPIログ'!$J$2:$J$46,'05_週次KPIログ'!$G$2:$G$46,$B9,'05_週次KPIログ'!$E$2:$E$46,"第4週"),"")</f>
        <v/>
      </c>
      <c r="H9" s="4">
        <f>IFERROR(SUMIFS('05_週次KPIログ'!$J$2:$J$46,'05_週次KPIログ'!$G$2:$G$46,$B9,'05_週次KPIログ'!$E$2:$E$46,"第5週"),"")</f>
        <v/>
      </c>
      <c r="I9" s="4">
        <f>IFERROR(SUMIFS('05_週次KPIログ'!$I$2:$I$46,'05_週次KPIログ'!$G$2:$G$46,$B9),"")</f>
        <v/>
      </c>
      <c r="J9" s="4">
        <f>IFERROR(SUMIFS('05_週次KPIログ'!$J$2:$J$46,'05_週次KPIログ'!$G$2:$G$46,$B9),"")</f>
        <v/>
      </c>
      <c r="K9" s="17">
        <f>IFERROR(IF($I9=0,"",$J9/$I9),"")</f>
        <v/>
      </c>
      <c r="L9" s="4">
        <f>IF($K9="","未入力",IF($K9&gt;=1,"〇 達成",IF($K9&gt;=0.9,"△ 要注意","✕ 未達")))</f>
        <v/>
      </c>
    </row>
    <row r="10">
      <c r="B10" s="4" t="inlineStr">
        <is>
          <t>入居契約件数</t>
        </is>
      </c>
      <c r="C10" s="4" t="inlineStr">
        <is>
          <t>件</t>
        </is>
      </c>
      <c r="D10" s="4">
        <f>IFERROR(SUMIFS('05_週次KPIログ'!$J$2:$J$46,'05_週次KPIログ'!$G$2:$G$46,$B10,'05_週次KPIログ'!$E$2:$E$46,"第1週"),"")</f>
        <v/>
      </c>
      <c r="E10" s="4">
        <f>IFERROR(SUMIFS('05_週次KPIログ'!$J$2:$J$46,'05_週次KPIログ'!$G$2:$G$46,$B10,'05_週次KPIログ'!$E$2:$E$46,"第2週"),"")</f>
        <v/>
      </c>
      <c r="F10" s="4">
        <f>IFERROR(SUMIFS('05_週次KPIログ'!$J$2:$J$46,'05_週次KPIログ'!$G$2:$G$46,$B10,'05_週次KPIログ'!$E$2:$E$46,"第3週"),"")</f>
        <v/>
      </c>
      <c r="G10" s="4">
        <f>IFERROR(SUMIFS('05_週次KPIログ'!$J$2:$J$46,'05_週次KPIログ'!$G$2:$G$46,$B10,'05_週次KPIログ'!$E$2:$E$46,"第4週"),"")</f>
        <v/>
      </c>
      <c r="H10" s="4">
        <f>IFERROR(SUMIFS('05_週次KPIログ'!$J$2:$J$46,'05_週次KPIログ'!$G$2:$G$46,$B10,'05_週次KPIログ'!$E$2:$E$46,"第5週"),"")</f>
        <v/>
      </c>
      <c r="I10" s="4">
        <f>IFERROR(SUMIFS('05_週次KPIログ'!$I$2:$I$46,'05_週次KPIログ'!$G$2:$G$46,$B10),"")</f>
        <v/>
      </c>
      <c r="J10" s="4">
        <f>IFERROR(SUMIFS('05_週次KPIログ'!$J$2:$J$46,'05_週次KPIログ'!$G$2:$G$46,$B10),"")</f>
        <v/>
      </c>
      <c r="K10" s="17">
        <f>IFERROR(IF($I10=0,"",$J10/$I10),"")</f>
        <v/>
      </c>
      <c r="L10" s="4">
        <f>IF($K10="","未入力",IF($K10&gt;=1,"〇 達成",IF($K10&gt;=0.9,"△ 要注意","✕ 未達")))</f>
        <v/>
      </c>
    </row>
    <row r="11">
      <c r="B11" s="4" t="inlineStr">
        <is>
          <t>SS稼働率</t>
        </is>
      </c>
      <c r="C11" s="4" t="inlineStr">
        <is>
          <t>%</t>
        </is>
      </c>
      <c r="D11" s="17">
        <f>IFERROR(AVERAGEIFS('05_週次KPIログ'!$J$2:$J$46,'05_週次KPIログ'!$G$2:$G$46,$B11,'05_週次KPIログ'!$E$2:$E$46,"第1週"),"")</f>
        <v/>
      </c>
      <c r="E11" s="17">
        <f>IFERROR(AVERAGEIFS('05_週次KPIログ'!$J$2:$J$46,'05_週次KPIログ'!$G$2:$G$46,$B11,'05_週次KPIログ'!$E$2:$E$46,"第2週"),"")</f>
        <v/>
      </c>
      <c r="F11" s="17">
        <f>IFERROR(AVERAGEIFS('05_週次KPIログ'!$J$2:$J$46,'05_週次KPIログ'!$G$2:$G$46,$B11,'05_週次KPIログ'!$E$2:$E$46,"第3週"),"")</f>
        <v/>
      </c>
      <c r="G11" s="17">
        <f>IFERROR(AVERAGEIFS('05_週次KPIログ'!$J$2:$J$46,'05_週次KPIログ'!$G$2:$G$46,$B11,'05_週次KPIログ'!$E$2:$E$46,"第4週"),"")</f>
        <v/>
      </c>
      <c r="H11" s="17">
        <f>IFERROR(AVERAGEIFS('05_週次KPIログ'!$J$2:$J$46,'05_週次KPIログ'!$G$2:$G$46,$B11,'05_週次KPIログ'!$E$2:$E$46,"第5週"),"")</f>
        <v/>
      </c>
      <c r="I11" s="17">
        <f>IFERROR(AVERAGEIFS('05_週次KPIログ'!$I$2:$I$46,'05_週次KPIログ'!$G$2:$G$46,$B11),"")</f>
        <v/>
      </c>
      <c r="J11" s="17">
        <f>IFERROR(AVERAGEIFS('05_週次KPIログ'!$J$2:$J$46,'05_週次KPIログ'!$G$2:$G$46,$B11),"")</f>
        <v/>
      </c>
      <c r="K11" s="17">
        <f>IFERROR(IF($I11=0,"",$J11/$I11),"")</f>
        <v/>
      </c>
      <c r="L11" s="4">
        <f>IF($K11="","未入力",IF($K11&gt;=1,"〇 達成",IF($K11&gt;=0.9,"△ 要注意","✕ 未達")))</f>
        <v/>
      </c>
    </row>
    <row r="12">
      <c r="B12" s="4" t="inlineStr">
        <is>
          <t>SS案件発掘件数</t>
        </is>
      </c>
      <c r="C12" s="4" t="inlineStr">
        <is>
          <t>件</t>
        </is>
      </c>
      <c r="D12" s="4">
        <f>IFERROR(SUMIFS('05_週次KPIログ'!$J$2:$J$46,'05_週次KPIログ'!$G$2:$G$46,$B12,'05_週次KPIログ'!$E$2:$E$46,"第1週"),"")</f>
        <v/>
      </c>
      <c r="E12" s="4">
        <f>IFERROR(SUMIFS('05_週次KPIログ'!$J$2:$J$46,'05_週次KPIログ'!$G$2:$G$46,$B12,'05_週次KPIログ'!$E$2:$E$46,"第2週"),"")</f>
        <v/>
      </c>
      <c r="F12" s="4">
        <f>IFERROR(SUMIFS('05_週次KPIログ'!$J$2:$J$46,'05_週次KPIログ'!$G$2:$G$46,$B12,'05_週次KPIログ'!$E$2:$E$46,"第3週"),"")</f>
        <v/>
      </c>
      <c r="G12" s="4">
        <f>IFERROR(SUMIFS('05_週次KPIログ'!$J$2:$J$46,'05_週次KPIログ'!$G$2:$G$46,$B12,'05_週次KPIログ'!$E$2:$E$46,"第4週"),"")</f>
        <v/>
      </c>
      <c r="H12" s="4">
        <f>IFERROR(SUMIFS('05_週次KPIログ'!$J$2:$J$46,'05_週次KPIログ'!$G$2:$G$46,$B12,'05_週次KPIログ'!$E$2:$E$46,"第5週"),"")</f>
        <v/>
      </c>
      <c r="I12" s="4">
        <f>IFERROR(SUMIFS('05_週次KPIログ'!$I$2:$I$46,'05_週次KPIログ'!$G$2:$G$46,$B12),"")</f>
        <v/>
      </c>
      <c r="J12" s="4">
        <f>IFERROR(SUMIFS('05_週次KPIログ'!$J$2:$J$46,'05_週次KPIログ'!$G$2:$G$46,$B12),"")</f>
        <v/>
      </c>
      <c r="K12" s="17">
        <f>IFERROR(IF($I12=0,"",$J12/$I12),"")</f>
        <v/>
      </c>
      <c r="L12" s="4">
        <f>IF($K12="","未入力",IF($K12&gt;=1,"〇 達成",IF($K12&gt;=0.9,"△ 要注意","✕ 未達")))</f>
        <v/>
      </c>
    </row>
    <row r="13">
      <c r="B13" s="4" t="inlineStr">
        <is>
          <t>夜勤加配 取得率</t>
        </is>
      </c>
      <c r="C13" s="4" t="inlineStr">
        <is>
          <t>%</t>
        </is>
      </c>
      <c r="D13" s="17">
        <f>IFERROR(AVERAGEIFS('05_週次KPIログ'!$J$2:$J$46,'05_週次KPIログ'!$G$2:$G$46,$B13,'05_週次KPIログ'!$E$2:$E$46,"第1週"),"")</f>
        <v/>
      </c>
      <c r="E13" s="17">
        <f>IFERROR(AVERAGEIFS('05_週次KPIログ'!$J$2:$J$46,'05_週次KPIログ'!$G$2:$G$46,$B13,'05_週次KPIログ'!$E$2:$E$46,"第2週"),"")</f>
        <v/>
      </c>
      <c r="F13" s="17">
        <f>IFERROR(AVERAGEIFS('05_週次KPIログ'!$J$2:$J$46,'05_週次KPIログ'!$G$2:$G$46,$B13,'05_週次KPIログ'!$E$2:$E$46,"第3週"),"")</f>
        <v/>
      </c>
      <c r="G13" s="17">
        <f>IFERROR(AVERAGEIFS('05_週次KPIログ'!$J$2:$J$46,'05_週次KPIログ'!$G$2:$G$46,$B13,'05_週次KPIログ'!$E$2:$E$46,"第4週"),"")</f>
        <v/>
      </c>
      <c r="H13" s="17">
        <f>IFERROR(AVERAGEIFS('05_週次KPIログ'!$J$2:$J$46,'05_週次KPIログ'!$G$2:$G$46,$B13,'05_週次KPIログ'!$E$2:$E$46,"第5週"),"")</f>
        <v/>
      </c>
      <c r="I13" s="17">
        <f>IFERROR(AVERAGEIFS('05_週次KPIログ'!$I$2:$I$46,'05_週次KPIログ'!$G$2:$G$46,$B13),"")</f>
        <v/>
      </c>
      <c r="J13" s="17">
        <f>IFERROR(AVERAGEIFS('05_週次KPIログ'!$J$2:$J$46,'05_週次KPIログ'!$G$2:$G$46,$B13),"")</f>
        <v/>
      </c>
      <c r="K13" s="17">
        <f>IFERROR(IF($I13=0,"",$J13/$I13),"")</f>
        <v/>
      </c>
      <c r="L13" s="4">
        <f>IF($K13="","未入力",IF($K13&gt;=1,"〇 達成",IF($K13&gt;=0.9,"△ 要注意","✕ 未達")))</f>
        <v/>
      </c>
    </row>
    <row r="14">
      <c r="B14" s="4" t="inlineStr">
        <is>
          <t>訪看契約件数</t>
        </is>
      </c>
      <c r="C14" s="4" t="inlineStr">
        <is>
          <t>件</t>
        </is>
      </c>
      <c r="D14" s="4">
        <f>IFERROR(SUMIFS('05_週次KPIログ'!$J$2:$J$46,'05_週次KPIログ'!$G$2:$G$46,$B14,'05_週次KPIログ'!$E$2:$E$46,"第1週"),"")</f>
        <v/>
      </c>
      <c r="E14" s="4">
        <f>IFERROR(SUMIFS('05_週次KPIログ'!$J$2:$J$46,'05_週次KPIログ'!$G$2:$G$46,$B14,'05_週次KPIログ'!$E$2:$E$46,"第2週"),"")</f>
        <v/>
      </c>
      <c r="F14" s="4">
        <f>IFERROR(SUMIFS('05_週次KPIログ'!$J$2:$J$46,'05_週次KPIログ'!$G$2:$G$46,$B14,'05_週次KPIログ'!$E$2:$E$46,"第3週"),"")</f>
        <v/>
      </c>
      <c r="G14" s="4">
        <f>IFERROR(SUMIFS('05_週次KPIログ'!$J$2:$J$46,'05_週次KPIログ'!$G$2:$G$46,$B14,'05_週次KPIログ'!$E$2:$E$46,"第4週"),"")</f>
        <v/>
      </c>
      <c r="H14" s="4">
        <f>IFERROR(SUMIFS('05_週次KPIログ'!$J$2:$J$46,'05_週次KPIログ'!$G$2:$G$46,$B14,'05_週次KPIログ'!$E$2:$E$46,"第5週"),"")</f>
        <v/>
      </c>
      <c r="I14" s="4">
        <f>IFERROR(SUMIFS('05_週次KPIログ'!$I$2:$I$46,'05_週次KPIログ'!$G$2:$G$46,$B14),"")</f>
        <v/>
      </c>
      <c r="J14" s="4">
        <f>IFERROR(SUMIFS('05_週次KPIログ'!$J$2:$J$46,'05_週次KPIログ'!$G$2:$G$46,$B14),"")</f>
        <v/>
      </c>
      <c r="K14" s="17">
        <f>IFERROR(IF($I14=0,"",$J14/$I14),"")</f>
        <v/>
      </c>
      <c r="L14" s="4">
        <f>IF($K14="","未入力",IF($K14&gt;=1,"〇 達成",IF($K14&gt;=0.9,"△ 要注意","✕ 未達")))</f>
        <v/>
      </c>
    </row>
    <row r="15">
      <c r="B15" s="4" t="inlineStr">
        <is>
          <t>SQ契約件数</t>
        </is>
      </c>
      <c r="C15" s="4" t="inlineStr">
        <is>
          <t>件</t>
        </is>
      </c>
      <c r="D15" s="4">
        <f>IFERROR(SUMIFS('05_週次KPIログ'!$J$2:$J$46,'05_週次KPIログ'!$G$2:$G$46,$B15,'05_週次KPIログ'!$E$2:$E$46,"第1週"),"")</f>
        <v/>
      </c>
      <c r="E15" s="4">
        <f>IFERROR(SUMIFS('05_週次KPIログ'!$J$2:$J$46,'05_週次KPIログ'!$G$2:$G$46,$B15,'05_週次KPIログ'!$E$2:$E$46,"第2週"),"")</f>
        <v/>
      </c>
      <c r="F15" s="4">
        <f>IFERROR(SUMIFS('05_週次KPIログ'!$J$2:$J$46,'05_週次KPIログ'!$G$2:$G$46,$B15,'05_週次KPIログ'!$E$2:$E$46,"第3週"),"")</f>
        <v/>
      </c>
      <c r="G15" s="4">
        <f>IFERROR(SUMIFS('05_週次KPIログ'!$J$2:$J$46,'05_週次KPIログ'!$G$2:$G$46,$B15,'05_週次KPIログ'!$E$2:$E$46,"第4週"),"")</f>
        <v/>
      </c>
      <c r="H15" s="4">
        <f>IFERROR(SUMIFS('05_週次KPIログ'!$J$2:$J$46,'05_週次KPIログ'!$G$2:$G$46,$B15,'05_週次KPIログ'!$E$2:$E$46,"第5週"),"")</f>
        <v/>
      </c>
      <c r="I15" s="4">
        <f>IFERROR(SUMIFS('05_週次KPIログ'!$I$2:$I$46,'05_週次KPIログ'!$G$2:$G$46,$B15),"")</f>
        <v/>
      </c>
      <c r="J15" s="4">
        <f>IFERROR(SUMIFS('05_週次KPIログ'!$J$2:$J$46,'05_週次KPIログ'!$G$2:$G$46,$B15),"")</f>
        <v/>
      </c>
      <c r="K15" s="17">
        <f>IFERROR(IF($I15=0,"",$J15/$I15),"")</f>
        <v/>
      </c>
      <c r="L15" s="4">
        <f>IF($K15="","未入力",IF($K15&gt;=1,"〇 達成",IF($K15&gt;=0.9,"△ 要注意","✕ 未達")))</f>
        <v/>
      </c>
    </row>
    <row r="17">
      <c r="B17" s="9" t="inlineStr">
        <is>
          <t>■ 課題ステータス（04_課題管理表の集計）</t>
        </is>
      </c>
      <c r="E17" s="9" t="inlineStr">
        <is>
          <t>■ 担当AM別 課題状況（02_担当者マスタ連動）</t>
        </is>
      </c>
    </row>
    <row r="18">
      <c r="B18" s="5" t="inlineStr">
        <is>
          <t>ステータス</t>
        </is>
      </c>
      <c r="C18" s="5" t="inlineStr">
        <is>
          <t>件数</t>
        </is>
      </c>
      <c r="E18" s="5" t="inlineStr">
        <is>
          <t>担当AM</t>
        </is>
      </c>
      <c r="F18" s="5" t="inlineStr">
        <is>
          <t>担当施設数</t>
        </is>
      </c>
      <c r="G18" s="5" t="inlineStr">
        <is>
          <t>課題件数</t>
        </is>
      </c>
      <c r="H18" s="5" t="inlineStr">
        <is>
          <t>対応中</t>
        </is>
      </c>
      <c r="I18" s="5" t="inlineStr">
        <is>
          <t>遅延件数</t>
        </is>
      </c>
    </row>
    <row r="19">
      <c r="B19" s="4" t="inlineStr">
        <is>
          <t>未着手</t>
        </is>
      </c>
      <c r="C19" s="4">
        <f>COUNTIF('04_課題管理表'!$Q$2:$Q$61,$B19)</f>
        <v/>
      </c>
      <c r="E19" s="4">
        <f>'02_担当者マスタ'!$A2</f>
        <v/>
      </c>
      <c r="F19" s="4">
        <f>'02_担当者マスタ'!$B2</f>
        <v/>
      </c>
      <c r="G19" s="4">
        <f>COUNTIF('04_課題管理表'!$N$2:$N$61,$E19)</f>
        <v/>
      </c>
      <c r="H19" s="4">
        <f>COUNTIFS('04_課題管理表'!$N$2:$N$61,$E19,'04_課題管理表'!$Q$2:$Q$61,"対応中")</f>
        <v/>
      </c>
      <c r="I19" s="4">
        <f>COUNTIFS('04_課題管理表'!$N$2:$N$61,$E19,'04_課題管理表'!$S$2:$S$61,"遅延")</f>
        <v/>
      </c>
    </row>
    <row r="20">
      <c r="B20" s="4" t="inlineStr">
        <is>
          <t>対応中</t>
        </is>
      </c>
      <c r="C20" s="4">
        <f>COUNTIF('04_課題管理表'!$Q$2:$Q$61,$B20)</f>
        <v/>
      </c>
      <c r="E20" s="4">
        <f>'02_担当者マスタ'!$A3</f>
        <v/>
      </c>
      <c r="F20" s="4">
        <f>'02_担当者マスタ'!$B3</f>
        <v/>
      </c>
      <c r="G20" s="4">
        <f>COUNTIF('04_課題管理表'!$N$2:$N$61,$E20)</f>
        <v/>
      </c>
      <c r="H20" s="4">
        <f>COUNTIFS('04_課題管理表'!$N$2:$N$61,$E20,'04_課題管理表'!$Q$2:$Q$61,"対応中")</f>
        <v/>
      </c>
      <c r="I20" s="4">
        <f>COUNTIFS('04_課題管理表'!$N$2:$N$61,$E20,'04_課題管理表'!$S$2:$S$61,"遅延")</f>
        <v/>
      </c>
    </row>
    <row r="21">
      <c r="B21" s="4" t="inlineStr">
        <is>
          <t>完了</t>
        </is>
      </c>
      <c r="C21" s="4">
        <f>COUNTIF('04_課題管理表'!$Q$2:$Q$61,$B21)</f>
        <v/>
      </c>
      <c r="E21" s="4">
        <f>'02_担当者マスタ'!$A4</f>
        <v/>
      </c>
      <c r="F21" s="4">
        <f>'02_担当者マスタ'!$B4</f>
        <v/>
      </c>
      <c r="G21" s="4">
        <f>COUNTIF('04_課題管理表'!$N$2:$N$61,$E21)</f>
        <v/>
      </c>
      <c r="H21" s="4">
        <f>COUNTIFS('04_課題管理表'!$N$2:$N$61,$E21,'04_課題管理表'!$Q$2:$Q$61,"対応中")</f>
        <v/>
      </c>
      <c r="I21" s="4">
        <f>COUNTIFS('04_課題管理表'!$N$2:$N$61,$E21,'04_課題管理表'!$S$2:$S$61,"遅延")</f>
        <v/>
      </c>
    </row>
    <row r="22">
      <c r="B22" s="4" t="inlineStr">
        <is>
          <t>保留</t>
        </is>
      </c>
      <c r="C22" s="4">
        <f>COUNTIF('04_課題管理表'!$Q$2:$Q$61,$B22)</f>
        <v/>
      </c>
      <c r="E22" s="4">
        <f>'02_担当者マスタ'!$A5</f>
        <v/>
      </c>
      <c r="F22" s="4">
        <f>'02_担当者マスタ'!$B5</f>
        <v/>
      </c>
      <c r="G22" s="4">
        <f>COUNTIF('04_課題管理表'!$N$2:$N$61,$E22)</f>
        <v/>
      </c>
      <c r="H22" s="4">
        <f>COUNTIFS('04_課題管理表'!$N$2:$N$61,$E22,'04_課題管理表'!$Q$2:$Q$61,"対応中")</f>
        <v/>
      </c>
      <c r="I22" s="4">
        <f>COUNTIFS('04_課題管理表'!$N$2:$N$61,$E22,'04_課題管理表'!$S$2:$S$61,"遅延")</f>
        <v/>
      </c>
    </row>
    <row r="23">
      <c r="B23" s="4" t="inlineStr">
        <is>
          <t>中止</t>
        </is>
      </c>
      <c r="C23" s="4">
        <f>COUNTIF('04_課題管理表'!$Q$2:$Q$61,$B23)</f>
        <v/>
      </c>
      <c r="E23" s="4">
        <f>'02_担当者マスタ'!$A6</f>
        <v/>
      </c>
      <c r="F23" s="4">
        <f>'02_担当者マスタ'!$B6</f>
        <v/>
      </c>
      <c r="G23" s="4">
        <f>COUNTIF('04_課題管理表'!$N$2:$N$61,$E23)</f>
        <v/>
      </c>
      <c r="H23" s="4">
        <f>COUNTIFS('04_課題管理表'!$N$2:$N$61,$E23,'04_課題管理表'!$Q$2:$Q$61,"対応中")</f>
        <v/>
      </c>
      <c r="I23" s="4">
        <f>COUNTIFS('04_課題管理表'!$N$2:$N$61,$E23,'04_課題管理表'!$S$2:$S$61,"遅延")</f>
        <v/>
      </c>
    </row>
    <row r="24">
      <c r="B24" s="21" t="inlineStr">
        <is>
          <t>うち遅延</t>
        </is>
      </c>
      <c r="C24" s="4">
        <f>COUNTIF('04_課題管理表'!$S$2:$S$61,"遅延")</f>
        <v/>
      </c>
      <c r="E24" s="4">
        <f>'02_担当者マスタ'!$A7</f>
        <v/>
      </c>
      <c r="F24" s="4">
        <f>'02_担当者マスタ'!$B7</f>
        <v/>
      </c>
      <c r="G24" s="4">
        <f>COUNTIF('04_課題管理表'!$N$2:$N$61,$E24)</f>
        <v/>
      </c>
      <c r="H24" s="4">
        <f>COUNTIFS('04_課題管理表'!$N$2:$N$61,$E24,'04_課題管理表'!$Q$2:$Q$61,"対応中")</f>
        <v/>
      </c>
      <c r="I24" s="4">
        <f>COUNTIFS('04_課題管理表'!$N$2:$N$61,$E24,'04_課題管理表'!$S$2:$S$61,"遅延")</f>
        <v/>
      </c>
    </row>
    <row r="25">
      <c r="B25" s="4" t="inlineStr">
        <is>
          <t>うち要注意（期限2日以内）</t>
        </is>
      </c>
      <c r="C25" s="4">
        <f>COUNTIF('04_課題管理表'!$S$2:$S$61,"要注意")</f>
        <v/>
      </c>
      <c r="E25" s="4">
        <f>'02_担当者マスタ'!$A8</f>
        <v/>
      </c>
      <c r="F25" s="4">
        <f>'02_担当者マスタ'!$B8</f>
        <v/>
      </c>
      <c r="G25" s="4">
        <f>COUNTIF('04_課題管理表'!$N$2:$N$61,$E25)</f>
        <v/>
      </c>
      <c r="H25" s="4">
        <f>COUNTIFS('04_課題管理表'!$N$2:$N$61,$E25,'04_課題管理表'!$Q$2:$Q$61,"対応中")</f>
        <v/>
      </c>
      <c r="I25" s="4">
        <f>COUNTIFS('04_課題管理表'!$N$2:$N$61,$E25,'04_課題管理表'!$S$2:$S$61,"遅延")</f>
        <v/>
      </c>
    </row>
    <row r="26">
      <c r="E26" s="4">
        <f>'02_担当者マスタ'!$A9</f>
        <v/>
      </c>
      <c r="F26" s="4">
        <f>'02_担当者マスタ'!$B9</f>
        <v/>
      </c>
      <c r="G26" s="4">
        <f>COUNTIF('04_課題管理表'!$N$2:$N$61,$E26)</f>
        <v/>
      </c>
      <c r="H26" s="4">
        <f>COUNTIFS('04_課題管理表'!$N$2:$N$61,$E26,'04_課題管理表'!$Q$2:$Q$61,"対応中")</f>
        <v/>
      </c>
      <c r="I26" s="4">
        <f>COUNTIFS('04_課題管理表'!$N$2:$N$61,$E26,'04_課題管理表'!$S$2:$S$61,"遅延")</f>
        <v/>
      </c>
    </row>
    <row r="27">
      <c r="E27" s="4">
        <f>'02_担当者マスタ'!$A10</f>
        <v/>
      </c>
      <c r="F27" s="4">
        <f>'02_担当者マスタ'!$B10</f>
        <v/>
      </c>
      <c r="G27" s="4">
        <f>COUNTIF('04_課題管理表'!$N$2:$N$61,$E27)</f>
        <v/>
      </c>
      <c r="H27" s="4">
        <f>COUNTIFS('04_課題管理表'!$N$2:$N$61,$E27,'04_課題管理表'!$Q$2:$Q$61,"対応中")</f>
        <v/>
      </c>
      <c r="I27" s="4">
        <f>COUNTIFS('04_課題管理表'!$N$2:$N$61,$E27,'04_課題管理表'!$S$2:$S$61,"遅延")</f>
        <v/>
      </c>
    </row>
    <row r="28">
      <c r="E28" s="4">
        <f>'02_担当者マスタ'!$A11</f>
        <v/>
      </c>
      <c r="F28" s="4">
        <f>'02_担当者マスタ'!$B11</f>
        <v/>
      </c>
      <c r="G28" s="4">
        <f>COUNTIF('04_課題管理表'!$N$2:$N$61,$E28)</f>
        <v/>
      </c>
      <c r="H28" s="4">
        <f>COUNTIFS('04_課題管理表'!$N$2:$N$61,$E28,'04_課題管理表'!$Q$2:$Q$61,"対応中")</f>
        <v/>
      </c>
      <c r="I28" s="4">
        <f>COUNTIFS('04_課題管理表'!$N$2:$N$61,$E28,'04_課題管理表'!$S$2:$S$61,"遅延")</f>
        <v/>
      </c>
    </row>
    <row r="29">
      <c r="E29" s="4">
        <f>'02_担当者マスタ'!$A12</f>
        <v/>
      </c>
      <c r="F29" s="4">
        <f>'02_担当者マスタ'!$B12</f>
        <v/>
      </c>
      <c r="G29" s="4">
        <f>COUNTIF('04_課題管理表'!$N$2:$N$61,$E29)</f>
        <v/>
      </c>
      <c r="H29" s="4">
        <f>COUNTIFS('04_課題管理表'!$N$2:$N$61,$E29,'04_課題管理表'!$Q$2:$Q$61,"対応中")</f>
        <v/>
      </c>
      <c r="I29" s="4">
        <f>COUNTIFS('04_課題管理表'!$N$2:$N$61,$E29,'04_課題管理表'!$S$2:$S$61,"遅延")</f>
        <v/>
      </c>
    </row>
    <row r="30">
      <c r="E30" s="4">
        <f>'02_担当者マスタ'!$A13</f>
        <v/>
      </c>
      <c r="F30" s="4">
        <f>'02_担当者マスタ'!$B13</f>
        <v/>
      </c>
      <c r="G30" s="4">
        <f>COUNTIF('04_課題管理表'!$N$2:$N$61,$E30)</f>
        <v/>
      </c>
      <c r="H30" s="4">
        <f>COUNTIFS('04_課題管理表'!$N$2:$N$61,$E30,'04_課題管理表'!$Q$2:$Q$61,"対応中")</f>
        <v/>
      </c>
      <c r="I30" s="4">
        <f>COUNTIFS('04_課題管理表'!$N$2:$N$61,$E30,'04_課題管理表'!$S$2:$S$61,"遅延")</f>
        <v/>
      </c>
    </row>
    <row r="31">
      <c r="E31" s="4">
        <f>'02_担当者マスタ'!$A14</f>
        <v/>
      </c>
      <c r="F31" s="4">
        <f>'02_担当者マスタ'!$B14</f>
        <v/>
      </c>
      <c r="G31" s="4">
        <f>COUNTIF('04_課題管理表'!$N$2:$N$61,$E31)</f>
        <v/>
      </c>
      <c r="H31" s="4">
        <f>COUNTIFS('04_課題管理表'!$N$2:$N$61,$E31,'04_課題管理表'!$Q$2:$Q$61,"対応中")</f>
        <v/>
      </c>
      <c r="I31" s="4">
        <f>COUNTIFS('04_課題管理表'!$N$2:$N$61,$E31,'04_課題管理表'!$S$2:$S$61,"遅延")</f>
        <v/>
      </c>
    </row>
    <row r="32">
      <c r="E32" s="4">
        <f>'02_担当者マスタ'!$A15</f>
        <v/>
      </c>
      <c r="F32" s="4">
        <f>'02_担当者マスタ'!$B15</f>
        <v/>
      </c>
      <c r="G32" s="4">
        <f>COUNTIF('04_課題管理表'!$N$2:$N$61,$E32)</f>
        <v/>
      </c>
      <c r="H32" s="4">
        <f>COUNTIFS('04_課題管理表'!$N$2:$N$61,$E32,'04_課題管理表'!$Q$2:$Q$61,"対応中")</f>
        <v/>
      </c>
      <c r="I32" s="4">
        <f>COUNTIFS('04_課題管理表'!$N$2:$N$61,$E32,'04_課題管理表'!$S$2:$S$61,"遅延")</f>
        <v/>
      </c>
    </row>
    <row r="33">
      <c r="E33" s="4">
        <f>'02_担当者マスタ'!$A16</f>
        <v/>
      </c>
      <c r="F33" s="4">
        <f>'02_担当者マスタ'!$B16</f>
        <v/>
      </c>
      <c r="G33" s="4">
        <f>COUNTIF('04_課題管理表'!$N$2:$N$61,$E33)</f>
        <v/>
      </c>
      <c r="H33" s="4">
        <f>COUNTIFS('04_課題管理表'!$N$2:$N$61,$E33,'04_課題管理表'!$Q$2:$Q$61,"対応中")</f>
        <v/>
      </c>
      <c r="I33" s="4">
        <f>COUNTIFS('04_課題管理表'!$N$2:$N$61,$E33,'04_課題管理表'!$S$2:$S$61,"遅延")</f>
        <v/>
      </c>
    </row>
    <row r="34">
      <c r="E34" s="4">
        <f>'02_担当者マスタ'!$A17</f>
        <v/>
      </c>
      <c r="F34" s="4">
        <f>'02_担当者マスタ'!$B17</f>
        <v/>
      </c>
      <c r="G34" s="4">
        <f>COUNTIF('04_課題管理表'!$N$2:$N$61,$E34)</f>
        <v/>
      </c>
      <c r="H34" s="4">
        <f>COUNTIFS('04_課題管理表'!$N$2:$N$61,$E34,'04_課題管理表'!$Q$2:$Q$61,"対応中")</f>
        <v/>
      </c>
      <c r="I34" s="4">
        <f>COUNTIFS('04_課題管理表'!$N$2:$N$61,$E34,'04_課題管理表'!$S$2:$S$61,"遅延")</f>
        <v/>
      </c>
    </row>
  </sheetData>
  <conditionalFormatting sqref="L7:L15">
    <cfRule type="expression" priority="1" dxfId="0">
      <formula>$L7="✕ 未達"</formula>
    </cfRule>
    <cfRule type="expression" priority="2" dxfId="2">
      <formula>$L7="〇 達成"</formula>
    </cfRule>
  </conditionalFormatting>
  <conditionalFormatting sqref="I19:I34">
    <cfRule type="cellIs" priority="3" operator="greaterThan" dxfId="0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46" customWidth="1" min="3" max="3"/>
    <col width="42" customWidth="1" min="4" max="4"/>
    <col width="38" customWidth="1" min="5" max="5"/>
    <col width="40" customWidth="1" min="6" max="6"/>
    <col width="8" customWidth="1" min="7" max="7"/>
  </cols>
  <sheetData>
    <row r="1">
      <c r="A1" s="5" t="inlineStr">
        <is>
          <t>No.</t>
        </is>
      </c>
      <c r="B1" s="5" t="inlineStr">
        <is>
          <t>区分</t>
        </is>
      </c>
      <c r="C1" s="5" t="inlineStr">
        <is>
          <t>現行シートの状態</t>
        </is>
      </c>
      <c r="D1" s="5" t="inlineStr">
        <is>
          <t>何が問題か（リスク）</t>
        </is>
      </c>
      <c r="E1" s="5" t="inlineStr">
        <is>
          <t>改善案</t>
        </is>
      </c>
      <c r="F1" s="5" t="inlineStr">
        <is>
          <t>本テンプレートでの対応</t>
        </is>
      </c>
      <c r="G1" s="5" t="inlineStr">
        <is>
          <t>優先度</t>
        </is>
      </c>
    </row>
    <row r="2" ht="58" customHeight="1">
      <c r="A2" s="4" t="n">
        <v>1</v>
      </c>
      <c r="B2" s="4" t="inlineStr">
        <is>
          <t>不具合</t>
        </is>
      </c>
      <c r="C2" s="4" t="inlineStr">
        <is>
          <t>週間PDCA AE5/AE7/AE9/AE11（第4週ブロック）が第1週の =D5/=D7/=D9/=D11 を参照。第2→第3週は連鎖しているのに第4週だけ第1週に戻っている。</t>
        </is>
      </c>
      <c r="D2" s="4" t="inlineStr">
        <is>
          <t>第4週の行動設定が第3週の続きにならず、月末週のPDCAが第1週の焼き直しになる。改善サイクルが1周分失われる。</t>
        </is>
      </c>
      <c r="E2" s="4" t="inlineStr">
        <is>
          <t>週ブロックを横並びコピーで作らず、週を『行』として縦持ちにする。</t>
        </is>
      </c>
      <c r="F2" s="4" t="inlineStr">
        <is>
          <t>05_週次KPIログ で週を行に持たせ、参照連鎖そのものを廃止。</t>
        </is>
      </c>
      <c r="G2" s="4" t="inlineStr">
        <is>
          <t>高</t>
        </is>
      </c>
    </row>
    <row r="3" ht="58" customHeight="1">
      <c r="A3" s="4" t="n">
        <v>2</v>
      </c>
      <c r="B3" s="4" t="inlineStr">
        <is>
          <t>不具合</t>
        </is>
      </c>
      <c r="C3" s="4" t="inlineStr">
        <is>
          <t>週間PDCA C17 が ='2月'!BF30 と特定月シートに直リンク。他のKGI/KPIは AM列のHLOOKUP経由。</t>
        </is>
      </c>
      <c r="D3" s="4" t="inlineStr">
        <is>
          <t>対象月を切り替えても④訪看契約のKPIだけ2月の値が出続ける。誤った達成判断につながる。</t>
        </is>
      </c>
      <c r="E3" s="4" t="inlineStr">
        <is>
          <t>参照経路を1本化し、対象月は1か所の設定セルで制御する。</t>
        </is>
      </c>
      <c r="F3" s="4" t="inlineStr">
        <is>
          <t>03_設定 の対象年・対象月を全シートが参照。個別月シートへの直リンクなし。</t>
        </is>
      </c>
      <c r="G3" s="4" t="inlineStr">
        <is>
          <t>高</t>
        </is>
      </c>
    </row>
    <row r="4" ht="58" customHeight="1">
      <c r="A4" s="4" t="n">
        <v>3</v>
      </c>
      <c r="B4" s="4" t="inlineStr">
        <is>
          <t>不具合</t>
        </is>
      </c>
      <c r="C4" s="4" t="inlineStr">
        <is>
          <t>AN65:AY65 などの翌月系が =AO51〜=AZ51 と1列ずらし。最終列 AY65 は空のAZ51を参照。</t>
        </is>
      </c>
      <c r="D4" s="4" t="inlineStr">
        <is>
          <t>3月（年度末）の『翌月稼働』『リピート』『予算比』『前月比』が常に0になる。</t>
        </is>
      </c>
      <c r="E4" s="4" t="inlineStr">
        <is>
          <t>ずらし参照ではなく、月をキーにした縦持ち＋集計で翌月値を取る。</t>
        </is>
      </c>
      <c r="F4" s="4" t="inlineStr">
        <is>
          <t>05_週次KPIログ＋06_ダッシュボードのSUMIFS集計に置換。</t>
        </is>
      </c>
      <c r="G4" s="4" t="inlineStr">
        <is>
          <t>高</t>
        </is>
      </c>
    </row>
    <row r="5" ht="58" customHeight="1">
      <c r="A5" s="4" t="n">
        <v>4</v>
      </c>
      <c r="B5" s="4" t="inlineStr">
        <is>
          <t>不具合</t>
        </is>
      </c>
      <c r="C5" s="4" t="inlineStr">
        <is>
          <t>G1 = AM63+365（月シートのN3日付に365日を足して基準日を作る）。以降は +7 の連鎖。</t>
        </is>
      </c>
      <c r="D5" s="4" t="inlineStr">
        <is>
          <t>うるう年で1日ずれる。元の日付の意味も追えず、年度をまたぐと破綻する。</t>
        </is>
      </c>
      <c r="E5" s="4" t="inlineStr">
        <is>
          <t>基準日は人が入れる1セルに集約し、週は+7で自動採番する。</t>
        </is>
      </c>
      <c r="F5" s="4" t="inlineStr">
        <is>
          <t>03_設定 B11『第1週の基準日』→ 第1〜第5週を自動計算。</t>
        </is>
      </c>
      <c r="G5" s="4" t="inlineStr">
        <is>
          <t>高</t>
        </is>
      </c>
    </row>
    <row r="6" ht="58" customHeight="1">
      <c r="A6" s="4" t="n">
        <v>5</v>
      </c>
      <c r="B6" s="4" t="inlineStr">
        <is>
          <t>構造</t>
        </is>
      </c>
      <c r="C6" s="4" t="inlineStr">
        <is>
          <t>月シートが22枚あるのに、HLOOKUP表 AN24:AY63 は12か月分しか列を持たない。'4月 '（末尾スペース）、'26年６月'など命名も不統一。</t>
        </is>
      </c>
      <c r="D6" s="4" t="inlineStr">
        <is>
          <t>26年6月以降のシートは集計対象外。シート名を1文字直しただけで全参照が #REF! になる。</t>
        </is>
      </c>
      <c r="E6" s="4" t="inlineStr">
        <is>
          <t>月ごとにシートを増やさず、1枚のログに年・月列を持たせる。</t>
        </is>
      </c>
      <c r="F6" s="4" t="inlineStr">
        <is>
          <t>05_週次KPIログ に『年』『月』列。シート追加不要で何年でも蓄積可能。</t>
        </is>
      </c>
      <c r="G6" s="4" t="inlineStr">
        <is>
          <t>高</t>
        </is>
      </c>
    </row>
    <row r="7" ht="58" customHeight="1">
      <c r="A7" s="4" t="n">
        <v>6</v>
      </c>
      <c r="B7" s="4" t="inlineStr">
        <is>
          <t>構造</t>
        </is>
      </c>
      <c r="C7" s="4" t="inlineStr">
        <is>
          <t>1施設1ファイル運用で、ファイル内のどこにも施設名・担当AMが入っていない。担当者欄（F/O/X/AG列）は空欄の自由入力。</t>
        </is>
      </c>
      <c r="D7" s="4" t="inlineStr">
        <is>
          <t>40施設を横断した集計・比較ができない。ファイル名だけが識別子なので取り違えが起きる。担当者の表記ゆれで名寄せできない。</t>
        </is>
      </c>
      <c r="E7" s="4" t="inlineStr">
        <is>
          <t>施設マスタ／担当者マスタを内蔵し、施設・担当はプルダウン選択にする。</t>
        </is>
      </c>
      <c r="F7" s="4" t="inlineStr">
        <is>
          <t>01_施設マスタ（40施設）・02_担当者マスタ（16名）＋03_設定で施設を選択。担当AM・指定権者・住所は自動表示。</t>
        </is>
      </c>
      <c r="G7" s="4" t="inlineStr">
        <is>
          <t>高</t>
        </is>
      </c>
    </row>
    <row r="8" ht="58" customHeight="1">
      <c r="A8" s="4" t="n">
        <v>7</v>
      </c>
      <c r="B8" s="4" t="inlineStr">
        <is>
          <t>構造</t>
        </is>
      </c>
      <c r="C8" s="4" t="inlineStr">
        <is>
          <t>第1〜第4週が横に4ブロック並び、各ブロックが前週セルを参照するコピー構造。1枚に51列。</t>
        </is>
      </c>
      <c r="D8" s="4" t="inlineStr">
        <is>
          <t>行の挿入・削除でブロックがずれる。第5週がある月に対応できない。印刷・レビューがしづらい。</t>
        </is>
      </c>
      <c r="E8" s="4" t="inlineStr">
        <is>
          <t>縦持ちのテーブルに変更し、週は行方向へ増やす。</t>
        </is>
      </c>
      <c r="F8" s="4" t="inlineStr">
        <is>
          <t>04_課題管理表・05_週次KPIログはいずれも縦持ちテーブル。第5週まで標準対応。</t>
        </is>
      </c>
      <c r="G8" s="4" t="inlineStr">
        <is>
          <t>高</t>
        </is>
      </c>
    </row>
    <row r="9" ht="58" customHeight="1">
      <c r="A9" s="4" t="n">
        <v>8</v>
      </c>
      <c r="B9" s="4" t="inlineStr">
        <is>
          <t>運用</t>
        </is>
      </c>
      <c r="C9" s="4" t="inlineStr">
        <is>
          <t>対応方針・所感が1セルに改行で詰め込まれた長文（【営業行動】…▶2/25 追客 等）。</t>
        </is>
      </c>
      <c r="D9" s="4" t="inlineStr">
        <is>
          <t>目標値と実績が数式で取り出せず、達成／未達の自動判定ができない。読む人によって解釈が変わる。</t>
        </is>
      </c>
      <c r="E9" s="4" t="inlineStr">
        <is>
          <t>『数値で置く欄』と『文章で残す欄』を分離する。</t>
        </is>
      </c>
      <c r="F9" s="4" t="inlineStr">
        <is>
          <t>週次目標・実績・達成率・差異を数値列に分離し、所感は別列に残す。</t>
        </is>
      </c>
      <c r="G9" s="4" t="inlineStr">
        <is>
          <t>高</t>
        </is>
      </c>
    </row>
    <row r="10" ht="58" customHeight="1">
      <c r="A10" s="4" t="n">
        <v>9</v>
      </c>
      <c r="B10" s="4" t="inlineStr">
        <is>
          <t>運用</t>
        </is>
      </c>
      <c r="C10" s="4" t="inlineStr">
        <is>
          <t>ステータス列・期限列（G/H, P/Q…）は結合セルで、入力規則も条件付き書式もなく空欄のまま。</t>
        </is>
      </c>
      <c r="D10" s="4" t="inlineStr">
        <is>
          <t>期限超過が誰にも見えない。ステータスの表記ゆれ（完了／済／OK）で集計不能。</t>
        </is>
      </c>
      <c r="E10" s="4" t="inlineStr">
        <is>
          <t>ステータスはプルダウン、期限は日付、遅延は自動判定＋色付け。</t>
        </is>
      </c>
      <c r="F10" s="4" t="inlineStr">
        <is>
          <t>04_課題管理表にステータスDV・残日数・遅延判定・行の自動着色を実装。</t>
        </is>
      </c>
      <c r="G10" s="4" t="inlineStr">
        <is>
          <t>高</t>
        </is>
      </c>
    </row>
    <row r="11" ht="58" customHeight="1">
      <c r="A11" s="4" t="n">
        <v>10</v>
      </c>
      <c r="B11" s="4" t="inlineStr">
        <is>
          <t>運用</t>
        </is>
      </c>
      <c r="C11" s="4" t="inlineStr">
        <is>
          <t>『※未対象施設』とだけ書かれた行（④訪看契約・⑤SQ利用）が毎週コピーされ続けている。</t>
        </is>
      </c>
      <c r="D11" s="4" t="inlineStr">
        <is>
          <t>対象外の項目が常時表示され、シートのノイズになる。対象化した時に誰が判断するか決まっていない。</t>
        </is>
      </c>
      <c r="E11" s="4" t="inlineStr">
        <is>
          <t>対象／対象外を施設マスタ側の属性で持ち、非対象は非表示にする。</t>
        </is>
      </c>
      <c r="F11" s="4" t="inlineStr">
        <is>
          <t>01_施設マスタ I列『PDCA対象』で管理。カテゴリは04で必要な行だけ起票する運用。</t>
        </is>
      </c>
      <c r="G11" s="4" t="inlineStr">
        <is>
          <t>中</t>
        </is>
      </c>
    </row>
    <row r="12" ht="58" customHeight="1">
      <c r="A12" s="4" t="n">
        <v>11</v>
      </c>
      <c r="B12" s="4" t="inlineStr">
        <is>
          <t>運用</t>
        </is>
      </c>
      <c r="C12" s="4" t="inlineStr">
        <is>
          <t>『週間PDCA (見本)』が本体と別に存在し、内容が本体とずれている。</t>
        </is>
      </c>
      <c r="D12" s="4" t="inlineStr">
        <is>
          <t>見本の更新漏れで、書き方の基準が人によって変わる。</t>
        </is>
      </c>
      <c r="E12" s="4" t="inlineStr">
        <is>
          <t>見本を別シートで持たず、テンプレート自体に入力例と注記を持たせる。</t>
        </is>
      </c>
      <c r="F12" s="4" t="inlineStr">
        <is>
          <t>00_はじめに に運用手順、各シートの黄色セルで入力箇所を明示。</t>
        </is>
      </c>
      <c r="G12" s="4" t="inlineStr">
        <is>
          <t>中</t>
        </is>
      </c>
    </row>
    <row r="13" ht="58" customHeight="1">
      <c r="A13" s="4" t="n">
        <v>12</v>
      </c>
      <c r="B13" s="4" t="inlineStr">
        <is>
          <t>運用</t>
        </is>
      </c>
      <c r="C13" s="4" t="inlineStr">
        <is>
          <t>予算達成状況の判定が =IF(予算比&gt;=0,"〇","✕") の2値のみ。前月比の一部は文字列 '-'。</t>
        </is>
      </c>
      <c r="D13" s="4" t="inlineStr">
        <is>
          <t>あと一歩の未達と大幅未達が同じ『✕』。文字列混在で平均・グラフが崩れる。</t>
        </is>
      </c>
      <c r="E13" s="4" t="inlineStr">
        <is>
          <t>達成／要注意／未達の3段階にし、空欄は空欄のまま扱う。</t>
        </is>
      </c>
      <c r="F13" s="4" t="inlineStr">
        <is>
          <t>06_ダッシュボードで 100%以上=〇、90%以上=△、それ未満=✕、未入力は『未入力』と判定。</t>
        </is>
      </c>
      <c r="G13" s="4" t="inlineStr">
        <is>
          <t>中</t>
        </is>
      </c>
    </row>
    <row r="14" ht="58" customHeight="1">
      <c r="A14" s="4" t="n">
        <v>13</v>
      </c>
      <c r="B14" s="4" t="inlineStr">
        <is>
          <t>データ</t>
        </is>
      </c>
      <c r="C14" s="4" t="inlineStr">
        <is>
          <t>Sheet2 に居室番号・区分・年齢の生データが残置。個人に紐づく情報がシート内に混在。</t>
        </is>
      </c>
      <c r="D14" s="4" t="inlineStr">
        <is>
          <t>配布時に意図しない情報が同梱される。マスタとしての位置づけも不明。</t>
        </is>
      </c>
      <c r="E14" s="4" t="inlineStr">
        <is>
          <t>個人データは配布用テンプレートから分離する。</t>
        </is>
      </c>
      <c r="F14" s="4" t="inlineStr">
        <is>
          <t>本テンプレートには個人データを含めない。必要なら別ファイルで管理。</t>
        </is>
      </c>
      <c r="G14" s="4" t="inlineStr">
        <is>
          <t>中</t>
        </is>
      </c>
    </row>
    <row r="15" ht="58" customHeight="1">
      <c r="A15" s="4" t="n">
        <v>14</v>
      </c>
      <c r="B15" s="4" t="inlineStr">
        <is>
          <t>拡張</t>
        </is>
      </c>
      <c r="C15" s="4" t="inlineStr">
        <is>
          <t>施設一覧側に『グループホームイノベル信中島／公式名 小信中島』など名称差3件、住所照合注記あり。</t>
        </is>
      </c>
      <c r="D15" s="4" t="inlineStr">
        <is>
          <t>施設名がキーなのに正式名称と社内呼称が混在すると、集計時に名寄せできない。</t>
        </is>
      </c>
      <c r="E15" s="4" t="inlineStr">
        <is>
          <t>施設IDを主キーにし、名称は表示用の属性として持つ。</t>
        </is>
      </c>
      <c r="F15" s="4" t="inlineStr">
        <is>
          <t>01_施設マスタに施設ID（F001〜F040）を付与。名称変更はマスタ1か所で吸収。</t>
        </is>
      </c>
      <c r="G15" s="4" t="inlineStr">
        <is>
          <t>中</t>
        </is>
      </c>
    </row>
    <row r="16" ht="58" customHeight="1">
      <c r="A16" s="4" t="n">
        <v>15</v>
      </c>
      <c r="B16" s="4" t="inlineStr">
        <is>
          <t>拡張</t>
        </is>
      </c>
      <c r="C16" s="4" t="inlineStr">
        <is>
          <t>40施設分のファイルが個別に存在し、AMは自分の担当分だけを見る運用。</t>
        </is>
      </c>
      <c r="D16" s="4" t="inlineStr">
        <is>
          <t>エリア長・本部が全体傾向（未達KPI・遅延課題の偏り）を把握するのに手作業の集約が必要。</t>
        </is>
      </c>
      <c r="E16" s="4" t="inlineStr">
        <is>
          <t>縦持ちログを束ねてピボット集計できる形にする。</t>
        </is>
      </c>
      <c r="F16" s="4" t="inlineStr">
        <is>
          <t>05_週次KPIログは施設名・担当者を各行に持つため、40施設分を連結してそのまま集計可能。06に担当AM別の遅延件数を実装。</t>
        </is>
      </c>
      <c r="G16" s="4" t="inlineStr">
        <is>
          <t>中</t>
        </is>
      </c>
    </row>
  </sheetData>
  <autoFilter ref="A1:G16"/>
  <conditionalFormatting sqref="G2:G16">
    <cfRule type="expression" priority="1" dxfId="0">
      <formula>$G2="高"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E10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0" customWidth="1" min="3" max="3"/>
    <col width="30" customWidth="1" min="4" max="4"/>
    <col width="60" customWidth="1" min="5" max="5"/>
  </cols>
  <sheetData>
    <row r="2">
      <c r="B2" s="7" t="inlineStr">
        <is>
          <t>週次運用ルール（案）</t>
        </is>
      </c>
    </row>
    <row r="4">
      <c r="B4" s="5" t="inlineStr">
        <is>
          <t>タイミング</t>
        </is>
      </c>
      <c r="C4" s="5" t="inlineStr">
        <is>
          <t>誰が</t>
        </is>
      </c>
      <c r="D4" s="5" t="inlineStr">
        <is>
          <t>何を</t>
        </is>
      </c>
      <c r="E4" s="5" t="inlineStr">
        <is>
          <t>判断基準</t>
        </is>
      </c>
    </row>
    <row r="5" ht="30" customHeight="1">
      <c r="B5" s="4" t="inlineStr">
        <is>
          <t>週次（月）</t>
        </is>
      </c>
      <c r="C5" s="4" t="inlineStr">
        <is>
          <t>管理者</t>
        </is>
      </c>
      <c r="D5" s="4" t="inlineStr">
        <is>
          <t>05_週次KPIログに前週実績を入力</t>
        </is>
      </c>
      <c r="E5" s="4" t="inlineStr">
        <is>
          <t>金曜締め・月曜正午までに入力完了</t>
        </is>
      </c>
    </row>
    <row r="6" ht="30" customHeight="1">
      <c r="B6" s="4" t="inlineStr">
        <is>
          <t>週次（月）</t>
        </is>
      </c>
      <c r="C6" s="4" t="inlineStr">
        <is>
          <t>担当AM</t>
        </is>
      </c>
      <c r="D6" s="4" t="inlineStr">
        <is>
          <t>06_ダッシュボードで未達KPIを確認</t>
        </is>
      </c>
      <c r="E6" s="4" t="inlineStr">
        <is>
          <t>達成率90%未満の指標は必ず課題化する</t>
        </is>
      </c>
    </row>
    <row r="7" ht="30" customHeight="1">
      <c r="B7" s="4" t="inlineStr">
        <is>
          <t>週次（火）</t>
        </is>
      </c>
      <c r="C7" s="4" t="inlineStr">
        <is>
          <t>担当AM＋管理者</t>
        </is>
      </c>
      <c r="D7" s="4" t="inlineStr">
        <is>
          <t>04_課題管理表でPlan/Doを更新し、期限を再設定</t>
        </is>
      </c>
      <c r="E7" s="4" t="inlineStr">
        <is>
          <t>遅延判定が『遅延』の課題はその場で期限を引き直す</t>
        </is>
      </c>
    </row>
    <row r="8" ht="30" customHeight="1">
      <c r="B8" s="4" t="inlineStr">
        <is>
          <t>週次（火）</t>
        </is>
      </c>
      <c r="C8" s="4" t="inlineStr">
        <is>
          <t>担当AM</t>
        </is>
      </c>
      <c r="D8" s="4" t="inlineStr">
        <is>
          <t>Check（未達要因）とAct（次週アクション）を1行で記載</t>
        </is>
      </c>
      <c r="E8" s="4" t="inlineStr">
        <is>
          <t>要因は事実、アクションは動詞で書く</t>
        </is>
      </c>
    </row>
    <row r="9" ht="30" customHeight="1">
      <c r="B9" s="4" t="inlineStr">
        <is>
          <t>月次（月初）</t>
        </is>
      </c>
      <c r="C9" s="4" t="inlineStr">
        <is>
          <t>エリア長</t>
        </is>
      </c>
      <c r="D9" s="4" t="inlineStr">
        <is>
          <t>40施設分のログを連結し担当AM別に確認</t>
        </is>
      </c>
      <c r="E9" s="4" t="inlineStr">
        <is>
          <t>遅延件数が2件以上のAMはヒアリング対象</t>
        </is>
      </c>
    </row>
    <row r="10" ht="30" customHeight="1">
      <c r="B10" s="4" t="inlineStr">
        <is>
          <t>随時</t>
        </is>
      </c>
      <c r="C10" s="4" t="inlineStr">
        <is>
          <t>本部</t>
        </is>
      </c>
      <c r="D10" s="4" t="inlineStr">
        <is>
          <t>01_施設マスタの担当変更・新規開設を反映</t>
        </is>
      </c>
      <c r="E10" s="4" t="inlineStr">
        <is>
          <t>マスタ更新は本部のみ。現場は編集しない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</cols>
  <sheetData>
    <row r="1">
      <c r="A1" s="5" t="inlineStr">
        <is>
          <t>カテゴリ</t>
        </is>
      </c>
      <c r="B1" s="5" t="inlineStr">
        <is>
          <t>ステータス</t>
        </is>
      </c>
      <c r="C1" s="5" t="inlineStr">
        <is>
          <t>週</t>
        </is>
      </c>
    </row>
    <row r="2">
      <c r="A2" t="inlineStr">
        <is>
          <t>①施設稼働</t>
        </is>
      </c>
      <c r="B2" t="inlineStr">
        <is>
          <t>未着手</t>
        </is>
      </c>
      <c r="C2" t="inlineStr">
        <is>
          <t>第1週</t>
        </is>
      </c>
    </row>
    <row r="3">
      <c r="A3" t="inlineStr">
        <is>
          <t>②短期入所</t>
        </is>
      </c>
      <c r="B3" t="inlineStr">
        <is>
          <t>対応中</t>
        </is>
      </c>
      <c r="C3" t="inlineStr">
        <is>
          <t>第2週</t>
        </is>
      </c>
    </row>
    <row r="4">
      <c r="A4" t="inlineStr">
        <is>
          <t>③加算詳細</t>
        </is>
      </c>
      <c r="B4" t="inlineStr">
        <is>
          <t>完了</t>
        </is>
      </c>
      <c r="C4" t="inlineStr">
        <is>
          <t>第3週</t>
        </is>
      </c>
    </row>
    <row r="5">
      <c r="A5" t="inlineStr">
        <is>
          <t>④訪看契約</t>
        </is>
      </c>
      <c r="B5" t="inlineStr">
        <is>
          <t>保留</t>
        </is>
      </c>
      <c r="C5" t="inlineStr">
        <is>
          <t>第4週</t>
        </is>
      </c>
    </row>
    <row r="6">
      <c r="A6" t="inlineStr">
        <is>
          <t>⑤SQ利用</t>
        </is>
      </c>
      <c r="B6" t="inlineStr">
        <is>
          <t>中止</t>
        </is>
      </c>
      <c r="C6" t="inlineStr">
        <is>
          <t>第5週</t>
        </is>
      </c>
    </row>
    <row r="7">
      <c r="A7" t="inlineStr">
        <is>
          <t>⑥人材・労務</t>
        </is>
      </c>
    </row>
    <row r="8">
      <c r="A8" t="inlineStr">
        <is>
          <t>⑦その他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2026-08-22T02:48:37Z</dcterms:created>
  <dcterms:modified xsi:type="dcterms:W3CDTF">2026-08-22T02:48:38Z</dcterms:modified>
</cp:coreProperties>
</file>