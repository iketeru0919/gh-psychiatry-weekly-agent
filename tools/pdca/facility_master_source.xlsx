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-takayama\Documents\Codex\2026-08-20\new-chat-2\outputs\facility-table-with-addresses\"/>
    </mc:Choice>
  </mc:AlternateContent>
  <xr:revisionPtr revIDLastSave="0" documentId="13_ncr:1_{365D5BDD-36AF-464A-8338-2504F4402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施設一覧" sheetId="1" r:id="rId1"/>
    <sheet name="集計" sheetId="2" r:id="rId2"/>
    <sheet name="注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E29" i="2"/>
  <c r="E28" i="2"/>
  <c r="E27" i="2"/>
  <c r="E26" i="2"/>
  <c r="E25" i="2"/>
  <c r="E24" i="2"/>
  <c r="E23" i="2"/>
  <c r="E19" i="2"/>
  <c r="E18" i="2"/>
  <c r="E17" i="2"/>
  <c r="E16" i="2"/>
  <c r="E15" i="2"/>
  <c r="E14" i="2"/>
  <c r="E13" i="2"/>
  <c r="E12" i="2"/>
  <c r="E11" i="2"/>
  <c r="E10" i="2"/>
  <c r="E9" i="2"/>
  <c r="B9" i="2"/>
  <c r="E8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<sst xmlns="http://schemas.openxmlformats.org/spreadsheetml/2006/main" count="271" uniqueCount="146">
  <si>
    <t>指定権者</t>
  </si>
  <si>
    <t>施設名</t>
  </si>
  <si>
    <t>施設業種</t>
  </si>
  <si>
    <t>担当AM等</t>
  </si>
  <si>
    <t>住所</t>
  </si>
  <si>
    <t>一宮市</t>
  </si>
  <si>
    <t>グループホームイノベル信中島</t>
  </si>
  <si>
    <t>GH（日）</t>
  </si>
  <si>
    <t>東 将学（尾方 範夫）</t>
  </si>
  <si>
    <t>愛知県一宮市小信中島字西九反15-4</t>
  </si>
  <si>
    <t>https://www.bihonest.com/office/</t>
  </si>
  <si>
    <t>岐阜市</t>
  </si>
  <si>
    <t>グループホームイノベル香江</t>
  </si>
  <si>
    <t>小澤 雄太</t>
  </si>
  <si>
    <t>岐阜県岐阜市春近古市場北156-1</t>
  </si>
  <si>
    <t>グループホームイノベル鳥田</t>
  </si>
  <si>
    <t>岐阜県岐阜市島田1丁目7番9</t>
  </si>
  <si>
    <t>静岡県</t>
  </si>
  <si>
    <t>グループホームイノベル磐田</t>
  </si>
  <si>
    <t>曽根 正</t>
  </si>
  <si>
    <t>静岡県磐田市豊島1428-1</t>
  </si>
  <si>
    <t>https://innovel-healthcare.jp/category/facility/page/10/</t>
  </si>
  <si>
    <t>グループホームイノベル御殿場</t>
  </si>
  <si>
    <t>静岡県御殿場市茱萸沢1350-1</t>
  </si>
  <si>
    <t>グループホームイノベル富士川成新町</t>
  </si>
  <si>
    <t>本館 治</t>
  </si>
  <si>
    <t>静岡県富士市川成新町214-2</t>
  </si>
  <si>
    <t>グループホームイノベル焼津</t>
  </si>
  <si>
    <t>静岡県焼津市塩津103-1</t>
  </si>
  <si>
    <t>グループホームイノベル駿河丸子</t>
  </si>
  <si>
    <t>平山 修司（本館 治）</t>
  </si>
  <si>
    <t>静岡県静岡市駿河区丸子6丁目6番56号</t>
  </si>
  <si>
    <t>https://www.city.shizuoka.lg.jp/documents/354/ichiran.pdf</t>
  </si>
  <si>
    <t>グループホームイノベル沼津西沢田</t>
  </si>
  <si>
    <t>静岡県沼津市西沢田字中村726-7</t>
  </si>
  <si>
    <t>グループホームイノベル富士宮</t>
  </si>
  <si>
    <t>静岡県富士宮市西小泉町59-2</t>
  </si>
  <si>
    <t>グループホームイノベル富士松岡</t>
  </si>
  <si>
    <t>静岡県富士市松岡420-2</t>
  </si>
  <si>
    <t>栃木県</t>
  </si>
  <si>
    <t>グループホームイノベル那須塩原</t>
  </si>
  <si>
    <t>吉川 容代子（増田 隆）</t>
  </si>
  <si>
    <t>栃木県那須塩原市材木町233-1</t>
  </si>
  <si>
    <t>グループホームイノベル佐野</t>
  </si>
  <si>
    <t>栃木県佐野市栃本町2203-4</t>
  </si>
  <si>
    <t>グループホームイノベル鹿沼</t>
  </si>
  <si>
    <t>鈴木 豊大</t>
  </si>
  <si>
    <t>栃木県鹿沼市千渡1890</t>
  </si>
  <si>
    <t>グループホームイノベル足利</t>
  </si>
  <si>
    <t>嶋山 貴之</t>
  </si>
  <si>
    <t>栃木県足利市福居町2272-3</t>
  </si>
  <si>
    <t>我孫子市</t>
  </si>
  <si>
    <t>グループホームイノベル我孫子</t>
  </si>
  <si>
    <t>皆川 頼鷹</t>
  </si>
  <si>
    <t>千葉県我孫子市高野山304-1</t>
  </si>
  <si>
    <t>千葉県</t>
  </si>
  <si>
    <t>グループホームイノベル東金</t>
  </si>
  <si>
    <t>千葉県東金市北之幸谷79-1</t>
  </si>
  <si>
    <t>グループホームイノベル君津外箕輪</t>
  </si>
  <si>
    <t>尾崎 豊光</t>
  </si>
  <si>
    <t>千葉県君津市外箕輪字林前297番</t>
  </si>
  <si>
    <t>グループホームイノベル佐倉</t>
  </si>
  <si>
    <t>太田 輝</t>
  </si>
  <si>
    <t>千葉県佐倉市上志津966-2</t>
  </si>
  <si>
    <t>グループホームイノベル四街道</t>
  </si>
  <si>
    <t>千葉県四街道市たかおの杜12-18</t>
  </si>
  <si>
    <t>グループホームイノベル市原菊間</t>
  </si>
  <si>
    <t>千葉県市原市菊間2389-1</t>
  </si>
  <si>
    <t>グループホームイノベル松戸</t>
  </si>
  <si>
    <t>千葉県松戸市和名ケ谷102-4</t>
  </si>
  <si>
    <t>グループホームイノベル八千代島田台</t>
  </si>
  <si>
    <t>千葉県八千代市島田台1190-14</t>
  </si>
  <si>
    <t>グループホームイノベル木更津貝渕</t>
  </si>
  <si>
    <t>千葉県木更津市貝渕4-16-22</t>
  </si>
  <si>
    <t>グループホームイノベル木更津桜井新町</t>
  </si>
  <si>
    <t>千葉県木更津市桜井新町1-2-1</t>
  </si>
  <si>
    <t>グループホームイノベル野田上花輪</t>
  </si>
  <si>
    <t>千葉県野田市上花輪新町38-1</t>
  </si>
  <si>
    <t>グループホームイノベル野田尾崎</t>
  </si>
  <si>
    <t>千葉県野田市尾崎102-2</t>
  </si>
  <si>
    <t>グループホームイノベル習志野実籾</t>
  </si>
  <si>
    <t>林 本磨人</t>
  </si>
  <si>
    <t>千葉県習志野市実籾3-17-1</t>
  </si>
  <si>
    <t>https://www.city.ichikawa.lg.jp/common/wel05/file/0000503755.pdf</t>
  </si>
  <si>
    <t>千葉市</t>
  </si>
  <si>
    <t>グループホームイノベル花見川</t>
  </si>
  <si>
    <t>千葉県千葉市花見川区長作町899</t>
  </si>
  <si>
    <t>グループホームイノベル稲毛園生町</t>
  </si>
  <si>
    <t>千葉県千葉市稲毛区園生町519-11</t>
  </si>
  <si>
    <t>グループホームイノベル若葉下田</t>
  </si>
  <si>
    <t>千葉県千葉市若葉区下田町1096</t>
  </si>
  <si>
    <t>生活介護イノベル信中島</t>
  </si>
  <si>
    <t>生活介護</t>
  </si>
  <si>
    <t>牧山 雄太郎</t>
  </si>
  <si>
    <t>愛知県一宮市小信中島字西九反15-5</t>
  </si>
  <si>
    <t>生活介護イノベル沼津西沢田</t>
  </si>
  <si>
    <t>鈴木 匠</t>
  </si>
  <si>
    <t>静岡県沼津市西沢田字中村726-9</t>
  </si>
  <si>
    <t>生活介護イノベル富士宮</t>
  </si>
  <si>
    <t>静岡県富士宮市西小泉町59-1</t>
  </si>
  <si>
    <t>生活介護イノベル富士松岡</t>
  </si>
  <si>
    <t>静岡県富士市松岡418-8</t>
  </si>
  <si>
    <t>生活介護イノベル四街道</t>
  </si>
  <si>
    <t>福島 明子</t>
  </si>
  <si>
    <t>千葉県四街道市たかおの杜12-17</t>
  </si>
  <si>
    <t>生活介護イノベル木更津貝渕</t>
  </si>
  <si>
    <t>生活介護イノベル若葉下田</t>
  </si>
  <si>
    <t>名古屋市</t>
  </si>
  <si>
    <t>生活介護・就労継続支援B型イノベル緑</t>
  </si>
  <si>
    <t>生活介護/就B</t>
  </si>
  <si>
    <t>水野 宝祐</t>
  </si>
  <si>
    <t>愛知県名古屋市緑区桶狭間巻山2004</t>
  </si>
  <si>
    <t>生活介護・就労継続支援B型イノベル守山</t>
  </si>
  <si>
    <t>愛知県名古屋市守山区大字上志段味字道光331</t>
  </si>
  <si>
    <t>施設担当一覧｜住所追加版（埼玉県内・さいたま市除外）</t>
  </si>
  <si>
    <t>指標</t>
  </si>
  <si>
    <t>件数</t>
  </si>
  <si>
    <t>施設数</t>
  </si>
  <si>
    <t>掲載施設</t>
  </si>
  <si>
    <t>住所入力済み</t>
  </si>
  <si>
    <t>生活介護系</t>
  </si>
  <si>
    <t>住所追加版｜確認事項</t>
  </si>
  <si>
    <t>項目</t>
  </si>
  <si>
    <t>内容</t>
  </si>
  <si>
    <t>対象</t>
  </si>
  <si>
    <t>添付ファイルに残っている40施設</t>
  </si>
  <si>
    <t>住所入力</t>
  </si>
  <si>
    <t>40施設すべてに住所を追加しました。</t>
  </si>
  <si>
    <t>確認方法</t>
  </si>
  <si>
    <t>運営法人の事業所一覧を中心に、自治体の公開資料で補完・照合しました。</t>
  </si>
  <si>
    <t>名称差1</t>
  </si>
  <si>
    <t>元表「グループホームイノベル信中島」／公式掲載名「グループホームイノベル小信中島」</t>
  </si>
  <si>
    <t>名称差2</t>
  </si>
  <si>
    <t>元表「グループホームイノベル香江」／公式掲載名「グループホームイノベル春近」</t>
  </si>
  <si>
    <t>名称差3</t>
  </si>
  <si>
    <t>元表「グループホームイノベル鳥田」／公式掲載名「グループホームイノベル島田」</t>
  </si>
  <si>
    <t>習志野実籾</t>
  </si>
  <si>
    <t>現名称の公式求人と、同住所・旧名称の公的事業所台帳を突合しています。</t>
  </si>
  <si>
    <t>主な確認元</t>
  </si>
  <si>
    <t>URL</t>
  </si>
  <si>
    <t>運営法人 事業所一覧</t>
  </si>
  <si>
    <t>INNOVEL HEALTHCARE 静岡県事業所</t>
  </si>
  <si>
    <t>静岡市 公開資料</t>
  </si>
  <si>
    <t>千葉県障害福祉サービス事業所等一覧</t>
  </si>
  <si>
    <t>確認日</t>
  </si>
  <si>
    <t>2026-08-20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</si>
</sst>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3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15B96"/>
      </patternFill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1" fillId="4" borderId="1" xfId="1" applyFont="1" applyFill="1" applyBorder="1" applyAlignment="1">
      <alignment horizontal="center"/>
    </xf>
    <xf numFmtId="0" fontId="3" fillId="5" borderId="1" xfId="1" applyFont="1" applyFill="1" applyBorder="1"/>
    <xf numFmtId="3" fontId="4" fillId="6" borderId="1" xfId="1" applyNumberFormat="1" applyFont="1" applyFill="1" applyBorder="1" applyAlignment="1">
      <alignment horizontal="center"/>
    </xf>
    <xf numFmtId="0" fontId="1" fillId="4" borderId="2" xfId="1" applyFont="1" applyFill="1" applyBorder="1" applyAlignment="1">
      <alignment horizontal="center"/>
    </xf>
    <xf numFmtId="0" fontId="0" fillId="0" borderId="2" xfId="1" applyFont="1" applyBorder="1"/>
    <xf numFmtId="3" fontId="0" fillId="0" borderId="2" xfId="1" applyNumberFormat="1" applyFont="1" applyBorder="1" applyAlignment="1">
      <alignment horizontal="center"/>
    </xf>
    <xf numFmtId="3" fontId="1" fillId="4" borderId="2" xfId="1" applyNumberFormat="1" applyFont="1" applyFill="1" applyBorder="1" applyAlignment="1">
      <alignment horizontal="center"/>
    </xf>
    <xf numFmtId="0" fontId="1" fillId="4" borderId="2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2" fillId="3" borderId="0" xfId="1" applyFont="1" applyFill="1" applyAlignment="1">
      <alignment vertical="center"/>
    </xf>
    <xf numFmtId="0" fontId="0" fillId="0" borderId="0" xfId="1" applyFont="1" applyFill="1" applyAlignment="1">
      <alignment horizontal="center" vertical="center"/>
    </xf>
    <xf numFmtId="0" fontId="0" fillId="0" borderId="0" xfId="1" applyFont="1" applyFill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yAddressList" displayName="FacilityAddressList" ref="A1:E41" totalsRowShown="0" dataDxfId="0">
  <autoFilter ref="A1:E41" xr:uid="{00000000-0009-0000-0100-000001000000}"/>
  <tableColumns count="5">
    <tableColumn id="1" xr3:uid="{00000000-0010-0000-0000-000001000000}" name="指定権者" dataDxfId="5"/>
    <tableColumn id="2" xr3:uid="{00000000-0010-0000-0000-000002000000}" name="施設名" dataDxfId="4"/>
    <tableColumn id="3" xr3:uid="{00000000-0010-0000-0000-000003000000}" name="施設業種" dataDxfId="3"/>
    <tableColumn id="4" xr3:uid="{00000000-0010-0000-0000-000004000000}" name="担当AM等" dataDxfId="2"/>
    <tableColumn id="5" xr3:uid="{00000000-0010-0000-0000-000005000000}" name="住所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tabSelected="1" topLeftCell="A13" workbookViewId="0">
      <selection activeCell="C31" sqref="C31"/>
    </sheetView>
  </sheetViews>
  <sheetFormatPr defaultRowHeight="22" customHeight="1"/>
  <cols>
    <col min="1" max="1" width="13" customWidth="1"/>
    <col min="2" max="2" width="37.83203125" customWidth="1"/>
    <col min="3" max="3" width="15" customWidth="1"/>
    <col min="4" max="4" width="20.6640625" customWidth="1"/>
    <col min="5" max="5" width="48.4140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13" t="s">
        <v>5</v>
      </c>
      <c r="B2" s="14" t="s">
        <v>6</v>
      </c>
      <c r="C2" s="13" t="s">
        <v>7</v>
      </c>
      <c r="D2" s="14" t="s">
        <v>8</v>
      </c>
      <c r="E2" s="14" t="s">
        <v>9</v>
      </c>
    </row>
    <row r="3" spans="1:5" ht="22" customHeight="1">
      <c r="A3" s="13" t="s">
        <v>11</v>
      </c>
      <c r="B3" s="14" t="s">
        <v>12</v>
      </c>
      <c r="C3" s="13" t="s">
        <v>7</v>
      </c>
      <c r="D3" s="14" t="s">
        <v>13</v>
      </c>
      <c r="E3" s="14" t="s">
        <v>14</v>
      </c>
    </row>
    <row r="4" spans="1:5" ht="22" customHeight="1">
      <c r="A4" s="13" t="s">
        <v>11</v>
      </c>
      <c r="B4" s="14" t="s">
        <v>15</v>
      </c>
      <c r="C4" s="13" t="s">
        <v>7</v>
      </c>
      <c r="D4" s="14" t="s">
        <v>13</v>
      </c>
      <c r="E4" s="14" t="s">
        <v>16</v>
      </c>
    </row>
    <row r="5" spans="1:5" ht="22" customHeight="1">
      <c r="A5" s="13" t="s">
        <v>17</v>
      </c>
      <c r="B5" s="14" t="s">
        <v>18</v>
      </c>
      <c r="C5" s="13" t="s">
        <v>7</v>
      </c>
      <c r="D5" s="14" t="s">
        <v>19</v>
      </c>
      <c r="E5" s="14" t="s">
        <v>20</v>
      </c>
    </row>
    <row r="6" spans="1:5" ht="22" customHeight="1">
      <c r="A6" s="13" t="s">
        <v>17</v>
      </c>
      <c r="B6" s="14" t="s">
        <v>22</v>
      </c>
      <c r="C6" s="13" t="s">
        <v>7</v>
      </c>
      <c r="D6" s="14" t="s">
        <v>19</v>
      </c>
      <c r="E6" s="14" t="s">
        <v>23</v>
      </c>
    </row>
    <row r="7" spans="1:5" ht="22" customHeight="1">
      <c r="A7" s="13" t="s">
        <v>17</v>
      </c>
      <c r="B7" s="14" t="s">
        <v>24</v>
      </c>
      <c r="C7" s="13" t="s">
        <v>7</v>
      </c>
      <c r="D7" s="14" t="s">
        <v>25</v>
      </c>
      <c r="E7" s="14" t="s">
        <v>26</v>
      </c>
    </row>
    <row r="8" spans="1:5" ht="22" customHeight="1">
      <c r="A8" s="13" t="s">
        <v>17</v>
      </c>
      <c r="B8" s="14" t="s">
        <v>27</v>
      </c>
      <c r="C8" s="13" t="s">
        <v>7</v>
      </c>
      <c r="D8" s="14" t="s">
        <v>19</v>
      </c>
      <c r="E8" s="14" t="s">
        <v>28</v>
      </c>
    </row>
    <row r="9" spans="1:5" ht="22" customHeight="1">
      <c r="A9" s="13" t="s">
        <v>17</v>
      </c>
      <c r="B9" s="14" t="s">
        <v>29</v>
      </c>
      <c r="C9" s="13" t="s">
        <v>7</v>
      </c>
      <c r="D9" s="14" t="s">
        <v>30</v>
      </c>
      <c r="E9" s="14" t="s">
        <v>31</v>
      </c>
    </row>
    <row r="10" spans="1:5" ht="22" customHeight="1">
      <c r="A10" s="13" t="s">
        <v>17</v>
      </c>
      <c r="B10" s="14" t="s">
        <v>33</v>
      </c>
      <c r="C10" s="13" t="s">
        <v>7</v>
      </c>
      <c r="D10" s="14" t="s">
        <v>30</v>
      </c>
      <c r="E10" s="14" t="s">
        <v>34</v>
      </c>
    </row>
    <row r="11" spans="1:5" ht="22" customHeight="1">
      <c r="A11" s="13" t="s">
        <v>17</v>
      </c>
      <c r="B11" s="14" t="s">
        <v>35</v>
      </c>
      <c r="C11" s="13" t="s">
        <v>7</v>
      </c>
      <c r="D11" s="14" t="s">
        <v>30</v>
      </c>
      <c r="E11" s="14" t="s">
        <v>36</v>
      </c>
    </row>
    <row r="12" spans="1:5" ht="22" customHeight="1">
      <c r="A12" s="13" t="s">
        <v>17</v>
      </c>
      <c r="B12" s="14" t="s">
        <v>37</v>
      </c>
      <c r="C12" s="13" t="s">
        <v>7</v>
      </c>
      <c r="D12" s="14" t="s">
        <v>25</v>
      </c>
      <c r="E12" s="14" t="s">
        <v>38</v>
      </c>
    </row>
    <row r="13" spans="1:5" ht="22" customHeight="1">
      <c r="A13" s="13" t="s">
        <v>39</v>
      </c>
      <c r="B13" s="14" t="s">
        <v>40</v>
      </c>
      <c r="C13" s="13" t="s">
        <v>7</v>
      </c>
      <c r="D13" s="14" t="s">
        <v>41</v>
      </c>
      <c r="E13" s="14" t="s">
        <v>42</v>
      </c>
    </row>
    <row r="14" spans="1:5" ht="22" customHeight="1">
      <c r="A14" s="13" t="s">
        <v>39</v>
      </c>
      <c r="B14" s="14" t="s">
        <v>43</v>
      </c>
      <c r="C14" s="13" t="s">
        <v>7</v>
      </c>
      <c r="D14" s="14" t="s">
        <v>41</v>
      </c>
      <c r="E14" s="14" t="s">
        <v>44</v>
      </c>
    </row>
    <row r="15" spans="1:5" ht="22" customHeight="1">
      <c r="A15" s="13" t="s">
        <v>39</v>
      </c>
      <c r="B15" s="14" t="s">
        <v>45</v>
      </c>
      <c r="C15" s="13" t="s">
        <v>7</v>
      </c>
      <c r="D15" s="14" t="s">
        <v>46</v>
      </c>
      <c r="E15" s="14" t="s">
        <v>47</v>
      </c>
    </row>
    <row r="16" spans="1:5" ht="22" customHeight="1">
      <c r="A16" s="13" t="s">
        <v>39</v>
      </c>
      <c r="B16" s="14" t="s">
        <v>48</v>
      </c>
      <c r="C16" s="13" t="s">
        <v>7</v>
      </c>
      <c r="D16" s="14" t="s">
        <v>49</v>
      </c>
      <c r="E16" s="14" t="s">
        <v>50</v>
      </c>
    </row>
    <row r="17" spans="1:5" ht="22" customHeight="1">
      <c r="A17" s="13" t="s">
        <v>51</v>
      </c>
      <c r="B17" s="14" t="s">
        <v>52</v>
      </c>
      <c r="C17" s="13" t="s">
        <v>7</v>
      </c>
      <c r="D17" s="14" t="s">
        <v>53</v>
      </c>
      <c r="E17" s="14" t="s">
        <v>54</v>
      </c>
    </row>
    <row r="18" spans="1:5" ht="22" customHeight="1">
      <c r="A18" s="13" t="s">
        <v>55</v>
      </c>
      <c r="B18" s="14" t="s">
        <v>56</v>
      </c>
      <c r="C18" s="13" t="s">
        <v>7</v>
      </c>
      <c r="D18" s="14" t="s">
        <v>53</v>
      </c>
      <c r="E18" s="14" t="s">
        <v>57</v>
      </c>
    </row>
    <row r="19" spans="1:5" ht="22" customHeight="1">
      <c r="A19" s="13" t="s">
        <v>55</v>
      </c>
      <c r="B19" s="14" t="s">
        <v>58</v>
      </c>
      <c r="C19" s="13" t="s">
        <v>7</v>
      </c>
      <c r="D19" s="14" t="s">
        <v>59</v>
      </c>
      <c r="E19" s="14" t="s">
        <v>60</v>
      </c>
    </row>
    <row r="20" spans="1:5" ht="22" customHeight="1">
      <c r="A20" s="13" t="s">
        <v>55</v>
      </c>
      <c r="B20" s="14" t="s">
        <v>61</v>
      </c>
      <c r="C20" s="13" t="s">
        <v>7</v>
      </c>
      <c r="D20" s="14" t="s">
        <v>62</v>
      </c>
      <c r="E20" s="14" t="s">
        <v>63</v>
      </c>
    </row>
    <row r="21" spans="1:5" ht="22" customHeight="1">
      <c r="A21" s="13" t="s">
        <v>55</v>
      </c>
      <c r="B21" s="14" t="s">
        <v>64</v>
      </c>
      <c r="C21" s="13" t="s">
        <v>7</v>
      </c>
      <c r="D21" s="14" t="s">
        <v>62</v>
      </c>
      <c r="E21" s="14" t="s">
        <v>65</v>
      </c>
    </row>
    <row r="22" spans="1:5" ht="22" customHeight="1">
      <c r="A22" s="13" t="s">
        <v>55</v>
      </c>
      <c r="B22" s="14" t="s">
        <v>66</v>
      </c>
      <c r="C22" s="13" t="s">
        <v>7</v>
      </c>
      <c r="D22" s="14" t="s">
        <v>62</v>
      </c>
      <c r="E22" s="14" t="s">
        <v>67</v>
      </c>
    </row>
    <row r="23" spans="1:5" ht="22" customHeight="1">
      <c r="A23" s="13" t="s">
        <v>55</v>
      </c>
      <c r="B23" s="14" t="s">
        <v>68</v>
      </c>
      <c r="C23" s="13" t="s">
        <v>7</v>
      </c>
      <c r="D23" s="14" t="s">
        <v>59</v>
      </c>
      <c r="E23" s="14" t="s">
        <v>69</v>
      </c>
    </row>
    <row r="24" spans="1:5" ht="22" customHeight="1">
      <c r="A24" s="13" t="s">
        <v>55</v>
      </c>
      <c r="B24" s="14" t="s">
        <v>70</v>
      </c>
      <c r="C24" s="13" t="s">
        <v>7</v>
      </c>
      <c r="D24" s="14" t="s">
        <v>62</v>
      </c>
      <c r="E24" s="14" t="s">
        <v>71</v>
      </c>
    </row>
    <row r="25" spans="1:5" ht="22" customHeight="1">
      <c r="A25" s="13" t="s">
        <v>55</v>
      </c>
      <c r="B25" s="14" t="s">
        <v>72</v>
      </c>
      <c r="C25" s="13" t="s">
        <v>7</v>
      </c>
      <c r="D25" s="14" t="s">
        <v>62</v>
      </c>
      <c r="E25" s="14" t="s">
        <v>73</v>
      </c>
    </row>
    <row r="26" spans="1:5" ht="22" customHeight="1">
      <c r="A26" s="13" t="s">
        <v>55</v>
      </c>
      <c r="B26" s="14" t="s">
        <v>74</v>
      </c>
      <c r="C26" s="13" t="s">
        <v>7</v>
      </c>
      <c r="D26" s="14" t="s">
        <v>62</v>
      </c>
      <c r="E26" s="14" t="s">
        <v>75</v>
      </c>
    </row>
    <row r="27" spans="1:5" ht="22" customHeight="1">
      <c r="A27" s="13" t="s">
        <v>55</v>
      </c>
      <c r="B27" s="14" t="s">
        <v>76</v>
      </c>
      <c r="C27" s="13" t="s">
        <v>7</v>
      </c>
      <c r="D27" s="14" t="s">
        <v>59</v>
      </c>
      <c r="E27" s="14" t="s">
        <v>77</v>
      </c>
    </row>
    <row r="28" spans="1:5" ht="22" customHeight="1">
      <c r="A28" s="13" t="s">
        <v>55</v>
      </c>
      <c r="B28" s="14" t="s">
        <v>78</v>
      </c>
      <c r="C28" s="13" t="s">
        <v>7</v>
      </c>
      <c r="D28" s="14" t="s">
        <v>59</v>
      </c>
      <c r="E28" s="14" t="s">
        <v>79</v>
      </c>
    </row>
    <row r="29" spans="1:5" ht="22" customHeight="1">
      <c r="A29" s="13" t="s">
        <v>55</v>
      </c>
      <c r="B29" s="14" t="s">
        <v>80</v>
      </c>
      <c r="C29" s="13" t="s">
        <v>7</v>
      </c>
      <c r="D29" s="14" t="s">
        <v>81</v>
      </c>
      <c r="E29" s="14" t="s">
        <v>82</v>
      </c>
    </row>
    <row r="30" spans="1:5" ht="22" customHeight="1">
      <c r="A30" s="13" t="s">
        <v>84</v>
      </c>
      <c r="B30" s="14" t="s">
        <v>85</v>
      </c>
      <c r="C30" s="13" t="s">
        <v>7</v>
      </c>
      <c r="D30" s="14" t="s">
        <v>59</v>
      </c>
      <c r="E30" s="14" t="s">
        <v>86</v>
      </c>
    </row>
    <row r="31" spans="1:5" ht="22" customHeight="1">
      <c r="A31" s="13" t="s">
        <v>84</v>
      </c>
      <c r="B31" s="14" t="s">
        <v>87</v>
      </c>
      <c r="C31" s="13" t="s">
        <v>7</v>
      </c>
      <c r="D31" s="14" t="s">
        <v>53</v>
      </c>
      <c r="E31" s="14" t="s">
        <v>88</v>
      </c>
    </row>
    <row r="32" spans="1:5" ht="22" customHeight="1">
      <c r="A32" s="13" t="s">
        <v>84</v>
      </c>
      <c r="B32" s="14" t="s">
        <v>89</v>
      </c>
      <c r="C32" s="13" t="s">
        <v>7</v>
      </c>
      <c r="D32" s="14" t="s">
        <v>59</v>
      </c>
      <c r="E32" s="14" t="s">
        <v>90</v>
      </c>
    </row>
    <row r="33" spans="1:5" ht="22" customHeight="1">
      <c r="A33" s="13" t="s">
        <v>5</v>
      </c>
      <c r="B33" s="14" t="s">
        <v>91</v>
      </c>
      <c r="C33" s="13" t="s">
        <v>92</v>
      </c>
      <c r="D33" s="14" t="s">
        <v>93</v>
      </c>
      <c r="E33" s="14" t="s">
        <v>94</v>
      </c>
    </row>
    <row r="34" spans="1:5" ht="22" customHeight="1">
      <c r="A34" s="13" t="s">
        <v>17</v>
      </c>
      <c r="B34" s="14" t="s">
        <v>95</v>
      </c>
      <c r="C34" s="13" t="s">
        <v>92</v>
      </c>
      <c r="D34" s="14" t="s">
        <v>96</v>
      </c>
      <c r="E34" s="14" t="s">
        <v>97</v>
      </c>
    </row>
    <row r="35" spans="1:5" ht="22" customHeight="1">
      <c r="A35" s="13" t="s">
        <v>17</v>
      </c>
      <c r="B35" s="14" t="s">
        <v>98</v>
      </c>
      <c r="C35" s="13" t="s">
        <v>92</v>
      </c>
      <c r="D35" s="14" t="s">
        <v>96</v>
      </c>
      <c r="E35" s="14" t="s">
        <v>99</v>
      </c>
    </row>
    <row r="36" spans="1:5" ht="22" customHeight="1">
      <c r="A36" s="13" t="s">
        <v>17</v>
      </c>
      <c r="B36" s="14" t="s">
        <v>100</v>
      </c>
      <c r="C36" s="13" t="s">
        <v>92</v>
      </c>
      <c r="D36" s="14" t="s">
        <v>96</v>
      </c>
      <c r="E36" s="14" t="s">
        <v>101</v>
      </c>
    </row>
    <row r="37" spans="1:5" ht="22" customHeight="1">
      <c r="A37" s="13" t="s">
        <v>55</v>
      </c>
      <c r="B37" s="14" t="s">
        <v>102</v>
      </c>
      <c r="C37" s="13" t="s">
        <v>92</v>
      </c>
      <c r="D37" s="14" t="s">
        <v>103</v>
      </c>
      <c r="E37" s="14" t="s">
        <v>104</v>
      </c>
    </row>
    <row r="38" spans="1:5" ht="22" customHeight="1">
      <c r="A38" s="13" t="s">
        <v>55</v>
      </c>
      <c r="B38" s="14" t="s">
        <v>105</v>
      </c>
      <c r="C38" s="13" t="s">
        <v>92</v>
      </c>
      <c r="D38" s="14" t="s">
        <v>103</v>
      </c>
      <c r="E38" s="14" t="s">
        <v>73</v>
      </c>
    </row>
    <row r="39" spans="1:5" ht="22" customHeight="1">
      <c r="A39" s="13" t="s">
        <v>84</v>
      </c>
      <c r="B39" s="14" t="s">
        <v>106</v>
      </c>
      <c r="C39" s="13" t="s">
        <v>92</v>
      </c>
      <c r="D39" s="14" t="s">
        <v>103</v>
      </c>
      <c r="E39" s="14" t="s">
        <v>90</v>
      </c>
    </row>
    <row r="40" spans="1:5" ht="22" customHeight="1">
      <c r="A40" s="13" t="s">
        <v>107</v>
      </c>
      <c r="B40" s="14" t="s">
        <v>108</v>
      </c>
      <c r="C40" s="13" t="s">
        <v>109</v>
      </c>
      <c r="D40" s="14" t="s">
        <v>110</v>
      </c>
      <c r="E40" s="14" t="s">
        <v>111</v>
      </c>
    </row>
    <row r="41" spans="1:5" ht="22" customHeight="1">
      <c r="A41" s="13" t="s">
        <v>107</v>
      </c>
      <c r="B41" s="14" t="s">
        <v>112</v>
      </c>
      <c r="C41" s="13" t="s">
        <v>109</v>
      </c>
      <c r="D41" s="14" t="s">
        <v>93</v>
      </c>
      <c r="E41" s="14" t="s">
        <v>113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showGridLines="0" workbookViewId="0"/>
  </sheetViews>
  <sheetFormatPr defaultRowHeight="14"/>
  <cols>
    <col min="1" max="1" width="20" customWidth="1"/>
    <col min="2" max="2" width="12" customWidth="1"/>
    <col min="3" max="3" width="4" customWidth="1"/>
    <col min="4" max="4" width="30" customWidth="1"/>
    <col min="5" max="5" width="12" customWidth="1"/>
  </cols>
  <sheetData>
    <row r="1" spans="1:6" ht="32" customHeight="1">
      <c r="A1" s="12" t="s">
        <v>114</v>
      </c>
      <c r="B1" s="12"/>
      <c r="C1" s="12"/>
      <c r="D1" s="12"/>
      <c r="E1" s="12"/>
      <c r="F1" s="12"/>
    </row>
    <row r="3" spans="1:6">
      <c r="A3" s="3" t="s">
        <v>115</v>
      </c>
      <c r="B3" s="3" t="s">
        <v>116</v>
      </c>
      <c r="D3" s="6" t="s">
        <v>3</v>
      </c>
      <c r="E3" s="6" t="s">
        <v>117</v>
      </c>
    </row>
    <row r="4" spans="1:6" ht="16.5">
      <c r="A4" s="4" t="s">
        <v>118</v>
      </c>
      <c r="B4" s="5">
        <f>COUNTA(施設一覧!$A$2:$A$41)</f>
        <v>40</v>
      </c>
      <c r="D4" s="7" t="s">
        <v>53</v>
      </c>
      <c r="E4" s="8">
        <f>COUNTIF(施設一覧!$D$2:$D$41,D4)</f>
        <v>3</v>
      </c>
    </row>
    <row r="5" spans="1:6" ht="16.5">
      <c r="A5" s="4" t="s">
        <v>119</v>
      </c>
      <c r="B5" s="5">
        <f>COUNTA(施設一覧!$E$2:$E$41)</f>
        <v>40</v>
      </c>
      <c r="D5" s="7" t="s">
        <v>41</v>
      </c>
      <c r="E5" s="8">
        <f>COUNTIF(施設一覧!$D$2:$D$41,D5)</f>
        <v>2</v>
      </c>
    </row>
    <row r="6" spans="1:6" ht="16.5">
      <c r="A6" s="4" t="s">
        <v>7</v>
      </c>
      <c r="B6" s="5">
        <f>COUNTIF(施設一覧!$C$2:$C$41,A6)</f>
        <v>31</v>
      </c>
      <c r="D6" s="7" t="s">
        <v>13</v>
      </c>
      <c r="E6" s="8">
        <f>COUNTIF(施設一覧!$D$2:$D$41,D6)</f>
        <v>2</v>
      </c>
    </row>
    <row r="7" spans="1:6" ht="16.5">
      <c r="A7" s="4" t="s">
        <v>120</v>
      </c>
      <c r="B7" s="5">
        <f>COUNTIF(施設一覧!$C$2:$C$41,"生活介護")+COUNTIF(施設一覧!$C$2:$C$41,"生活介護/就B")</f>
        <v>9</v>
      </c>
      <c r="D7" s="7" t="s">
        <v>110</v>
      </c>
      <c r="E7" s="8">
        <f>COUNTIF(施設一覧!$D$2:$D$41,D7)</f>
        <v>1</v>
      </c>
    </row>
    <row r="8" spans="1:6" ht="16.5">
      <c r="A8" s="4" t="s">
        <v>3</v>
      </c>
      <c r="B8" s="5">
        <f>COUNTA(D4:D19)</f>
        <v>16</v>
      </c>
      <c r="D8" s="7" t="s">
        <v>19</v>
      </c>
      <c r="E8" s="8">
        <f>COUNTIF(施設一覧!$D$2:$D$41,D8)</f>
        <v>3</v>
      </c>
    </row>
    <row r="9" spans="1:6" ht="16.5">
      <c r="A9" s="4" t="s">
        <v>0</v>
      </c>
      <c r="B9" s="5">
        <f>COUNTA(D23:D30)</f>
        <v>8</v>
      </c>
      <c r="D9" s="7" t="s">
        <v>62</v>
      </c>
      <c r="E9" s="8">
        <f>COUNTIF(施設一覧!$D$2:$D$41,D9)</f>
        <v>6</v>
      </c>
    </row>
    <row r="10" spans="1:6">
      <c r="D10" s="7" t="s">
        <v>49</v>
      </c>
      <c r="E10" s="8">
        <f>COUNTIF(施設一覧!$D$2:$D$41,D10)</f>
        <v>1</v>
      </c>
    </row>
    <row r="11" spans="1:6">
      <c r="D11" s="7" t="s">
        <v>8</v>
      </c>
      <c r="E11" s="8">
        <f>COUNTIF(施設一覧!$D$2:$D$41,D11)</f>
        <v>1</v>
      </c>
    </row>
    <row r="12" spans="1:6">
      <c r="D12" s="7" t="s">
        <v>59</v>
      </c>
      <c r="E12" s="8">
        <f>COUNTIF(施設一覧!$D$2:$D$41,D12)</f>
        <v>6</v>
      </c>
    </row>
    <row r="13" spans="1:6">
      <c r="D13" s="7" t="s">
        <v>103</v>
      </c>
      <c r="E13" s="8">
        <f>COUNTIF(施設一覧!$D$2:$D$41,D13)</f>
        <v>3</v>
      </c>
    </row>
    <row r="14" spans="1:6">
      <c r="D14" s="7" t="s">
        <v>30</v>
      </c>
      <c r="E14" s="8">
        <f>COUNTIF(施設一覧!$D$2:$D$41,D14)</f>
        <v>3</v>
      </c>
    </row>
    <row r="15" spans="1:6">
      <c r="D15" s="7" t="s">
        <v>93</v>
      </c>
      <c r="E15" s="8">
        <f>COUNTIF(施設一覧!$D$2:$D$41,D15)</f>
        <v>2</v>
      </c>
    </row>
    <row r="16" spans="1:6">
      <c r="D16" s="7" t="s">
        <v>25</v>
      </c>
      <c r="E16" s="8">
        <f>COUNTIF(施設一覧!$D$2:$D$41,D16)</f>
        <v>2</v>
      </c>
    </row>
    <row r="17" spans="4:5">
      <c r="D17" s="7" t="s">
        <v>81</v>
      </c>
      <c r="E17" s="8">
        <f>COUNTIF(施設一覧!$D$2:$D$41,D17)</f>
        <v>1</v>
      </c>
    </row>
    <row r="18" spans="4:5">
      <c r="D18" s="7" t="s">
        <v>96</v>
      </c>
      <c r="E18" s="8">
        <f>COUNTIF(施設一覧!$D$2:$D$41,D18)</f>
        <v>3</v>
      </c>
    </row>
    <row r="19" spans="4:5">
      <c r="D19" s="7" t="s">
        <v>46</v>
      </c>
      <c r="E19" s="8">
        <f>COUNTIF(施設一覧!$D$2:$D$41,D19)</f>
        <v>1</v>
      </c>
    </row>
    <row r="20" spans="4:5">
      <c r="D20" s="7"/>
      <c r="E20" s="8"/>
    </row>
    <row r="21" spans="4:5">
      <c r="D21" s="7"/>
      <c r="E21" s="8"/>
    </row>
    <row r="22" spans="4:5">
      <c r="D22" s="6" t="s">
        <v>0</v>
      </c>
      <c r="E22" s="9" t="s">
        <v>117</v>
      </c>
    </row>
    <row r="23" spans="4:5">
      <c r="D23" s="7" t="s">
        <v>5</v>
      </c>
      <c r="E23" s="8">
        <f>COUNTIF(施設一覧!$A$2:$A$41,D23)</f>
        <v>2</v>
      </c>
    </row>
    <row r="24" spans="4:5">
      <c r="D24" s="7" t="s">
        <v>51</v>
      </c>
      <c r="E24" s="8">
        <f>COUNTIF(施設一覧!$A$2:$A$41,D24)</f>
        <v>1</v>
      </c>
    </row>
    <row r="25" spans="4:5">
      <c r="D25" s="7" t="s">
        <v>11</v>
      </c>
      <c r="E25" s="8">
        <f>COUNTIF(施設一覧!$A$2:$A$41,D25)</f>
        <v>2</v>
      </c>
    </row>
    <row r="26" spans="4:5">
      <c r="D26" s="7" t="s">
        <v>17</v>
      </c>
      <c r="E26" s="8">
        <f>COUNTIF(施設一覧!$A$2:$A$41,D26)</f>
        <v>11</v>
      </c>
    </row>
    <row r="27" spans="4:5">
      <c r="D27" s="7" t="s">
        <v>55</v>
      </c>
      <c r="E27" s="8">
        <f>COUNTIF(施設一覧!$A$2:$A$41,D27)</f>
        <v>14</v>
      </c>
    </row>
    <row r="28" spans="4:5">
      <c r="D28" s="7" t="s">
        <v>84</v>
      </c>
      <c r="E28" s="8">
        <f>COUNTIF(施設一覧!$A$2:$A$41,D28)</f>
        <v>4</v>
      </c>
    </row>
    <row r="29" spans="4:5">
      <c r="D29" s="7" t="s">
        <v>39</v>
      </c>
      <c r="E29" s="8">
        <f>COUNTIF(施設一覧!$A$2:$A$41,D29)</f>
        <v>4</v>
      </c>
    </row>
    <row r="30" spans="4:5">
      <c r="D30" s="7" t="s">
        <v>107</v>
      </c>
      <c r="E30" s="8">
        <f>COUNTIF(施設一覧!$A$2:$A$41,D30)</f>
        <v>2</v>
      </c>
    </row>
  </sheetData>
  <mergeCells count="1">
    <mergeCell ref="A1:F1"/>
  </mergeCells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workbookViewId="0"/>
  </sheetViews>
  <sheetFormatPr defaultRowHeight="14"/>
  <cols>
    <col min="1" max="1" width="23" customWidth="1"/>
    <col min="2" max="2" width="77" customWidth="1"/>
  </cols>
  <sheetData>
    <row r="1" spans="1:4" ht="32" customHeight="1">
      <c r="A1" s="12" t="s">
        <v>121</v>
      </c>
      <c r="B1" s="12"/>
      <c r="C1" s="12"/>
      <c r="D1" s="12"/>
    </row>
    <row r="3" spans="1:4" ht="28" customHeight="1">
      <c r="A3" s="10" t="s">
        <v>122</v>
      </c>
      <c r="B3" s="10" t="s">
        <v>123</v>
      </c>
    </row>
    <row r="4" spans="1:4" ht="28" customHeight="1">
      <c r="A4" s="11" t="s">
        <v>124</v>
      </c>
      <c r="B4" s="11" t="s">
        <v>125</v>
      </c>
    </row>
    <row r="5" spans="1:4" ht="28" customHeight="1">
      <c r="A5" s="11" t="s">
        <v>126</v>
      </c>
      <c r="B5" s="11" t="s">
        <v>127</v>
      </c>
    </row>
    <row r="6" spans="1:4" ht="28" customHeight="1">
      <c r="A6" s="11" t="s">
        <v>128</v>
      </c>
      <c r="B6" s="11" t="s">
        <v>129</v>
      </c>
    </row>
    <row r="7" spans="1:4" ht="28" customHeight="1">
      <c r="A7" s="11" t="s">
        <v>130</v>
      </c>
      <c r="B7" s="11" t="s">
        <v>131</v>
      </c>
    </row>
    <row r="8" spans="1:4" ht="28" customHeight="1">
      <c r="A8" s="11" t="s">
        <v>132</v>
      </c>
      <c r="B8" s="11" t="s">
        <v>133</v>
      </c>
    </row>
    <row r="9" spans="1:4" ht="28" customHeight="1">
      <c r="A9" s="11" t="s">
        <v>134</v>
      </c>
      <c r="B9" s="11" t="s">
        <v>135</v>
      </c>
    </row>
    <row r="10" spans="1:4" ht="28" customHeight="1">
      <c r="A10" s="11" t="s">
        <v>136</v>
      </c>
      <c r="B10" s="11" t="s">
        <v>137</v>
      </c>
    </row>
    <row r="11" spans="1:4" ht="28" customHeight="1">
      <c r="A11" s="2"/>
      <c r="B11" s="2"/>
    </row>
    <row r="12" spans="1:4" ht="28" customHeight="1">
      <c r="A12" s="10" t="s">
        <v>138</v>
      </c>
      <c r="B12" s="10" t="s">
        <v>139</v>
      </c>
    </row>
    <row r="13" spans="1:4" ht="28" customHeight="1">
      <c r="A13" s="11" t="s">
        <v>140</v>
      </c>
      <c r="B13" s="11" t="s">
        <v>10</v>
      </c>
    </row>
    <row r="14" spans="1:4" ht="28" customHeight="1">
      <c r="A14" s="11" t="s">
        <v>141</v>
      </c>
      <c r="B14" s="11" t="s">
        <v>21</v>
      </c>
    </row>
    <row r="15" spans="1:4" ht="28" customHeight="1">
      <c r="A15" s="11" t="s">
        <v>142</v>
      </c>
      <c r="B15" s="11" t="s">
        <v>32</v>
      </c>
    </row>
    <row r="16" spans="1:4" ht="28" customHeight="1">
      <c r="A16" s="11" t="s">
        <v>143</v>
      </c>
      <c r="B16" s="11" t="s">
        <v>83</v>
      </c>
    </row>
    <row r="17" spans="1:2" ht="28" customHeight="1">
      <c r="A17" s="11" t="s">
        <v>144</v>
      </c>
      <c r="B17" s="11" t="s">
        <v>145</v>
      </c>
    </row>
  </sheetData>
  <mergeCells count="1">
    <mergeCell ref="A1:D1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施設一覧</vt:lpstr>
      <vt:lpstr>集計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慶太 高山</cp:lastModifiedBy>
  <dcterms:modified xsi:type="dcterms:W3CDTF">2026-08-20T11:41:10Z</dcterms:modified>
</cp:coreProperties>
</file>